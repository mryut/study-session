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回答入力_30名" sheetId="1" state="visible" r:id="rId1"/>
    <sheet xmlns:r="http://schemas.openxmlformats.org/officeDocument/2006/relationships" name="集計" sheetId="2" state="visible" r:id="rId2"/>
    <sheet xmlns:r="http://schemas.openxmlformats.org/officeDocument/2006/relationships" name="設定" sheetId="3" state="visible" r:id="rId3"/>
    <sheet xmlns:r="http://schemas.openxmlformats.org/officeDocument/2006/relationships" name="正解キー"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font>
    <font>
      <b val="1"/>
      <sz val="14"/>
    </font>
    <font>
      <b val="1"/>
      <color rgb="00FFFFFF"/>
    </font>
  </fonts>
  <fills count="5">
    <fill>
      <patternFill/>
    </fill>
    <fill>
      <patternFill patternType="gray125"/>
    </fill>
    <fill>
      <patternFill patternType="solid">
        <fgColor rgb="00D9E1F2"/>
      </patternFill>
    </fill>
    <fill>
      <patternFill patternType="solid">
        <fgColor rgb="00FFF2CC"/>
      </patternFill>
    </fill>
    <fill>
      <patternFill patternType="solid">
        <fgColor rgb="001F4E79"/>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9">
    <xf numFmtId="0" fontId="0" fillId="0" borderId="0" pivotButton="0" quotePrefix="0" xfId="0"/>
    <xf numFmtId="0" fontId="2" fillId="0" borderId="0" pivotButton="0" quotePrefix="0" xfId="0"/>
    <xf numFmtId="0" fontId="0" fillId="3" borderId="0" pivotButton="0" quotePrefix="0" xfId="0"/>
    <xf numFmtId="0" fontId="3" fillId="4"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top" wrapText="1"/>
    </xf>
    <xf numFmtId="0" fontId="1" fillId="0" borderId="0" pivotButton="0" quotePrefix="0" xfId="0"/>
    <xf numFmtId="164" fontId="0" fillId="0" borderId="1" applyAlignment="1" pivotButton="0" quotePrefix="0" xfId="0">
      <alignment horizontal="center" vertical="center" wrapText="1"/>
    </xf>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34"/>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0" customWidth="1" min="1" max="1"/>
    <col width="16" customWidth="1" min="2" max="2"/>
    <col width="12"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 width="5" customWidth="1" min="35" max="35"/>
    <col width="5" customWidth="1" min="36" max="36"/>
    <col width="5" customWidth="1" min="37" max="37"/>
    <col width="5" customWidth="1" min="38" max="38"/>
    <col width="5" customWidth="1" min="39" max="39"/>
    <col width="5" customWidth="1" min="40" max="40"/>
    <col width="5" customWidth="1" min="41" max="41"/>
    <col width="5" customWidth="1" min="42" max="42"/>
    <col width="5" customWidth="1" min="43" max="43"/>
    <col width="5" customWidth="1" min="44" max="44"/>
    <col width="5" customWidth="1" min="45" max="45"/>
    <col width="5" customWidth="1" min="46" max="46"/>
    <col width="5" customWidth="1" min="47" max="47"/>
    <col width="5" customWidth="1" min="48" max="48"/>
    <col width="5" customWidth="1" min="49" max="49"/>
    <col width="5" customWidth="1" min="50" max="50"/>
    <col width="5" customWidth="1" min="51" max="51"/>
    <col width="5" customWidth="1" min="52" max="52"/>
    <col width="5" customWidth="1" min="53" max="53"/>
  </cols>
  <sheetData>
    <row r="1">
      <c r="A1" s="1" t="inlineStr">
        <is>
          <t>インフラ実務スキルチェック（回答入力：最大30名）</t>
        </is>
      </c>
    </row>
    <row r="2">
      <c r="A2" s="2" t="inlineStr">
        <is>
          <t>入力：各受験者の行に、Q1〜Q50の回答（A/B/C/D）を入力してください。</t>
        </is>
      </c>
    </row>
    <row r="4">
      <c r="A4" s="3" t="inlineStr">
        <is>
          <t>受験者ID</t>
        </is>
      </c>
      <c r="B4" s="3" t="inlineStr">
        <is>
          <t>氏名</t>
        </is>
      </c>
      <c r="C4" s="3" t="inlineStr">
        <is>
          <t>受験日</t>
        </is>
      </c>
      <c r="D4" s="3" t="inlineStr">
        <is>
          <t>Q1</t>
        </is>
      </c>
      <c r="E4" s="3" t="inlineStr">
        <is>
          <t>Q2</t>
        </is>
      </c>
      <c r="F4" s="3" t="inlineStr">
        <is>
          <t>Q3</t>
        </is>
      </c>
      <c r="G4" s="3" t="inlineStr">
        <is>
          <t>Q4</t>
        </is>
      </c>
      <c r="H4" s="3" t="inlineStr">
        <is>
          <t>Q5</t>
        </is>
      </c>
      <c r="I4" s="3" t="inlineStr">
        <is>
          <t>Q6</t>
        </is>
      </c>
      <c r="J4" s="3" t="inlineStr">
        <is>
          <t>Q7</t>
        </is>
      </c>
      <c r="K4" s="3" t="inlineStr">
        <is>
          <t>Q8</t>
        </is>
      </c>
      <c r="L4" s="3" t="inlineStr">
        <is>
          <t>Q9</t>
        </is>
      </c>
      <c r="M4" s="3" t="inlineStr">
        <is>
          <t>Q10</t>
        </is>
      </c>
      <c r="N4" s="3" t="inlineStr">
        <is>
          <t>Q11</t>
        </is>
      </c>
      <c r="O4" s="3" t="inlineStr">
        <is>
          <t>Q12</t>
        </is>
      </c>
      <c r="P4" s="3" t="inlineStr">
        <is>
          <t>Q13</t>
        </is>
      </c>
      <c r="Q4" s="3" t="inlineStr">
        <is>
          <t>Q14</t>
        </is>
      </c>
      <c r="R4" s="3" t="inlineStr">
        <is>
          <t>Q15</t>
        </is>
      </c>
      <c r="S4" s="3" t="inlineStr">
        <is>
          <t>Q16</t>
        </is>
      </c>
      <c r="T4" s="3" t="inlineStr">
        <is>
          <t>Q17</t>
        </is>
      </c>
      <c r="U4" s="3" t="inlineStr">
        <is>
          <t>Q18</t>
        </is>
      </c>
      <c r="V4" s="3" t="inlineStr">
        <is>
          <t>Q19</t>
        </is>
      </c>
      <c r="W4" s="3" t="inlineStr">
        <is>
          <t>Q20</t>
        </is>
      </c>
      <c r="X4" s="3" t="inlineStr">
        <is>
          <t>Q21</t>
        </is>
      </c>
      <c r="Y4" s="3" t="inlineStr">
        <is>
          <t>Q22</t>
        </is>
      </c>
      <c r="Z4" s="3" t="inlineStr">
        <is>
          <t>Q23</t>
        </is>
      </c>
      <c r="AA4" s="3" t="inlineStr">
        <is>
          <t>Q24</t>
        </is>
      </c>
      <c r="AB4" s="3" t="inlineStr">
        <is>
          <t>Q25</t>
        </is>
      </c>
      <c r="AC4" s="3" t="inlineStr">
        <is>
          <t>Q26</t>
        </is>
      </c>
      <c r="AD4" s="3" t="inlineStr">
        <is>
          <t>Q27</t>
        </is>
      </c>
      <c r="AE4" s="3" t="inlineStr">
        <is>
          <t>Q28</t>
        </is>
      </c>
      <c r="AF4" s="3" t="inlineStr">
        <is>
          <t>Q29</t>
        </is>
      </c>
      <c r="AG4" s="3" t="inlineStr">
        <is>
          <t>Q30</t>
        </is>
      </c>
      <c r="AH4" s="3" t="inlineStr">
        <is>
          <t>Q31</t>
        </is>
      </c>
      <c r="AI4" s="3" t="inlineStr">
        <is>
          <t>Q32</t>
        </is>
      </c>
      <c r="AJ4" s="3" t="inlineStr">
        <is>
          <t>Q33</t>
        </is>
      </c>
      <c r="AK4" s="3" t="inlineStr">
        <is>
          <t>Q34</t>
        </is>
      </c>
      <c r="AL4" s="3" t="inlineStr">
        <is>
          <t>Q35</t>
        </is>
      </c>
      <c r="AM4" s="3" t="inlineStr">
        <is>
          <t>Q36</t>
        </is>
      </c>
      <c r="AN4" s="3" t="inlineStr">
        <is>
          <t>Q37</t>
        </is>
      </c>
      <c r="AO4" s="3" t="inlineStr">
        <is>
          <t>Q38</t>
        </is>
      </c>
      <c r="AP4" s="3" t="inlineStr">
        <is>
          <t>Q39</t>
        </is>
      </c>
      <c r="AQ4" s="3" t="inlineStr">
        <is>
          <t>Q40</t>
        </is>
      </c>
      <c r="AR4" s="3" t="inlineStr">
        <is>
          <t>Q41</t>
        </is>
      </c>
      <c r="AS4" s="3" t="inlineStr">
        <is>
          <t>Q42</t>
        </is>
      </c>
      <c r="AT4" s="3" t="inlineStr">
        <is>
          <t>Q43</t>
        </is>
      </c>
      <c r="AU4" s="3" t="inlineStr">
        <is>
          <t>Q44</t>
        </is>
      </c>
      <c r="AV4" s="3" t="inlineStr">
        <is>
          <t>Q45</t>
        </is>
      </c>
      <c r="AW4" s="3" t="inlineStr">
        <is>
          <t>Q46</t>
        </is>
      </c>
      <c r="AX4" s="3" t="inlineStr">
        <is>
          <t>Q47</t>
        </is>
      </c>
      <c r="AY4" s="3" t="inlineStr">
        <is>
          <t>Q48</t>
        </is>
      </c>
      <c r="AZ4" s="3" t="inlineStr">
        <is>
          <t>Q49</t>
        </is>
      </c>
      <c r="BA4" s="3" t="inlineStr">
        <is>
          <t>Q50</t>
        </is>
      </c>
    </row>
    <row r="5">
      <c r="A5" s="4" t="inlineStr">
        <is>
          <t>U01</t>
        </is>
      </c>
      <c r="B5" s="5"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c r="AA5" s="4" t="n"/>
      <c r="AB5" s="4" t="n"/>
      <c r="AC5" s="4" t="n"/>
      <c r="AD5" s="4" t="n"/>
      <c r="AE5" s="4" t="n"/>
      <c r="AF5" s="4" t="n"/>
      <c r="AG5" s="4" t="n"/>
      <c r="AH5" s="4" t="n"/>
      <c r="AI5" s="4" t="n"/>
      <c r="AJ5" s="4" t="n"/>
      <c r="AK5" s="4" t="n"/>
      <c r="AL5" s="4" t="n"/>
      <c r="AM5" s="4" t="n"/>
      <c r="AN5" s="4" t="n"/>
      <c r="AO5" s="4" t="n"/>
      <c r="AP5" s="4" t="n"/>
      <c r="AQ5" s="4" t="n"/>
      <c r="AR5" s="4" t="n"/>
      <c r="AS5" s="4" t="n"/>
      <c r="AT5" s="4" t="n"/>
      <c r="AU5" s="4" t="n"/>
      <c r="AV5" s="4" t="n"/>
      <c r="AW5" s="4" t="n"/>
      <c r="AX5" s="4" t="n"/>
      <c r="AY5" s="4" t="n"/>
      <c r="AZ5" s="4" t="n"/>
      <c r="BA5" s="4" t="n"/>
    </row>
    <row r="6">
      <c r="A6" s="4" t="inlineStr">
        <is>
          <t>U02</t>
        </is>
      </c>
      <c r="B6" s="5"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c r="AA6" s="4" t="n"/>
      <c r="AB6" s="4" t="n"/>
      <c r="AC6" s="4" t="n"/>
      <c r="AD6" s="4" t="n"/>
      <c r="AE6" s="4" t="n"/>
      <c r="AF6" s="4" t="n"/>
      <c r="AG6" s="4" t="n"/>
      <c r="AH6" s="4" t="n"/>
      <c r="AI6" s="4" t="n"/>
      <c r="AJ6" s="4" t="n"/>
      <c r="AK6" s="4" t="n"/>
      <c r="AL6" s="4" t="n"/>
      <c r="AM6" s="4" t="n"/>
      <c r="AN6" s="4" t="n"/>
      <c r="AO6" s="4" t="n"/>
      <c r="AP6" s="4" t="n"/>
      <c r="AQ6" s="4" t="n"/>
      <c r="AR6" s="4" t="n"/>
      <c r="AS6" s="4" t="n"/>
      <c r="AT6" s="4" t="n"/>
      <c r="AU6" s="4" t="n"/>
      <c r="AV6" s="4" t="n"/>
      <c r="AW6" s="4" t="n"/>
      <c r="AX6" s="4" t="n"/>
      <c r="AY6" s="4" t="n"/>
      <c r="AZ6" s="4" t="n"/>
      <c r="BA6" s="4" t="n"/>
    </row>
    <row r="7">
      <c r="A7" s="4" t="inlineStr">
        <is>
          <t>U03</t>
        </is>
      </c>
      <c r="B7" s="5"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c r="AA7" s="4" t="n"/>
      <c r="AB7" s="4" t="n"/>
      <c r="AC7" s="4" t="n"/>
      <c r="AD7" s="4" t="n"/>
      <c r="AE7" s="4" t="n"/>
      <c r="AF7" s="4" t="n"/>
      <c r="AG7" s="4" t="n"/>
      <c r="AH7" s="4" t="n"/>
      <c r="AI7" s="4" t="n"/>
      <c r="AJ7" s="4" t="n"/>
      <c r="AK7" s="4" t="n"/>
      <c r="AL7" s="4" t="n"/>
      <c r="AM7" s="4" t="n"/>
      <c r="AN7" s="4" t="n"/>
      <c r="AO7" s="4" t="n"/>
      <c r="AP7" s="4" t="n"/>
      <c r="AQ7" s="4" t="n"/>
      <c r="AR7" s="4" t="n"/>
      <c r="AS7" s="4" t="n"/>
      <c r="AT7" s="4" t="n"/>
      <c r="AU7" s="4" t="n"/>
      <c r="AV7" s="4" t="n"/>
      <c r="AW7" s="4" t="n"/>
      <c r="AX7" s="4" t="n"/>
      <c r="AY7" s="4" t="n"/>
      <c r="AZ7" s="4" t="n"/>
      <c r="BA7" s="4" t="n"/>
    </row>
    <row r="8">
      <c r="A8" s="4" t="inlineStr">
        <is>
          <t>U04</t>
        </is>
      </c>
      <c r="B8" s="5"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c r="AA8" s="4" t="n"/>
      <c r="AB8" s="4" t="n"/>
      <c r="AC8" s="4" t="n"/>
      <c r="AD8" s="4" t="n"/>
      <c r="AE8" s="4" t="n"/>
      <c r="AF8" s="4" t="n"/>
      <c r="AG8" s="4" t="n"/>
      <c r="AH8" s="4" t="n"/>
      <c r="AI8" s="4" t="n"/>
      <c r="AJ8" s="4" t="n"/>
      <c r="AK8" s="4" t="n"/>
      <c r="AL8" s="4" t="n"/>
      <c r="AM8" s="4" t="n"/>
      <c r="AN8" s="4" t="n"/>
      <c r="AO8" s="4" t="n"/>
      <c r="AP8" s="4" t="n"/>
      <c r="AQ8" s="4" t="n"/>
      <c r="AR8" s="4" t="n"/>
      <c r="AS8" s="4" t="n"/>
      <c r="AT8" s="4" t="n"/>
      <c r="AU8" s="4" t="n"/>
      <c r="AV8" s="4" t="n"/>
      <c r="AW8" s="4" t="n"/>
      <c r="AX8" s="4" t="n"/>
      <c r="AY8" s="4" t="n"/>
      <c r="AZ8" s="4" t="n"/>
      <c r="BA8" s="4" t="n"/>
    </row>
    <row r="9">
      <c r="A9" s="4" t="inlineStr">
        <is>
          <t>U05</t>
        </is>
      </c>
      <c r="B9" s="5"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c r="AA9" s="4" t="n"/>
      <c r="AB9" s="4" t="n"/>
      <c r="AC9" s="4" t="n"/>
      <c r="AD9" s="4" t="n"/>
      <c r="AE9" s="4" t="n"/>
      <c r="AF9" s="4" t="n"/>
      <c r="AG9" s="4" t="n"/>
      <c r="AH9" s="4" t="n"/>
      <c r="AI9" s="4" t="n"/>
      <c r="AJ9" s="4" t="n"/>
      <c r="AK9" s="4" t="n"/>
      <c r="AL9" s="4" t="n"/>
      <c r="AM9" s="4" t="n"/>
      <c r="AN9" s="4" t="n"/>
      <c r="AO9" s="4" t="n"/>
      <c r="AP9" s="4" t="n"/>
      <c r="AQ9" s="4" t="n"/>
      <c r="AR9" s="4" t="n"/>
      <c r="AS9" s="4" t="n"/>
      <c r="AT9" s="4" t="n"/>
      <c r="AU9" s="4" t="n"/>
      <c r="AV9" s="4" t="n"/>
      <c r="AW9" s="4" t="n"/>
      <c r="AX9" s="4" t="n"/>
      <c r="AY9" s="4" t="n"/>
      <c r="AZ9" s="4" t="n"/>
      <c r="BA9" s="4" t="n"/>
    </row>
    <row r="10">
      <c r="A10" s="4" t="inlineStr">
        <is>
          <t>U06</t>
        </is>
      </c>
      <c r="B10" s="5"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c r="AA10" s="4" t="n"/>
      <c r="AB10" s="4" t="n"/>
      <c r="AC10" s="4" t="n"/>
      <c r="AD10" s="4" t="n"/>
      <c r="AE10" s="4" t="n"/>
      <c r="AF10" s="4" t="n"/>
      <c r="AG10" s="4" t="n"/>
      <c r="AH10" s="4" t="n"/>
      <c r="AI10" s="4" t="n"/>
      <c r="AJ10" s="4" t="n"/>
      <c r="AK10" s="4" t="n"/>
      <c r="AL10" s="4" t="n"/>
      <c r="AM10" s="4" t="n"/>
      <c r="AN10" s="4" t="n"/>
      <c r="AO10" s="4" t="n"/>
      <c r="AP10" s="4" t="n"/>
      <c r="AQ10" s="4" t="n"/>
      <c r="AR10" s="4" t="n"/>
      <c r="AS10" s="4" t="n"/>
      <c r="AT10" s="4" t="n"/>
      <c r="AU10" s="4" t="n"/>
      <c r="AV10" s="4" t="n"/>
      <c r="AW10" s="4" t="n"/>
      <c r="AX10" s="4" t="n"/>
      <c r="AY10" s="4" t="n"/>
      <c r="AZ10" s="4" t="n"/>
      <c r="BA10" s="4" t="n"/>
    </row>
    <row r="11">
      <c r="A11" s="4" t="inlineStr">
        <is>
          <t>U07</t>
        </is>
      </c>
      <c r="B11" s="5"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c r="AA11" s="4" t="n"/>
      <c r="AB11" s="4" t="n"/>
      <c r="AC11" s="4" t="n"/>
      <c r="AD11" s="4" t="n"/>
      <c r="AE11" s="4" t="n"/>
      <c r="AF11" s="4" t="n"/>
      <c r="AG11" s="4" t="n"/>
      <c r="AH11" s="4" t="n"/>
      <c r="AI11" s="4" t="n"/>
      <c r="AJ11" s="4" t="n"/>
      <c r="AK11" s="4" t="n"/>
      <c r="AL11" s="4" t="n"/>
      <c r="AM11" s="4" t="n"/>
      <c r="AN11" s="4" t="n"/>
      <c r="AO11" s="4" t="n"/>
      <c r="AP11" s="4" t="n"/>
      <c r="AQ11" s="4" t="n"/>
      <c r="AR11" s="4" t="n"/>
      <c r="AS11" s="4" t="n"/>
      <c r="AT11" s="4" t="n"/>
      <c r="AU11" s="4" t="n"/>
      <c r="AV11" s="4" t="n"/>
      <c r="AW11" s="4" t="n"/>
      <c r="AX11" s="4" t="n"/>
      <c r="AY11" s="4" t="n"/>
      <c r="AZ11" s="4" t="n"/>
      <c r="BA11" s="4" t="n"/>
    </row>
    <row r="12">
      <c r="A12" s="4" t="inlineStr">
        <is>
          <t>U08</t>
        </is>
      </c>
      <c r="B12" s="5"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c r="AA12" s="4" t="n"/>
      <c r="AB12" s="4" t="n"/>
      <c r="AC12" s="4" t="n"/>
      <c r="AD12" s="4" t="n"/>
      <c r="AE12" s="4" t="n"/>
      <c r="AF12" s="4" t="n"/>
      <c r="AG12" s="4" t="n"/>
      <c r="AH12" s="4" t="n"/>
      <c r="AI12" s="4" t="n"/>
      <c r="AJ12" s="4" t="n"/>
      <c r="AK12" s="4" t="n"/>
      <c r="AL12" s="4" t="n"/>
      <c r="AM12" s="4" t="n"/>
      <c r="AN12" s="4" t="n"/>
      <c r="AO12" s="4" t="n"/>
      <c r="AP12" s="4" t="n"/>
      <c r="AQ12" s="4" t="n"/>
      <c r="AR12" s="4" t="n"/>
      <c r="AS12" s="4" t="n"/>
      <c r="AT12" s="4" t="n"/>
      <c r="AU12" s="4" t="n"/>
      <c r="AV12" s="4" t="n"/>
      <c r="AW12" s="4" t="n"/>
      <c r="AX12" s="4" t="n"/>
      <c r="AY12" s="4" t="n"/>
      <c r="AZ12" s="4" t="n"/>
      <c r="BA12" s="4" t="n"/>
    </row>
    <row r="13">
      <c r="A13" s="4" t="inlineStr">
        <is>
          <t>U09</t>
        </is>
      </c>
      <c r="B13" s="5"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c r="AA13" s="4" t="n"/>
      <c r="AB13" s="4" t="n"/>
      <c r="AC13" s="4" t="n"/>
      <c r="AD13" s="4" t="n"/>
      <c r="AE13" s="4" t="n"/>
      <c r="AF13" s="4" t="n"/>
      <c r="AG13" s="4" t="n"/>
      <c r="AH13" s="4" t="n"/>
      <c r="AI13" s="4" t="n"/>
      <c r="AJ13" s="4" t="n"/>
      <c r="AK13" s="4" t="n"/>
      <c r="AL13" s="4" t="n"/>
      <c r="AM13" s="4" t="n"/>
      <c r="AN13" s="4" t="n"/>
      <c r="AO13" s="4" t="n"/>
      <c r="AP13" s="4" t="n"/>
      <c r="AQ13" s="4" t="n"/>
      <c r="AR13" s="4" t="n"/>
      <c r="AS13" s="4" t="n"/>
      <c r="AT13" s="4" t="n"/>
      <c r="AU13" s="4" t="n"/>
      <c r="AV13" s="4" t="n"/>
      <c r="AW13" s="4" t="n"/>
      <c r="AX13" s="4" t="n"/>
      <c r="AY13" s="4" t="n"/>
      <c r="AZ13" s="4" t="n"/>
      <c r="BA13" s="4" t="n"/>
    </row>
    <row r="14">
      <c r="A14" s="4" t="inlineStr">
        <is>
          <t>U10</t>
        </is>
      </c>
      <c r="B14" s="5"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c r="AA14" s="4" t="n"/>
      <c r="AB14" s="4" t="n"/>
      <c r="AC14" s="4" t="n"/>
      <c r="AD14" s="4" t="n"/>
      <c r="AE14" s="4" t="n"/>
      <c r="AF14" s="4" t="n"/>
      <c r="AG14" s="4" t="n"/>
      <c r="AH14" s="4" t="n"/>
      <c r="AI14" s="4" t="n"/>
      <c r="AJ14" s="4" t="n"/>
      <c r="AK14" s="4" t="n"/>
      <c r="AL14" s="4" t="n"/>
      <c r="AM14" s="4" t="n"/>
      <c r="AN14" s="4" t="n"/>
      <c r="AO14" s="4" t="n"/>
      <c r="AP14" s="4" t="n"/>
      <c r="AQ14" s="4" t="n"/>
      <c r="AR14" s="4" t="n"/>
      <c r="AS14" s="4" t="n"/>
      <c r="AT14" s="4" t="n"/>
      <c r="AU14" s="4" t="n"/>
      <c r="AV14" s="4" t="n"/>
      <c r="AW14" s="4" t="n"/>
      <c r="AX14" s="4" t="n"/>
      <c r="AY14" s="4" t="n"/>
      <c r="AZ14" s="4" t="n"/>
      <c r="BA14" s="4" t="n"/>
    </row>
    <row r="15">
      <c r="A15" s="4" t="inlineStr">
        <is>
          <t>U11</t>
        </is>
      </c>
      <c r="B15" s="5"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c r="AA15" s="4" t="n"/>
      <c r="AB15" s="4" t="n"/>
      <c r="AC15" s="4" t="n"/>
      <c r="AD15" s="4" t="n"/>
      <c r="AE15" s="4" t="n"/>
      <c r="AF15" s="4" t="n"/>
      <c r="AG15" s="4" t="n"/>
      <c r="AH15" s="4" t="n"/>
      <c r="AI15" s="4" t="n"/>
      <c r="AJ15" s="4" t="n"/>
      <c r="AK15" s="4" t="n"/>
      <c r="AL15" s="4" t="n"/>
      <c r="AM15" s="4" t="n"/>
      <c r="AN15" s="4" t="n"/>
      <c r="AO15" s="4" t="n"/>
      <c r="AP15" s="4" t="n"/>
      <c r="AQ15" s="4" t="n"/>
      <c r="AR15" s="4" t="n"/>
      <c r="AS15" s="4" t="n"/>
      <c r="AT15" s="4" t="n"/>
      <c r="AU15" s="4" t="n"/>
      <c r="AV15" s="4" t="n"/>
      <c r="AW15" s="4" t="n"/>
      <c r="AX15" s="4" t="n"/>
      <c r="AY15" s="4" t="n"/>
      <c r="AZ15" s="4" t="n"/>
      <c r="BA15" s="4" t="n"/>
    </row>
    <row r="16">
      <c r="A16" s="4" t="inlineStr">
        <is>
          <t>U12</t>
        </is>
      </c>
      <c r="B16" s="5"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c r="AA16" s="4" t="n"/>
      <c r="AB16" s="4" t="n"/>
      <c r="AC16" s="4" t="n"/>
      <c r="AD16" s="4" t="n"/>
      <c r="AE16" s="4" t="n"/>
      <c r="AF16" s="4" t="n"/>
      <c r="AG16" s="4" t="n"/>
      <c r="AH16" s="4" t="n"/>
      <c r="AI16" s="4" t="n"/>
      <c r="AJ16" s="4" t="n"/>
      <c r="AK16" s="4" t="n"/>
      <c r="AL16" s="4" t="n"/>
      <c r="AM16" s="4" t="n"/>
      <c r="AN16" s="4" t="n"/>
      <c r="AO16" s="4" t="n"/>
      <c r="AP16" s="4" t="n"/>
      <c r="AQ16" s="4" t="n"/>
      <c r="AR16" s="4" t="n"/>
      <c r="AS16" s="4" t="n"/>
      <c r="AT16" s="4" t="n"/>
      <c r="AU16" s="4" t="n"/>
      <c r="AV16" s="4" t="n"/>
      <c r="AW16" s="4" t="n"/>
      <c r="AX16" s="4" t="n"/>
      <c r="AY16" s="4" t="n"/>
      <c r="AZ16" s="4" t="n"/>
      <c r="BA16" s="4" t="n"/>
    </row>
    <row r="17">
      <c r="A17" s="4" t="inlineStr">
        <is>
          <t>U13</t>
        </is>
      </c>
      <c r="B17" s="5"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c r="AA17" s="4" t="n"/>
      <c r="AB17" s="4" t="n"/>
      <c r="AC17" s="4" t="n"/>
      <c r="AD17" s="4" t="n"/>
      <c r="AE17" s="4" t="n"/>
      <c r="AF17" s="4" t="n"/>
      <c r="AG17" s="4" t="n"/>
      <c r="AH17" s="4" t="n"/>
      <c r="AI17" s="4" t="n"/>
      <c r="AJ17" s="4" t="n"/>
      <c r="AK17" s="4" t="n"/>
      <c r="AL17" s="4" t="n"/>
      <c r="AM17" s="4" t="n"/>
      <c r="AN17" s="4" t="n"/>
      <c r="AO17" s="4" t="n"/>
      <c r="AP17" s="4" t="n"/>
      <c r="AQ17" s="4" t="n"/>
      <c r="AR17" s="4" t="n"/>
      <c r="AS17" s="4" t="n"/>
      <c r="AT17" s="4" t="n"/>
      <c r="AU17" s="4" t="n"/>
      <c r="AV17" s="4" t="n"/>
      <c r="AW17" s="4" t="n"/>
      <c r="AX17" s="4" t="n"/>
      <c r="AY17" s="4" t="n"/>
      <c r="AZ17" s="4" t="n"/>
      <c r="BA17" s="4" t="n"/>
    </row>
    <row r="18">
      <c r="A18" s="4" t="inlineStr">
        <is>
          <t>U14</t>
        </is>
      </c>
      <c r="B18" s="5"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c r="AA18" s="4" t="n"/>
      <c r="AB18" s="4" t="n"/>
      <c r="AC18" s="4" t="n"/>
      <c r="AD18" s="4" t="n"/>
      <c r="AE18" s="4" t="n"/>
      <c r="AF18" s="4" t="n"/>
      <c r="AG18" s="4" t="n"/>
      <c r="AH18" s="4" t="n"/>
      <c r="AI18" s="4" t="n"/>
      <c r="AJ18" s="4" t="n"/>
      <c r="AK18" s="4" t="n"/>
      <c r="AL18" s="4" t="n"/>
      <c r="AM18" s="4" t="n"/>
      <c r="AN18" s="4" t="n"/>
      <c r="AO18" s="4" t="n"/>
      <c r="AP18" s="4" t="n"/>
      <c r="AQ18" s="4" t="n"/>
      <c r="AR18" s="4" t="n"/>
      <c r="AS18" s="4" t="n"/>
      <c r="AT18" s="4" t="n"/>
      <c r="AU18" s="4" t="n"/>
      <c r="AV18" s="4" t="n"/>
      <c r="AW18" s="4" t="n"/>
      <c r="AX18" s="4" t="n"/>
      <c r="AY18" s="4" t="n"/>
      <c r="AZ18" s="4" t="n"/>
      <c r="BA18" s="4" t="n"/>
    </row>
    <row r="19">
      <c r="A19" s="4" t="inlineStr">
        <is>
          <t>U15</t>
        </is>
      </c>
      <c r="B19" s="5"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c r="AA19" s="4" t="n"/>
      <c r="AB19" s="4" t="n"/>
      <c r="AC19" s="4" t="n"/>
      <c r="AD19" s="4" t="n"/>
      <c r="AE19" s="4" t="n"/>
      <c r="AF19" s="4" t="n"/>
      <c r="AG19" s="4" t="n"/>
      <c r="AH19" s="4" t="n"/>
      <c r="AI19" s="4" t="n"/>
      <c r="AJ19" s="4" t="n"/>
      <c r="AK19" s="4" t="n"/>
      <c r="AL19" s="4" t="n"/>
      <c r="AM19" s="4" t="n"/>
      <c r="AN19" s="4" t="n"/>
      <c r="AO19" s="4" t="n"/>
      <c r="AP19" s="4" t="n"/>
      <c r="AQ19" s="4" t="n"/>
      <c r="AR19" s="4" t="n"/>
      <c r="AS19" s="4" t="n"/>
      <c r="AT19" s="4" t="n"/>
      <c r="AU19" s="4" t="n"/>
      <c r="AV19" s="4" t="n"/>
      <c r="AW19" s="4" t="n"/>
      <c r="AX19" s="4" t="n"/>
      <c r="AY19" s="4" t="n"/>
      <c r="AZ19" s="4" t="n"/>
      <c r="BA19" s="4" t="n"/>
    </row>
    <row r="20">
      <c r="A20" s="4" t="inlineStr">
        <is>
          <t>U16</t>
        </is>
      </c>
      <c r="B20" s="5"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c r="AA20" s="4" t="n"/>
      <c r="AB20" s="4" t="n"/>
      <c r="AC20" s="4" t="n"/>
      <c r="AD20" s="4" t="n"/>
      <c r="AE20" s="4" t="n"/>
      <c r="AF20" s="4" t="n"/>
      <c r="AG20" s="4" t="n"/>
      <c r="AH20" s="4" t="n"/>
      <c r="AI20" s="4" t="n"/>
      <c r="AJ20" s="4" t="n"/>
      <c r="AK20" s="4" t="n"/>
      <c r="AL20" s="4" t="n"/>
      <c r="AM20" s="4" t="n"/>
      <c r="AN20" s="4" t="n"/>
      <c r="AO20" s="4" t="n"/>
      <c r="AP20" s="4" t="n"/>
      <c r="AQ20" s="4" t="n"/>
      <c r="AR20" s="4" t="n"/>
      <c r="AS20" s="4" t="n"/>
      <c r="AT20" s="4" t="n"/>
      <c r="AU20" s="4" t="n"/>
      <c r="AV20" s="4" t="n"/>
      <c r="AW20" s="4" t="n"/>
      <c r="AX20" s="4" t="n"/>
      <c r="AY20" s="4" t="n"/>
      <c r="AZ20" s="4" t="n"/>
      <c r="BA20" s="4" t="n"/>
    </row>
    <row r="21">
      <c r="A21" s="4" t="inlineStr">
        <is>
          <t>U17</t>
        </is>
      </c>
      <c r="B21" s="5"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c r="AA21" s="4" t="n"/>
      <c r="AB21" s="4" t="n"/>
      <c r="AC21" s="4" t="n"/>
      <c r="AD21" s="4" t="n"/>
      <c r="AE21" s="4" t="n"/>
      <c r="AF21" s="4" t="n"/>
      <c r="AG21" s="4" t="n"/>
      <c r="AH21" s="4" t="n"/>
      <c r="AI21" s="4" t="n"/>
      <c r="AJ21" s="4" t="n"/>
      <c r="AK21" s="4" t="n"/>
      <c r="AL21" s="4" t="n"/>
      <c r="AM21" s="4" t="n"/>
      <c r="AN21" s="4" t="n"/>
      <c r="AO21" s="4" t="n"/>
      <c r="AP21" s="4" t="n"/>
      <c r="AQ21" s="4" t="n"/>
      <c r="AR21" s="4" t="n"/>
      <c r="AS21" s="4" t="n"/>
      <c r="AT21" s="4" t="n"/>
      <c r="AU21" s="4" t="n"/>
      <c r="AV21" s="4" t="n"/>
      <c r="AW21" s="4" t="n"/>
      <c r="AX21" s="4" t="n"/>
      <c r="AY21" s="4" t="n"/>
      <c r="AZ21" s="4" t="n"/>
      <c r="BA21" s="4" t="n"/>
    </row>
    <row r="22">
      <c r="A22" s="4" t="inlineStr">
        <is>
          <t>U18</t>
        </is>
      </c>
      <c r="B22" s="5"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c r="AA22" s="4" t="n"/>
      <c r="AB22" s="4" t="n"/>
      <c r="AC22" s="4" t="n"/>
      <c r="AD22" s="4" t="n"/>
      <c r="AE22" s="4" t="n"/>
      <c r="AF22" s="4" t="n"/>
      <c r="AG22" s="4" t="n"/>
      <c r="AH22" s="4" t="n"/>
      <c r="AI22" s="4" t="n"/>
      <c r="AJ22" s="4" t="n"/>
      <c r="AK22" s="4" t="n"/>
      <c r="AL22" s="4" t="n"/>
      <c r="AM22" s="4" t="n"/>
      <c r="AN22" s="4" t="n"/>
      <c r="AO22" s="4" t="n"/>
      <c r="AP22" s="4" t="n"/>
      <c r="AQ22" s="4" t="n"/>
      <c r="AR22" s="4" t="n"/>
      <c r="AS22" s="4" t="n"/>
      <c r="AT22" s="4" t="n"/>
      <c r="AU22" s="4" t="n"/>
      <c r="AV22" s="4" t="n"/>
      <c r="AW22" s="4" t="n"/>
      <c r="AX22" s="4" t="n"/>
      <c r="AY22" s="4" t="n"/>
      <c r="AZ22" s="4" t="n"/>
      <c r="BA22" s="4" t="n"/>
    </row>
    <row r="23">
      <c r="A23" s="4" t="inlineStr">
        <is>
          <t>U19</t>
        </is>
      </c>
      <c r="B23" s="5"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c r="AA23" s="4" t="n"/>
      <c r="AB23" s="4" t="n"/>
      <c r="AC23" s="4" t="n"/>
      <c r="AD23" s="4" t="n"/>
      <c r="AE23" s="4" t="n"/>
      <c r="AF23" s="4" t="n"/>
      <c r="AG23" s="4" t="n"/>
      <c r="AH23" s="4" t="n"/>
      <c r="AI23" s="4" t="n"/>
      <c r="AJ23" s="4" t="n"/>
      <c r="AK23" s="4" t="n"/>
      <c r="AL23" s="4" t="n"/>
      <c r="AM23" s="4" t="n"/>
      <c r="AN23" s="4" t="n"/>
      <c r="AO23" s="4" t="n"/>
      <c r="AP23" s="4" t="n"/>
      <c r="AQ23" s="4" t="n"/>
      <c r="AR23" s="4" t="n"/>
      <c r="AS23" s="4" t="n"/>
      <c r="AT23" s="4" t="n"/>
      <c r="AU23" s="4" t="n"/>
      <c r="AV23" s="4" t="n"/>
      <c r="AW23" s="4" t="n"/>
      <c r="AX23" s="4" t="n"/>
      <c r="AY23" s="4" t="n"/>
      <c r="AZ23" s="4" t="n"/>
      <c r="BA23" s="4" t="n"/>
    </row>
    <row r="24">
      <c r="A24" s="4" t="inlineStr">
        <is>
          <t>U20</t>
        </is>
      </c>
      <c r="B24" s="5"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c r="AA24" s="4" t="n"/>
      <c r="AB24" s="4" t="n"/>
      <c r="AC24" s="4" t="n"/>
      <c r="AD24" s="4" t="n"/>
      <c r="AE24" s="4" t="n"/>
      <c r="AF24" s="4" t="n"/>
      <c r="AG24" s="4" t="n"/>
      <c r="AH24" s="4" t="n"/>
      <c r="AI24" s="4" t="n"/>
      <c r="AJ24" s="4" t="n"/>
      <c r="AK24" s="4" t="n"/>
      <c r="AL24" s="4" t="n"/>
      <c r="AM24" s="4" t="n"/>
      <c r="AN24" s="4" t="n"/>
      <c r="AO24" s="4" t="n"/>
      <c r="AP24" s="4" t="n"/>
      <c r="AQ24" s="4" t="n"/>
      <c r="AR24" s="4" t="n"/>
      <c r="AS24" s="4" t="n"/>
      <c r="AT24" s="4" t="n"/>
      <c r="AU24" s="4" t="n"/>
      <c r="AV24" s="4" t="n"/>
      <c r="AW24" s="4" t="n"/>
      <c r="AX24" s="4" t="n"/>
      <c r="AY24" s="4" t="n"/>
      <c r="AZ24" s="4" t="n"/>
      <c r="BA24" s="4" t="n"/>
    </row>
    <row r="25">
      <c r="A25" s="4" t="inlineStr">
        <is>
          <t>U21</t>
        </is>
      </c>
      <c r="B25" s="5"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c r="AA25" s="4" t="n"/>
      <c r="AB25" s="4" t="n"/>
      <c r="AC25" s="4" t="n"/>
      <c r="AD25" s="4" t="n"/>
      <c r="AE25" s="4" t="n"/>
      <c r="AF25" s="4" t="n"/>
      <c r="AG25" s="4" t="n"/>
      <c r="AH25" s="4" t="n"/>
      <c r="AI25" s="4" t="n"/>
      <c r="AJ25" s="4" t="n"/>
      <c r="AK25" s="4" t="n"/>
      <c r="AL25" s="4" t="n"/>
      <c r="AM25" s="4" t="n"/>
      <c r="AN25" s="4" t="n"/>
      <c r="AO25" s="4" t="n"/>
      <c r="AP25" s="4" t="n"/>
      <c r="AQ25" s="4" t="n"/>
      <c r="AR25" s="4" t="n"/>
      <c r="AS25" s="4" t="n"/>
      <c r="AT25" s="4" t="n"/>
      <c r="AU25" s="4" t="n"/>
      <c r="AV25" s="4" t="n"/>
      <c r="AW25" s="4" t="n"/>
      <c r="AX25" s="4" t="n"/>
      <c r="AY25" s="4" t="n"/>
      <c r="AZ25" s="4" t="n"/>
      <c r="BA25" s="4" t="n"/>
    </row>
    <row r="26">
      <c r="A26" s="4" t="inlineStr">
        <is>
          <t>U22</t>
        </is>
      </c>
      <c r="B26" s="5"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c r="AA26" s="4" t="n"/>
      <c r="AB26" s="4" t="n"/>
      <c r="AC26" s="4" t="n"/>
      <c r="AD26" s="4" t="n"/>
      <c r="AE26" s="4" t="n"/>
      <c r="AF26" s="4" t="n"/>
      <c r="AG26" s="4" t="n"/>
      <c r="AH26" s="4" t="n"/>
      <c r="AI26" s="4" t="n"/>
      <c r="AJ26" s="4" t="n"/>
      <c r="AK26" s="4" t="n"/>
      <c r="AL26" s="4" t="n"/>
      <c r="AM26" s="4" t="n"/>
      <c r="AN26" s="4" t="n"/>
      <c r="AO26" s="4" t="n"/>
      <c r="AP26" s="4" t="n"/>
      <c r="AQ26" s="4" t="n"/>
      <c r="AR26" s="4" t="n"/>
      <c r="AS26" s="4" t="n"/>
      <c r="AT26" s="4" t="n"/>
      <c r="AU26" s="4" t="n"/>
      <c r="AV26" s="4" t="n"/>
      <c r="AW26" s="4" t="n"/>
      <c r="AX26" s="4" t="n"/>
      <c r="AY26" s="4" t="n"/>
      <c r="AZ26" s="4" t="n"/>
      <c r="BA26" s="4" t="n"/>
    </row>
    <row r="27">
      <c r="A27" s="4" t="inlineStr">
        <is>
          <t>U23</t>
        </is>
      </c>
      <c r="B27" s="5"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c r="AA27" s="4" t="n"/>
      <c r="AB27" s="4" t="n"/>
      <c r="AC27" s="4" t="n"/>
      <c r="AD27" s="4" t="n"/>
      <c r="AE27" s="4" t="n"/>
      <c r="AF27" s="4" t="n"/>
      <c r="AG27" s="4" t="n"/>
      <c r="AH27" s="4" t="n"/>
      <c r="AI27" s="4" t="n"/>
      <c r="AJ27" s="4" t="n"/>
      <c r="AK27" s="4" t="n"/>
      <c r="AL27" s="4" t="n"/>
      <c r="AM27" s="4" t="n"/>
      <c r="AN27" s="4" t="n"/>
      <c r="AO27" s="4" t="n"/>
      <c r="AP27" s="4" t="n"/>
      <c r="AQ27" s="4" t="n"/>
      <c r="AR27" s="4" t="n"/>
      <c r="AS27" s="4" t="n"/>
      <c r="AT27" s="4" t="n"/>
      <c r="AU27" s="4" t="n"/>
      <c r="AV27" s="4" t="n"/>
      <c r="AW27" s="4" t="n"/>
      <c r="AX27" s="4" t="n"/>
      <c r="AY27" s="4" t="n"/>
      <c r="AZ27" s="4" t="n"/>
      <c r="BA27" s="4" t="n"/>
    </row>
    <row r="28">
      <c r="A28" s="4" t="inlineStr">
        <is>
          <t>U24</t>
        </is>
      </c>
      <c r="B28" s="5"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c r="AA28" s="4" t="n"/>
      <c r="AB28" s="4" t="n"/>
      <c r="AC28" s="4" t="n"/>
      <c r="AD28" s="4" t="n"/>
      <c r="AE28" s="4" t="n"/>
      <c r="AF28" s="4" t="n"/>
      <c r="AG28" s="4" t="n"/>
      <c r="AH28" s="4" t="n"/>
      <c r="AI28" s="4" t="n"/>
      <c r="AJ28" s="4" t="n"/>
      <c r="AK28" s="4" t="n"/>
      <c r="AL28" s="4" t="n"/>
      <c r="AM28" s="4" t="n"/>
      <c r="AN28" s="4" t="n"/>
      <c r="AO28" s="4" t="n"/>
      <c r="AP28" s="4" t="n"/>
      <c r="AQ28" s="4" t="n"/>
      <c r="AR28" s="4" t="n"/>
      <c r="AS28" s="4" t="n"/>
      <c r="AT28" s="4" t="n"/>
      <c r="AU28" s="4" t="n"/>
      <c r="AV28" s="4" t="n"/>
      <c r="AW28" s="4" t="n"/>
      <c r="AX28" s="4" t="n"/>
      <c r="AY28" s="4" t="n"/>
      <c r="AZ28" s="4" t="n"/>
      <c r="BA28" s="4" t="n"/>
    </row>
    <row r="29">
      <c r="A29" s="4" t="inlineStr">
        <is>
          <t>U25</t>
        </is>
      </c>
      <c r="B29" s="5"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c r="AA29" s="4" t="n"/>
      <c r="AB29" s="4" t="n"/>
      <c r="AC29" s="4" t="n"/>
      <c r="AD29" s="4" t="n"/>
      <c r="AE29" s="4" t="n"/>
      <c r="AF29" s="4" t="n"/>
      <c r="AG29" s="4" t="n"/>
      <c r="AH29" s="4" t="n"/>
      <c r="AI29" s="4" t="n"/>
      <c r="AJ29" s="4" t="n"/>
      <c r="AK29" s="4" t="n"/>
      <c r="AL29" s="4" t="n"/>
      <c r="AM29" s="4" t="n"/>
      <c r="AN29" s="4" t="n"/>
      <c r="AO29" s="4" t="n"/>
      <c r="AP29" s="4" t="n"/>
      <c r="AQ29" s="4" t="n"/>
      <c r="AR29" s="4" t="n"/>
      <c r="AS29" s="4" t="n"/>
      <c r="AT29" s="4" t="n"/>
      <c r="AU29" s="4" t="n"/>
      <c r="AV29" s="4" t="n"/>
      <c r="AW29" s="4" t="n"/>
      <c r="AX29" s="4" t="n"/>
      <c r="AY29" s="4" t="n"/>
      <c r="AZ29" s="4" t="n"/>
      <c r="BA29" s="4" t="n"/>
    </row>
    <row r="30">
      <c r="A30" s="4" t="inlineStr">
        <is>
          <t>U26</t>
        </is>
      </c>
      <c r="B30" s="5"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c r="AA30" s="4" t="n"/>
      <c r="AB30" s="4" t="n"/>
      <c r="AC30" s="4" t="n"/>
      <c r="AD30" s="4" t="n"/>
      <c r="AE30" s="4" t="n"/>
      <c r="AF30" s="4" t="n"/>
      <c r="AG30" s="4" t="n"/>
      <c r="AH30" s="4" t="n"/>
      <c r="AI30" s="4" t="n"/>
      <c r="AJ30" s="4" t="n"/>
      <c r="AK30" s="4" t="n"/>
      <c r="AL30" s="4" t="n"/>
      <c r="AM30" s="4" t="n"/>
      <c r="AN30" s="4" t="n"/>
      <c r="AO30" s="4" t="n"/>
      <c r="AP30" s="4" t="n"/>
      <c r="AQ30" s="4" t="n"/>
      <c r="AR30" s="4" t="n"/>
      <c r="AS30" s="4" t="n"/>
      <c r="AT30" s="4" t="n"/>
      <c r="AU30" s="4" t="n"/>
      <c r="AV30" s="4" t="n"/>
      <c r="AW30" s="4" t="n"/>
      <c r="AX30" s="4" t="n"/>
      <c r="AY30" s="4" t="n"/>
      <c r="AZ30" s="4" t="n"/>
      <c r="BA30" s="4" t="n"/>
    </row>
    <row r="31">
      <c r="A31" s="4" t="inlineStr">
        <is>
          <t>U27</t>
        </is>
      </c>
      <c r="B31" s="5"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c r="AA31" s="4" t="n"/>
      <c r="AB31" s="4" t="n"/>
      <c r="AC31" s="4" t="n"/>
      <c r="AD31" s="4" t="n"/>
      <c r="AE31" s="4" t="n"/>
      <c r="AF31" s="4" t="n"/>
      <c r="AG31" s="4" t="n"/>
      <c r="AH31" s="4" t="n"/>
      <c r="AI31" s="4" t="n"/>
      <c r="AJ31" s="4" t="n"/>
      <c r="AK31" s="4" t="n"/>
      <c r="AL31" s="4" t="n"/>
      <c r="AM31" s="4" t="n"/>
      <c r="AN31" s="4" t="n"/>
      <c r="AO31" s="4" t="n"/>
      <c r="AP31" s="4" t="n"/>
      <c r="AQ31" s="4" t="n"/>
      <c r="AR31" s="4" t="n"/>
      <c r="AS31" s="4" t="n"/>
      <c r="AT31" s="4" t="n"/>
      <c r="AU31" s="4" t="n"/>
      <c r="AV31" s="4" t="n"/>
      <c r="AW31" s="4" t="n"/>
      <c r="AX31" s="4" t="n"/>
      <c r="AY31" s="4" t="n"/>
      <c r="AZ31" s="4" t="n"/>
      <c r="BA31" s="4" t="n"/>
    </row>
    <row r="32">
      <c r="A32" s="4" t="inlineStr">
        <is>
          <t>U28</t>
        </is>
      </c>
      <c r="B32" s="5"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c r="AA32" s="4" t="n"/>
      <c r="AB32" s="4" t="n"/>
      <c r="AC32" s="4" t="n"/>
      <c r="AD32" s="4" t="n"/>
      <c r="AE32" s="4" t="n"/>
      <c r="AF32" s="4" t="n"/>
      <c r="AG32" s="4" t="n"/>
      <c r="AH32" s="4" t="n"/>
      <c r="AI32" s="4" t="n"/>
      <c r="AJ32" s="4" t="n"/>
      <c r="AK32" s="4" t="n"/>
      <c r="AL32" s="4" t="n"/>
      <c r="AM32" s="4" t="n"/>
      <c r="AN32" s="4" t="n"/>
      <c r="AO32" s="4" t="n"/>
      <c r="AP32" s="4" t="n"/>
      <c r="AQ32" s="4" t="n"/>
      <c r="AR32" s="4" t="n"/>
      <c r="AS32" s="4" t="n"/>
      <c r="AT32" s="4" t="n"/>
      <c r="AU32" s="4" t="n"/>
      <c r="AV32" s="4" t="n"/>
      <c r="AW32" s="4" t="n"/>
      <c r="AX32" s="4" t="n"/>
      <c r="AY32" s="4" t="n"/>
      <c r="AZ32" s="4" t="n"/>
      <c r="BA32" s="4" t="n"/>
    </row>
    <row r="33">
      <c r="A33" s="4" t="inlineStr">
        <is>
          <t>U29</t>
        </is>
      </c>
      <c r="B33" s="5"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c r="AA33" s="4" t="n"/>
      <c r="AB33" s="4" t="n"/>
      <c r="AC33" s="4" t="n"/>
      <c r="AD33" s="4" t="n"/>
      <c r="AE33" s="4" t="n"/>
      <c r="AF33" s="4" t="n"/>
      <c r="AG33" s="4" t="n"/>
      <c r="AH33" s="4" t="n"/>
      <c r="AI33" s="4" t="n"/>
      <c r="AJ33" s="4" t="n"/>
      <c r="AK33" s="4" t="n"/>
      <c r="AL33" s="4" t="n"/>
      <c r="AM33" s="4" t="n"/>
      <c r="AN33" s="4" t="n"/>
      <c r="AO33" s="4" t="n"/>
      <c r="AP33" s="4" t="n"/>
      <c r="AQ33" s="4" t="n"/>
      <c r="AR33" s="4" t="n"/>
      <c r="AS33" s="4" t="n"/>
      <c r="AT33" s="4" t="n"/>
      <c r="AU33" s="4" t="n"/>
      <c r="AV33" s="4" t="n"/>
      <c r="AW33" s="4" t="n"/>
      <c r="AX33" s="4" t="n"/>
      <c r="AY33" s="4" t="n"/>
      <c r="AZ33" s="4" t="n"/>
      <c r="BA33" s="4" t="n"/>
    </row>
    <row r="34">
      <c r="A34" s="4" t="inlineStr">
        <is>
          <t>U30</t>
        </is>
      </c>
      <c r="B34" s="5"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c r="AA34" s="4" t="n"/>
      <c r="AB34" s="4" t="n"/>
      <c r="AC34" s="4" t="n"/>
      <c r="AD34" s="4" t="n"/>
      <c r="AE34" s="4" t="n"/>
      <c r="AF34" s="4" t="n"/>
      <c r="AG34" s="4" t="n"/>
      <c r="AH34" s="4" t="n"/>
      <c r="AI34" s="4" t="n"/>
      <c r="AJ34" s="4" t="n"/>
      <c r="AK34" s="4" t="n"/>
      <c r="AL34" s="4" t="n"/>
      <c r="AM34" s="4" t="n"/>
      <c r="AN34" s="4" t="n"/>
      <c r="AO34" s="4" t="n"/>
      <c r="AP34" s="4" t="n"/>
      <c r="AQ34" s="4" t="n"/>
      <c r="AR34" s="4" t="n"/>
      <c r="AS34" s="4" t="n"/>
      <c r="AT34" s="4" t="n"/>
      <c r="AU34" s="4" t="n"/>
      <c r="AV34" s="4" t="n"/>
      <c r="AW34" s="4" t="n"/>
      <c r="AX34" s="4" t="n"/>
      <c r="AY34" s="4" t="n"/>
      <c r="AZ34" s="4" t="n"/>
      <c r="BA34" s="4" t="n"/>
    </row>
  </sheetData>
  <mergeCells count="2">
    <mergeCell ref="A1:BC1"/>
    <mergeCell ref="A2:BC2"/>
  </mergeCells>
  <dataValidations count="1">
    <dataValidation sqref="D5 D6 D7 D8 D9 D10 D11 D12 D13 D14 D15 D16 D17 D18 D19 D20 D21 D22 D23 D24 D25 D26 D27 D28 D29 D30 D31 D32 D33 D34 E5 E6 E7 E8 E9 E10 E11 E12 E13 E14 E15 E16 E17 E18 E19 E20 E21 E22 E23 E24 E25 E26 E27 E28 E29 E30 E31 E32 E33 E34 F5 F6 F7 F8 F9 F10 F11 F12 F13 F14 F15 F16 F17 F18 F19 F20 F21 F22 F23 F24 F25 F26 F27 F28 F29 F30 F31 F32 F33 F34 G5 G6 G7 G8 G9 G10 G11 G12 G13 G14 G15 G16 G17 G18 G19 G20 G21 G22 G23 G24 G25 G26 G27 G28 G29 G30 G31 G32 G33 G34 H5 H6 H7 H8 H9 H10 H11 H12 H13 H14 H15 H16 H17 H18 H19 H20 H21 H22 H23 H24 H25 H26 H27 H28 H29 H30 H31 H32 H33 H34 I5 I6 I7 I8 I9 I10 I11 I12 I13 I14 I15 I16 I17 I18 I19 I20 I21 I22 I23 I24 I25 I26 I27 I28 I29 I30 I31 I32 I33 I34 J5 J6 J7 J8 J9 J10 J11 J12 J13 J14 J15 J16 J17 J18 J19 J20 J21 J22 J23 J24 J25 J26 J27 J28 J29 J30 J31 J32 J33 J34 K5 K6 K7 K8 K9 K10 K11 K12 K13 K14 K15 K16 K17 K18 K19 K20 K21 K22 K23 K24 K25 K26 K27 K28 K29 K30 K31 K32 K33 K34 L5 L6 L7 L8 L9 L10 L11 L12 L13 L14 L15 L16 L17 L18 L19 L20 L21 L22 L23 L24 L25 L26 L27 L28 L29 L30 L31 L32 L33 L34 M5 M6 M7 M8 M9 M10 M11 M12 M13 M14 M15 M16 M17 M18 M19 M20 M21 M22 M23 M24 M25 M26 M27 M28 M29 M30 M31 M32 M33 M34 N5 N6 N7 N8 N9 N10 N11 N12 N13 N14 N15 N16 N17 N18 N19 N20 N21 N22 N23 N24 N25 N26 N27 N28 N29 N30 N31 N32 N33 N34 O5 O6 O7 O8 O9 O10 O11 O12 O13 O14 O15 O16 O17 O18 O19 O20 O21 O22 O23 O24 O25 O26 O27 O28 O29 O30 O31 O32 O33 O34 P5 P6 P7 P8 P9 P10 P11 P12 P13 P14 P15 P16 P17 P18 P19 P20 P21 P22 P23 P24 P25 P26 P27 P28 P29 P30 P31 P32 P33 P34 Q5 Q6 Q7 Q8 Q9 Q10 Q11 Q12 Q13 Q14 Q15 Q16 Q17 Q18 Q19 Q20 Q21 Q22 Q23 Q24 Q25 Q26 Q27 Q28 Q29 Q30 Q31 Q32 Q33 Q34 R5 R6 R7 R8 R9 R10 R11 R12 R13 R14 R15 R16 R17 R18 R19 R20 R21 R22 R23 R24 R25 R26 R27 R28 R29 R30 R31 R32 R33 R34 S5 S6 S7 S8 S9 S10 S11 S12 S13 S14 S15 S16 S17 S18 S19 S20 S21 S22 S23 S24 S25 S26 S27 S28 S29 S30 S31 S32 S33 S34 T5 T6 T7 T8 T9 T10 T11 T12 T13 T14 T15 T16 T17 T18 T19 T20 T21 T22 T23 T24 T25 T26 T27 T28 T29 T30 T31 T32 T33 T34 U5 U6 U7 U8 U9 U10 U11 U12 U13 U14 U15 U16 U17 U18 U19 U20 U21 U22 U23 U24 U25 U26 U27 U28 U29 U30 U31 U32 U33 U34 V5 V6 V7 V8 V9 V10 V11 V12 V13 V14 V15 V16 V17 V18 V19 V20 V21 V22 V23 V24 V25 V26 V27 V28 V29 V30 V31 V32 V33 V34 W5 W6 W7 W8 W9 W10 W11 W12 W13 W14 W15 W16 W17 W18 W19 W20 W21 W22 W23 W24 W25 W26 W27 W28 W29 W30 W31 W32 W33 W34 X5 X6 X7 X8 X9 X10 X11 X12 X13 X14 X15 X16 X17 X18 X19 X20 X21 X22 X23 X24 X25 X26 X27 X28 X29 X30 X31 X32 X33 X34 Y5 Y6 Y7 Y8 Y9 Y10 Y11 Y12 Y13 Y14 Y15 Y16 Y17 Y18 Y19 Y20 Y21 Y22 Y23 Y24 Y25 Y26 Y27 Y28 Y29 Y30 Y31 Y32 Y33 Y34 Z5 Z6 Z7 Z8 Z9 Z10 Z11 Z12 Z13 Z14 Z15 Z16 Z17 Z18 Z19 Z20 Z21 Z22 Z23 Z24 Z25 Z26 Z27 Z28 Z29 Z30 Z31 Z32 Z33 Z34 AA5 AA6 AA7 AA8 AA9 AA10 AA11 AA12 AA13 AA14 AA15 AA16 AA17 AA18 AA19 AA20 AA21 AA22 AA23 AA24 AA25 AA26 AA27 AA28 AA29 AA30 AA31 AA32 AA33 AA34 AB5 AB6 AB7 AB8 AB9 AB10 AB11 AB12 AB13 AB14 AB15 AB16 AB17 AB18 AB19 AB20 AB21 AB22 AB23 AB24 AB25 AB26 AB27 AB28 AB29 AB30 AB31 AB32 AB33 AB34 AC5 AC6 AC7 AC8 AC9 AC10 AC11 AC12 AC13 AC14 AC15 AC16 AC17 AC18 AC19 AC20 AC21 AC22 AC23 AC24 AC25 AC26 AC27 AC28 AC29 AC30 AC31 AC32 AC33 AC34 AD5 AD6 AD7 AD8 AD9 AD10 AD11 AD12 AD13 AD14 AD15 AD16 AD17 AD18 AD19 AD20 AD21 AD22 AD23 AD24 AD25 AD26 AD27 AD28 AD29 AD30 AD31 AD32 AD33 AD34 AE5 AE6 AE7 AE8 AE9 AE10 AE11 AE12 AE13 AE14 AE15 AE16 AE17 AE18 AE19 AE20 AE21 AE22 AE23 AE24 AE25 AE26 AE27 AE28 AE29 AE30 AE31 AE32 AE33 AE34 AF5 AF6 AF7 AF8 AF9 AF10 AF11 AF12 AF13 AF14 AF15 AF16 AF17 AF18 AF19 AF20 AF21 AF22 AF23 AF24 AF25 AF26 AF27 AF28 AF29 AF30 AF31 AF32 AF33 AF34 AG5 AG6 AG7 AG8 AG9 AG10 AG11 AG12 AG13 AG14 AG15 AG16 AG17 AG18 AG19 AG20 AG21 AG22 AG23 AG24 AG25 AG26 AG27 AG28 AG29 AG30 AG31 AG32 AG33 AG34 AH5 AH6 AH7 AH8 AH9 AH10 AH11 AH12 AH13 AH14 AH15 AH16 AH17 AH18 AH19 AH20 AH21 AH22 AH23 AH24 AH25 AH26 AH27 AH28 AH29 AH30 AH31 AH32 AH33 AH34 AI5 AI6 AI7 AI8 AI9 AI10 AI11 AI12 AI13 AI14 AI15 AI16 AI17 AI18 AI19 AI20 AI21 AI22 AI23 AI24 AI25 AI26 AI27 AI28 AI29 AI30 AI31 AI32 AI33 AI34 AJ5 AJ6 AJ7 AJ8 AJ9 AJ10 AJ11 AJ12 AJ13 AJ14 AJ15 AJ16 AJ17 AJ18 AJ19 AJ20 AJ21 AJ22 AJ23 AJ24 AJ25 AJ26 AJ27 AJ28 AJ29 AJ30 AJ31 AJ32 AJ33 AJ34 AK5 AK6 AK7 AK8 AK9 AK10 AK11 AK12 AK13 AK14 AK15 AK16 AK17 AK18 AK19 AK20 AK21 AK22 AK23 AK24 AK25 AK26 AK27 AK28 AK29 AK30 AK31 AK32 AK33 AK34 AL5 AL6 AL7 AL8 AL9 AL10 AL11 AL12 AL13 AL14 AL15 AL16 AL17 AL18 AL19 AL20 AL21 AL22 AL23 AL24 AL25 AL26 AL27 AL28 AL29 AL30 AL31 AL32 AL33 AL34 AM5 AM6 AM7 AM8 AM9 AM10 AM11 AM12 AM13 AM14 AM15 AM16 AM17 AM18 AM19 AM20 AM21 AM22 AM23 AM24 AM25 AM26 AM27 AM28 AM29 AM30 AM31 AM32 AM33 AM34 AN5 AN6 AN7 AN8 AN9 AN10 AN11 AN12 AN13 AN14 AN15 AN16 AN17 AN18 AN19 AN20 AN21 AN22 AN23 AN24 AN25 AN26 AN27 AN28 AN29 AN30 AN31 AN32 AN33 AN34 AO5 AO6 AO7 AO8 AO9 AO10 AO11 AO12 AO13 AO14 AO15 AO16 AO17 AO18 AO19 AO20 AO21 AO22 AO23 AO24 AO25 AO26 AO27 AO28 AO29 AO30 AO31 AO32 AO33 AO34 AP5 AP6 AP7 AP8 AP9 AP10 AP11 AP12 AP13 AP14 AP15 AP16 AP17 AP18 AP19 AP20 AP21 AP22 AP23 AP24 AP25 AP26 AP27 AP28 AP29 AP30 AP31 AP32 AP33 AP34 AQ5 AQ6 AQ7 AQ8 AQ9 AQ10 AQ11 AQ12 AQ13 AQ14 AQ15 AQ16 AQ17 AQ18 AQ19 AQ20 AQ21 AQ22 AQ23 AQ24 AQ25 AQ26 AQ27 AQ28 AQ29 AQ30 AQ31 AQ32 AQ33 AQ34 AR5 AR6 AR7 AR8 AR9 AR10 AR11 AR12 AR13 AR14 AR15 AR16 AR17 AR18 AR19 AR20 AR21 AR22 AR23 AR24 AR25 AR26 AR27 AR28 AR29 AR30 AR31 AR32 AR33 AR34 AS5 AS6 AS7 AS8 AS9 AS10 AS11 AS12 AS13 AS14 AS15 AS16 AS17 AS18 AS19 AS20 AS21 AS22 AS23 AS24 AS25 AS26 AS27 AS28 AS29 AS30 AS31 AS32 AS33 AS34 AT5 AT6 AT7 AT8 AT9 AT10 AT11 AT12 AT13 AT14 AT15 AT16 AT17 AT18 AT19 AT20 AT21 AT22 AT23 AT24 AT25 AT26 AT27 AT28 AT29 AT30 AT31 AT32 AT33 AT34 AU5 AU6 AU7 AU8 AU9 AU10 AU11 AU12 AU13 AU14 AU15 AU16 AU17 AU18 AU19 AU20 AU21 AU22 AU23 AU24 AU25 AU26 AU27 AU28 AU29 AU30 AU31 AU32 AU33 AU34 AV5 AV6 AV7 AV8 AV9 AV10 AV11 AV12 AV13 AV14 AV15 AV16 AV17 AV18 AV19 AV20 AV21 AV22 AV23 AV24 AV25 AV26 AV27 AV28 AV29 AV30 AV31 AV32 AV33 AV34 AW5 AW6 AW7 AW8 AW9 AW10 AW11 AW12 AW13 AW14 AW15 AW16 AW17 AW18 AW19 AW20 AW21 AW22 AW23 AW24 AW25 AW26 AW27 AW28 AW29 AW30 AW31 AW32 AW33 AW34 AX5 AX6 AX7 AX8 AX9 AX10 AX11 AX12 AX13 AX14 AX15 AX16 AX17 AX18 AX19 AX20 AX21 AX22 AX23 AX24 AX25 AX26 AX27 AX28 AX29 AX30 AX31 AX32 AX33 AX34 AY5 AY6 AY7 AY8 AY9 AY10 AY11 AY12 AY13 AY14 AY15 AY16 AY17 AY18 AY19 AY20 AY21 AY22 AY23 AY24 AY25 AY26 AY27 AY28 AY29 AY30 AY31 AY32 AY33 AY34 AZ5 AZ6 AZ7 AZ8 AZ9 AZ10 AZ11 AZ12 AZ13 AZ14 AZ15 AZ16 AZ17 AZ18 AZ19 AZ20 AZ21 AZ22 AZ23 AZ24 AZ25 AZ26 AZ27 AZ28 AZ29 AZ30 AZ31 AZ32 AZ33 AZ34 BA5 BA6 BA7 BA8 BA9 BA10 BA11 BA12 BA13 BA14 BA15 BA16 BA17 BA18 BA19 BA20 BA21 BA22 BA23 BA24 BA25 BA26 BA27 BA28 BA29 BA30 BA31 BA32 BA33 BA34" showDropDown="0" showInputMessage="0" showErrorMessage="0" allowBlank="1" type="list">
      <formula1>"A,B,C,D"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4"/>
  <sheetViews>
    <sheetView workbookViewId="0">
      <pane ySplit="4" topLeftCell="A5" activePane="bottomLeft" state="frozen"/>
      <selection pane="bottomLeft" activeCell="A1" sqref="A1"/>
    </sheetView>
  </sheetViews>
  <sheetFormatPr baseColWidth="8" defaultRowHeight="15"/>
  <cols>
    <col width="10" customWidth="1" min="1" max="1"/>
    <col width="16" customWidth="1" min="2" max="2"/>
    <col width="12" customWidth="1" min="3" max="3"/>
    <col width="10" customWidth="1" min="4" max="4"/>
    <col width="10" customWidth="1" min="5" max="5"/>
    <col width="12" customWidth="1" min="6" max="6"/>
    <col width="12" customWidth="1" min="7" max="7"/>
    <col width="12" customWidth="1" min="8" max="8"/>
    <col width="12" customWidth="1" min="9" max="9"/>
    <col width="10" customWidth="1" min="10" max="10"/>
  </cols>
  <sheetData>
    <row r="1">
      <c r="A1" s="1" t="inlineStr">
        <is>
          <t>集計（自動計算）</t>
        </is>
      </c>
    </row>
    <row r="2">
      <c r="A2" s="2" t="inlineStr">
        <is>
          <t>各受験者の総合スコアとカテゴリ別スコアを算出します。</t>
        </is>
      </c>
    </row>
    <row r="4">
      <c r="A4" s="3" t="inlineStr">
        <is>
          <t>受験者ID</t>
        </is>
      </c>
      <c r="B4" s="3" t="inlineStr">
        <is>
          <t>氏名</t>
        </is>
      </c>
      <c r="C4" s="3" t="inlineStr">
        <is>
          <t>受験日</t>
        </is>
      </c>
      <c r="D4" s="3" t="inlineStr">
        <is>
          <t>得点合計</t>
        </is>
      </c>
      <c r="E4" s="3" t="inlineStr">
        <is>
          <t>最大点合計</t>
        </is>
      </c>
      <c r="F4" s="3" t="inlineStr">
        <is>
          <t>総合(100点)</t>
        </is>
      </c>
      <c r="G4" s="3" t="inlineStr">
        <is>
          <t>OS(100点)</t>
        </is>
      </c>
      <c r="H4" s="3" t="inlineStr">
        <is>
          <t>AWS(100点)</t>
        </is>
      </c>
      <c r="I4" s="3" t="inlineStr">
        <is>
          <t>NW/Sec(100点)</t>
        </is>
      </c>
      <c r="J4" s="3" t="inlineStr">
        <is>
          <t>判定</t>
        </is>
      </c>
      <c r="L4" s="6" t="inlineStr">
        <is>
          <t>判定基準（例）</t>
        </is>
      </c>
    </row>
    <row r="5">
      <c r="A5" s="4">
        <f>回答入力_30名!A5</f>
        <v/>
      </c>
      <c r="B5" s="5">
        <f>回答入力_30名!B5</f>
        <v/>
      </c>
      <c r="C5" s="4">
        <f>回答入力_30名!C5</f>
        <v/>
      </c>
      <c r="D5" s="4">
        <f>SUMPRODUCT(--(回答入力_30名!D5:BC5=正解キー!$B$2:$B$51)*XLOOKUP(設定!$B$11:$B$60,設定!$A$5:$A$7,設定!$B$5:$B$7)*XLOOKUP(設定!$C$11:$C$60,設定!$D$5:$D$7,設定!$E$5:$E$7))</f>
        <v/>
      </c>
      <c r="E5" s="4">
        <f>SUMPRODUCT(XLOOKUP(設定!$B$11:$B$60,設定!$A$5:$A$7,設定!$B$5:$B$7)*XLOOKUP(設定!$C$11:$C$60,設定!$D$5:$D$7,設定!$E$5:$E$7))</f>
        <v/>
      </c>
      <c r="F5" s="7">
        <f>IF(E5=0,"",D5/E5*100)</f>
        <v/>
      </c>
      <c r="G5" s="7">
        <f>IF(SUMPRODUCT(--(設定!$B$11:$B$60="OS（Linux/Windows）")*XLOOKUP(設定!$B$11:$B$60,設定!$A$5:$A$7,設定!$B$5:$B$7)*XLOOKUP(設定!$C$11:$C$60,設定!$D$5:$D$7,設定!$E$5:$E$7))=0,"",SUMPRODUCT(--(設定!$B$11:$B$60="OS（Linux/Windows）")*--(回答入力_30名!D5:BC5=正解キー!$B$2:$B$51)*XLOOKUP(設定!$B$11:$B$60,設定!$A$5:$A$7,設定!$B$5:$B$7)*XLOOKUP(設定!$C$11:$C$60,設定!$D$5:$D$7,設定!$E$5:$E$7))/SUMPRODUCT(--(設定!$B$11:$B$60="OS（Linux/Windows）")*XLOOKUP(設定!$B$11:$B$60,設定!$A$5:$A$7,設定!$B$5:$B$7)*XLOOKUP(設定!$C$11:$C$60,設定!$D$5:$D$7,設定!$E$5:$E$7))*100)</f>
        <v/>
      </c>
      <c r="H5" s="7">
        <f>IF(SUMPRODUCT(--(設定!$B$11:$B$60="AWS")*XLOOKUP(設定!$B$11:$B$60,設定!$A$5:$A$7,設定!$B$5:$B$7)*XLOOKUP(設定!$C$11:$C$60,設定!$D$5:$D$7,設定!$E$5:$E$7))=0,"",SUMPRODUCT(--(設定!$B$11:$B$60="AWS")*--(回答入力_30名!D5:BC5=正解キー!$B$2:$B$51)*XLOOKUP(設定!$B$11:$B$60,設定!$A$5:$A$7,設定!$B$5:$B$7)*XLOOKUP(設定!$C$11:$C$60,設定!$D$5:$D$7,設定!$E$5:$E$7))/SUMPRODUCT(--(設定!$B$11:$B$60="AWS")*XLOOKUP(設定!$B$11:$B$60,設定!$A$5:$A$7,設定!$B$5:$B$7)*XLOOKUP(設定!$C$11:$C$60,設定!$D$5:$D$7,設定!$E$5:$E$7))*100)</f>
        <v/>
      </c>
      <c r="I5" s="7">
        <f>IF(SUMPRODUCT(--(設定!$B$11:$B$60="NW/Security")*XLOOKUP(設定!$B$11:$B$60,設定!$A$5:$A$7,設定!$B$5:$B$7)*XLOOKUP(設定!$C$11:$C$60,設定!$D$5:$D$7,設定!$E$5:$E$7))=0,"",SUMPRODUCT(--(設定!$B$11:$B$60="NW/Security")*--(回答入力_30名!D5:BC5=正解キー!$B$2:$B$51)*XLOOKUP(設定!$B$11:$B$60,設定!$A$5:$A$7,設定!$B$5:$B$7)*XLOOKUP(設定!$C$11:$C$60,設定!$D$5:$D$7,設定!$E$5:$E$7))/SUMPRODUCT(--(設定!$B$11:$B$60="NW/Security")*XLOOKUP(設定!$B$11:$B$60,設定!$A$5:$A$7,設定!$B$5:$B$7)*XLOOKUP(設定!$C$11:$C$60,設定!$D$5:$D$7,設定!$E$5:$E$7))*100)</f>
        <v/>
      </c>
      <c r="J5" s="4">
        <f>IF(F5="","",IF(F5&gt;=85,"即戦力",IF(F5&gt;=70,"主担当",IF(F5&gt;=55,"サポート","育成"))))</f>
        <v/>
      </c>
      <c r="L5" s="2" t="inlineStr">
        <is>
          <t>85+ 即戦力 / 70+ 主担当 / 55+ サポート / else 育成</t>
        </is>
      </c>
    </row>
    <row r="6">
      <c r="A6" s="4">
        <f>回答入力_30名!A6</f>
        <v/>
      </c>
      <c r="B6" s="5">
        <f>回答入力_30名!B6</f>
        <v/>
      </c>
      <c r="C6" s="4">
        <f>回答入力_30名!C6</f>
        <v/>
      </c>
      <c r="D6" s="4">
        <f>SUMPRODUCT(--(回答入力_30名!D6:BC6=正解キー!$B$2:$B$51)*XLOOKUP(設定!$B$11:$B$60,設定!$A$5:$A$7,設定!$B$5:$B$7)*XLOOKUP(設定!$C$11:$C$60,設定!$D$5:$D$7,設定!$E$5:$E$7))</f>
        <v/>
      </c>
      <c r="E6" s="4">
        <f>SUMPRODUCT(XLOOKUP(設定!$B$11:$B$60,設定!$A$5:$A$7,設定!$B$5:$B$7)*XLOOKUP(設定!$C$11:$C$60,設定!$D$5:$D$7,設定!$E$5:$E$7))</f>
        <v/>
      </c>
      <c r="F6" s="7">
        <f>IF(E6=0,"",D6/E6*100)</f>
        <v/>
      </c>
      <c r="G6" s="7">
        <f>IF(SUMPRODUCT(--(設定!$B$11:$B$60="OS（Linux/Windows）")*XLOOKUP(設定!$B$11:$B$60,設定!$A$5:$A$7,設定!$B$5:$B$7)*XLOOKUP(設定!$C$11:$C$60,設定!$D$5:$D$7,設定!$E$5:$E$7))=0,"",SUMPRODUCT(--(設定!$B$11:$B$60="OS（Linux/Windows）")*--(回答入力_30名!D6:BC6=正解キー!$B$2:$B$51)*XLOOKUP(設定!$B$11:$B$60,設定!$A$5:$A$7,設定!$B$5:$B$7)*XLOOKUP(設定!$C$11:$C$60,設定!$D$5:$D$7,設定!$E$5:$E$7))/SUMPRODUCT(--(設定!$B$11:$B$60="OS（Linux/Windows）")*XLOOKUP(設定!$B$11:$B$60,設定!$A$5:$A$7,設定!$B$5:$B$7)*XLOOKUP(設定!$C$11:$C$60,設定!$D$5:$D$7,設定!$E$5:$E$7))*100)</f>
        <v/>
      </c>
      <c r="H6" s="7">
        <f>IF(SUMPRODUCT(--(設定!$B$11:$B$60="AWS")*XLOOKUP(設定!$B$11:$B$60,設定!$A$5:$A$7,設定!$B$5:$B$7)*XLOOKUP(設定!$C$11:$C$60,設定!$D$5:$D$7,設定!$E$5:$E$7))=0,"",SUMPRODUCT(--(設定!$B$11:$B$60="AWS")*--(回答入力_30名!D6:BC6=正解キー!$B$2:$B$51)*XLOOKUP(設定!$B$11:$B$60,設定!$A$5:$A$7,設定!$B$5:$B$7)*XLOOKUP(設定!$C$11:$C$60,設定!$D$5:$D$7,設定!$E$5:$E$7))/SUMPRODUCT(--(設定!$B$11:$B$60="AWS")*XLOOKUP(設定!$B$11:$B$60,設定!$A$5:$A$7,設定!$B$5:$B$7)*XLOOKUP(設定!$C$11:$C$60,設定!$D$5:$D$7,設定!$E$5:$E$7))*100)</f>
        <v/>
      </c>
      <c r="I6" s="7">
        <f>IF(SUMPRODUCT(--(設定!$B$11:$B$60="NW/Security")*XLOOKUP(設定!$B$11:$B$60,設定!$A$5:$A$7,設定!$B$5:$B$7)*XLOOKUP(設定!$C$11:$C$60,設定!$D$5:$D$7,設定!$E$5:$E$7))=0,"",SUMPRODUCT(--(設定!$B$11:$B$60="NW/Security")*--(回答入力_30名!D6:BC6=正解キー!$B$2:$B$51)*XLOOKUP(設定!$B$11:$B$60,設定!$A$5:$A$7,設定!$B$5:$B$7)*XLOOKUP(設定!$C$11:$C$60,設定!$D$5:$D$7,設定!$E$5:$E$7))/SUMPRODUCT(--(設定!$B$11:$B$60="NW/Security")*XLOOKUP(設定!$B$11:$B$60,設定!$A$5:$A$7,設定!$B$5:$B$7)*XLOOKUP(設定!$C$11:$C$60,設定!$D$5:$D$7,設定!$E$5:$E$7))*100)</f>
        <v/>
      </c>
      <c r="J6" s="4">
        <f>IF(F6="","",IF(F6&gt;=85,"即戦力",IF(F6&gt;=70,"主担当",IF(F6&gt;=55,"サポート","育成"))))</f>
        <v/>
      </c>
    </row>
    <row r="7">
      <c r="A7" s="4">
        <f>回答入力_30名!A7</f>
        <v/>
      </c>
      <c r="B7" s="5">
        <f>回答入力_30名!B7</f>
        <v/>
      </c>
      <c r="C7" s="4">
        <f>回答入力_30名!C7</f>
        <v/>
      </c>
      <c r="D7" s="4">
        <f>SUMPRODUCT(--(回答入力_30名!D7:BC7=正解キー!$B$2:$B$51)*XLOOKUP(設定!$B$11:$B$60,設定!$A$5:$A$7,設定!$B$5:$B$7)*XLOOKUP(設定!$C$11:$C$60,設定!$D$5:$D$7,設定!$E$5:$E$7))</f>
        <v/>
      </c>
      <c r="E7" s="4">
        <f>SUMPRODUCT(XLOOKUP(設定!$B$11:$B$60,設定!$A$5:$A$7,設定!$B$5:$B$7)*XLOOKUP(設定!$C$11:$C$60,設定!$D$5:$D$7,設定!$E$5:$E$7))</f>
        <v/>
      </c>
      <c r="F7" s="7">
        <f>IF(E7=0,"",D7/E7*100)</f>
        <v/>
      </c>
      <c r="G7" s="7">
        <f>IF(SUMPRODUCT(--(設定!$B$11:$B$60="OS（Linux/Windows）")*XLOOKUP(設定!$B$11:$B$60,設定!$A$5:$A$7,設定!$B$5:$B$7)*XLOOKUP(設定!$C$11:$C$60,設定!$D$5:$D$7,設定!$E$5:$E$7))=0,"",SUMPRODUCT(--(設定!$B$11:$B$60="OS（Linux/Windows）")*--(回答入力_30名!D7:BC7=正解キー!$B$2:$B$51)*XLOOKUP(設定!$B$11:$B$60,設定!$A$5:$A$7,設定!$B$5:$B$7)*XLOOKUP(設定!$C$11:$C$60,設定!$D$5:$D$7,設定!$E$5:$E$7))/SUMPRODUCT(--(設定!$B$11:$B$60="OS（Linux/Windows）")*XLOOKUP(設定!$B$11:$B$60,設定!$A$5:$A$7,設定!$B$5:$B$7)*XLOOKUP(設定!$C$11:$C$60,設定!$D$5:$D$7,設定!$E$5:$E$7))*100)</f>
        <v/>
      </c>
      <c r="H7" s="7">
        <f>IF(SUMPRODUCT(--(設定!$B$11:$B$60="AWS")*XLOOKUP(設定!$B$11:$B$60,設定!$A$5:$A$7,設定!$B$5:$B$7)*XLOOKUP(設定!$C$11:$C$60,設定!$D$5:$D$7,設定!$E$5:$E$7))=0,"",SUMPRODUCT(--(設定!$B$11:$B$60="AWS")*--(回答入力_30名!D7:BC7=正解キー!$B$2:$B$51)*XLOOKUP(設定!$B$11:$B$60,設定!$A$5:$A$7,設定!$B$5:$B$7)*XLOOKUP(設定!$C$11:$C$60,設定!$D$5:$D$7,設定!$E$5:$E$7))/SUMPRODUCT(--(設定!$B$11:$B$60="AWS")*XLOOKUP(設定!$B$11:$B$60,設定!$A$5:$A$7,設定!$B$5:$B$7)*XLOOKUP(設定!$C$11:$C$60,設定!$D$5:$D$7,設定!$E$5:$E$7))*100)</f>
        <v/>
      </c>
      <c r="I7" s="7">
        <f>IF(SUMPRODUCT(--(設定!$B$11:$B$60="NW/Security")*XLOOKUP(設定!$B$11:$B$60,設定!$A$5:$A$7,設定!$B$5:$B$7)*XLOOKUP(設定!$C$11:$C$60,設定!$D$5:$D$7,設定!$E$5:$E$7))=0,"",SUMPRODUCT(--(設定!$B$11:$B$60="NW/Security")*--(回答入力_30名!D7:BC7=正解キー!$B$2:$B$51)*XLOOKUP(設定!$B$11:$B$60,設定!$A$5:$A$7,設定!$B$5:$B$7)*XLOOKUP(設定!$C$11:$C$60,設定!$D$5:$D$7,設定!$E$5:$E$7))/SUMPRODUCT(--(設定!$B$11:$B$60="NW/Security")*XLOOKUP(設定!$B$11:$B$60,設定!$A$5:$A$7,設定!$B$5:$B$7)*XLOOKUP(設定!$C$11:$C$60,設定!$D$5:$D$7,設定!$E$5:$E$7))*100)</f>
        <v/>
      </c>
      <c r="J7" s="4">
        <f>IF(F7="","",IF(F7&gt;=85,"即戦力",IF(F7&gt;=70,"主担当",IF(F7&gt;=55,"サポート","育成"))))</f>
        <v/>
      </c>
    </row>
    <row r="8">
      <c r="A8" s="4">
        <f>回答入力_30名!A8</f>
        <v/>
      </c>
      <c r="B8" s="5">
        <f>回答入力_30名!B8</f>
        <v/>
      </c>
      <c r="C8" s="4">
        <f>回答入力_30名!C8</f>
        <v/>
      </c>
      <c r="D8" s="4">
        <f>SUMPRODUCT(--(回答入力_30名!D8:BC8=正解キー!$B$2:$B$51)*XLOOKUP(設定!$B$11:$B$60,設定!$A$5:$A$7,設定!$B$5:$B$7)*XLOOKUP(設定!$C$11:$C$60,設定!$D$5:$D$7,設定!$E$5:$E$7))</f>
        <v/>
      </c>
      <c r="E8" s="4">
        <f>SUMPRODUCT(XLOOKUP(設定!$B$11:$B$60,設定!$A$5:$A$7,設定!$B$5:$B$7)*XLOOKUP(設定!$C$11:$C$60,設定!$D$5:$D$7,設定!$E$5:$E$7))</f>
        <v/>
      </c>
      <c r="F8" s="7">
        <f>IF(E8=0,"",D8/E8*100)</f>
        <v/>
      </c>
      <c r="G8" s="7">
        <f>IF(SUMPRODUCT(--(設定!$B$11:$B$60="OS（Linux/Windows）")*XLOOKUP(設定!$B$11:$B$60,設定!$A$5:$A$7,設定!$B$5:$B$7)*XLOOKUP(設定!$C$11:$C$60,設定!$D$5:$D$7,設定!$E$5:$E$7))=0,"",SUMPRODUCT(--(設定!$B$11:$B$60="OS（Linux/Windows）")*--(回答入力_30名!D8:BC8=正解キー!$B$2:$B$51)*XLOOKUP(設定!$B$11:$B$60,設定!$A$5:$A$7,設定!$B$5:$B$7)*XLOOKUP(設定!$C$11:$C$60,設定!$D$5:$D$7,設定!$E$5:$E$7))/SUMPRODUCT(--(設定!$B$11:$B$60="OS（Linux/Windows）")*XLOOKUP(設定!$B$11:$B$60,設定!$A$5:$A$7,設定!$B$5:$B$7)*XLOOKUP(設定!$C$11:$C$60,設定!$D$5:$D$7,設定!$E$5:$E$7))*100)</f>
        <v/>
      </c>
      <c r="H8" s="7">
        <f>IF(SUMPRODUCT(--(設定!$B$11:$B$60="AWS")*XLOOKUP(設定!$B$11:$B$60,設定!$A$5:$A$7,設定!$B$5:$B$7)*XLOOKUP(設定!$C$11:$C$60,設定!$D$5:$D$7,設定!$E$5:$E$7))=0,"",SUMPRODUCT(--(設定!$B$11:$B$60="AWS")*--(回答入力_30名!D8:BC8=正解キー!$B$2:$B$51)*XLOOKUP(設定!$B$11:$B$60,設定!$A$5:$A$7,設定!$B$5:$B$7)*XLOOKUP(設定!$C$11:$C$60,設定!$D$5:$D$7,設定!$E$5:$E$7))/SUMPRODUCT(--(設定!$B$11:$B$60="AWS")*XLOOKUP(設定!$B$11:$B$60,設定!$A$5:$A$7,設定!$B$5:$B$7)*XLOOKUP(設定!$C$11:$C$60,設定!$D$5:$D$7,設定!$E$5:$E$7))*100)</f>
        <v/>
      </c>
      <c r="I8" s="7">
        <f>IF(SUMPRODUCT(--(設定!$B$11:$B$60="NW/Security")*XLOOKUP(設定!$B$11:$B$60,設定!$A$5:$A$7,設定!$B$5:$B$7)*XLOOKUP(設定!$C$11:$C$60,設定!$D$5:$D$7,設定!$E$5:$E$7))=0,"",SUMPRODUCT(--(設定!$B$11:$B$60="NW/Security")*--(回答入力_30名!D8:BC8=正解キー!$B$2:$B$51)*XLOOKUP(設定!$B$11:$B$60,設定!$A$5:$A$7,設定!$B$5:$B$7)*XLOOKUP(設定!$C$11:$C$60,設定!$D$5:$D$7,設定!$E$5:$E$7))/SUMPRODUCT(--(設定!$B$11:$B$60="NW/Security")*XLOOKUP(設定!$B$11:$B$60,設定!$A$5:$A$7,設定!$B$5:$B$7)*XLOOKUP(設定!$C$11:$C$60,設定!$D$5:$D$7,設定!$E$5:$E$7))*100)</f>
        <v/>
      </c>
      <c r="J8" s="4">
        <f>IF(F8="","",IF(F8&gt;=85,"即戦力",IF(F8&gt;=70,"主担当",IF(F8&gt;=55,"サポート","育成"))))</f>
        <v/>
      </c>
    </row>
    <row r="9">
      <c r="A9" s="4">
        <f>回答入力_30名!A9</f>
        <v/>
      </c>
      <c r="B9" s="5">
        <f>回答入力_30名!B9</f>
        <v/>
      </c>
      <c r="C9" s="4">
        <f>回答入力_30名!C9</f>
        <v/>
      </c>
      <c r="D9" s="4">
        <f>SUMPRODUCT(--(回答入力_30名!D9:BC9=正解キー!$B$2:$B$51)*XLOOKUP(設定!$B$11:$B$60,設定!$A$5:$A$7,設定!$B$5:$B$7)*XLOOKUP(設定!$C$11:$C$60,設定!$D$5:$D$7,設定!$E$5:$E$7))</f>
        <v/>
      </c>
      <c r="E9" s="4">
        <f>SUMPRODUCT(XLOOKUP(設定!$B$11:$B$60,設定!$A$5:$A$7,設定!$B$5:$B$7)*XLOOKUP(設定!$C$11:$C$60,設定!$D$5:$D$7,設定!$E$5:$E$7))</f>
        <v/>
      </c>
      <c r="F9" s="7">
        <f>IF(E9=0,"",D9/E9*100)</f>
        <v/>
      </c>
      <c r="G9" s="7">
        <f>IF(SUMPRODUCT(--(設定!$B$11:$B$60="OS（Linux/Windows）")*XLOOKUP(設定!$B$11:$B$60,設定!$A$5:$A$7,設定!$B$5:$B$7)*XLOOKUP(設定!$C$11:$C$60,設定!$D$5:$D$7,設定!$E$5:$E$7))=0,"",SUMPRODUCT(--(設定!$B$11:$B$60="OS（Linux/Windows）")*--(回答入力_30名!D9:BC9=正解キー!$B$2:$B$51)*XLOOKUP(設定!$B$11:$B$60,設定!$A$5:$A$7,設定!$B$5:$B$7)*XLOOKUP(設定!$C$11:$C$60,設定!$D$5:$D$7,設定!$E$5:$E$7))/SUMPRODUCT(--(設定!$B$11:$B$60="OS（Linux/Windows）")*XLOOKUP(設定!$B$11:$B$60,設定!$A$5:$A$7,設定!$B$5:$B$7)*XLOOKUP(設定!$C$11:$C$60,設定!$D$5:$D$7,設定!$E$5:$E$7))*100)</f>
        <v/>
      </c>
      <c r="H9" s="7">
        <f>IF(SUMPRODUCT(--(設定!$B$11:$B$60="AWS")*XLOOKUP(設定!$B$11:$B$60,設定!$A$5:$A$7,設定!$B$5:$B$7)*XLOOKUP(設定!$C$11:$C$60,設定!$D$5:$D$7,設定!$E$5:$E$7))=0,"",SUMPRODUCT(--(設定!$B$11:$B$60="AWS")*--(回答入力_30名!D9:BC9=正解キー!$B$2:$B$51)*XLOOKUP(設定!$B$11:$B$60,設定!$A$5:$A$7,設定!$B$5:$B$7)*XLOOKUP(設定!$C$11:$C$60,設定!$D$5:$D$7,設定!$E$5:$E$7))/SUMPRODUCT(--(設定!$B$11:$B$60="AWS")*XLOOKUP(設定!$B$11:$B$60,設定!$A$5:$A$7,設定!$B$5:$B$7)*XLOOKUP(設定!$C$11:$C$60,設定!$D$5:$D$7,設定!$E$5:$E$7))*100)</f>
        <v/>
      </c>
      <c r="I9" s="7">
        <f>IF(SUMPRODUCT(--(設定!$B$11:$B$60="NW/Security")*XLOOKUP(設定!$B$11:$B$60,設定!$A$5:$A$7,設定!$B$5:$B$7)*XLOOKUP(設定!$C$11:$C$60,設定!$D$5:$D$7,設定!$E$5:$E$7))=0,"",SUMPRODUCT(--(設定!$B$11:$B$60="NW/Security")*--(回答入力_30名!D9:BC9=正解キー!$B$2:$B$51)*XLOOKUP(設定!$B$11:$B$60,設定!$A$5:$A$7,設定!$B$5:$B$7)*XLOOKUP(設定!$C$11:$C$60,設定!$D$5:$D$7,設定!$E$5:$E$7))/SUMPRODUCT(--(設定!$B$11:$B$60="NW/Security")*XLOOKUP(設定!$B$11:$B$60,設定!$A$5:$A$7,設定!$B$5:$B$7)*XLOOKUP(設定!$C$11:$C$60,設定!$D$5:$D$7,設定!$E$5:$E$7))*100)</f>
        <v/>
      </c>
      <c r="J9" s="4">
        <f>IF(F9="","",IF(F9&gt;=85,"即戦力",IF(F9&gt;=70,"主担当",IF(F9&gt;=55,"サポート","育成"))))</f>
        <v/>
      </c>
    </row>
    <row r="10">
      <c r="A10" s="4">
        <f>回答入力_30名!A10</f>
        <v/>
      </c>
      <c r="B10" s="5">
        <f>回答入力_30名!B10</f>
        <v/>
      </c>
      <c r="C10" s="4">
        <f>回答入力_30名!C10</f>
        <v/>
      </c>
      <c r="D10" s="4">
        <f>SUMPRODUCT(--(回答入力_30名!D10:BC10=正解キー!$B$2:$B$51)*XLOOKUP(設定!$B$11:$B$60,設定!$A$5:$A$7,設定!$B$5:$B$7)*XLOOKUP(設定!$C$11:$C$60,設定!$D$5:$D$7,設定!$E$5:$E$7))</f>
        <v/>
      </c>
      <c r="E10" s="4">
        <f>SUMPRODUCT(XLOOKUP(設定!$B$11:$B$60,設定!$A$5:$A$7,設定!$B$5:$B$7)*XLOOKUP(設定!$C$11:$C$60,設定!$D$5:$D$7,設定!$E$5:$E$7))</f>
        <v/>
      </c>
      <c r="F10" s="7">
        <f>IF(E10=0,"",D10/E10*100)</f>
        <v/>
      </c>
      <c r="G10" s="7">
        <f>IF(SUMPRODUCT(--(設定!$B$11:$B$60="OS（Linux/Windows）")*XLOOKUP(設定!$B$11:$B$60,設定!$A$5:$A$7,設定!$B$5:$B$7)*XLOOKUP(設定!$C$11:$C$60,設定!$D$5:$D$7,設定!$E$5:$E$7))=0,"",SUMPRODUCT(--(設定!$B$11:$B$60="OS（Linux/Windows）")*--(回答入力_30名!D10:BC10=正解キー!$B$2:$B$51)*XLOOKUP(設定!$B$11:$B$60,設定!$A$5:$A$7,設定!$B$5:$B$7)*XLOOKUP(設定!$C$11:$C$60,設定!$D$5:$D$7,設定!$E$5:$E$7))/SUMPRODUCT(--(設定!$B$11:$B$60="OS（Linux/Windows）")*XLOOKUP(設定!$B$11:$B$60,設定!$A$5:$A$7,設定!$B$5:$B$7)*XLOOKUP(設定!$C$11:$C$60,設定!$D$5:$D$7,設定!$E$5:$E$7))*100)</f>
        <v/>
      </c>
      <c r="H10" s="7">
        <f>IF(SUMPRODUCT(--(設定!$B$11:$B$60="AWS")*XLOOKUP(設定!$B$11:$B$60,設定!$A$5:$A$7,設定!$B$5:$B$7)*XLOOKUP(設定!$C$11:$C$60,設定!$D$5:$D$7,設定!$E$5:$E$7))=0,"",SUMPRODUCT(--(設定!$B$11:$B$60="AWS")*--(回答入力_30名!D10:BC10=正解キー!$B$2:$B$51)*XLOOKUP(設定!$B$11:$B$60,設定!$A$5:$A$7,設定!$B$5:$B$7)*XLOOKUP(設定!$C$11:$C$60,設定!$D$5:$D$7,設定!$E$5:$E$7))/SUMPRODUCT(--(設定!$B$11:$B$60="AWS")*XLOOKUP(設定!$B$11:$B$60,設定!$A$5:$A$7,設定!$B$5:$B$7)*XLOOKUP(設定!$C$11:$C$60,設定!$D$5:$D$7,設定!$E$5:$E$7))*100)</f>
        <v/>
      </c>
      <c r="I10" s="7">
        <f>IF(SUMPRODUCT(--(設定!$B$11:$B$60="NW/Security")*XLOOKUP(設定!$B$11:$B$60,設定!$A$5:$A$7,設定!$B$5:$B$7)*XLOOKUP(設定!$C$11:$C$60,設定!$D$5:$D$7,設定!$E$5:$E$7))=0,"",SUMPRODUCT(--(設定!$B$11:$B$60="NW/Security")*--(回答入力_30名!D10:BC10=正解キー!$B$2:$B$51)*XLOOKUP(設定!$B$11:$B$60,設定!$A$5:$A$7,設定!$B$5:$B$7)*XLOOKUP(設定!$C$11:$C$60,設定!$D$5:$D$7,設定!$E$5:$E$7))/SUMPRODUCT(--(設定!$B$11:$B$60="NW/Security")*XLOOKUP(設定!$B$11:$B$60,設定!$A$5:$A$7,設定!$B$5:$B$7)*XLOOKUP(設定!$C$11:$C$60,設定!$D$5:$D$7,設定!$E$5:$E$7))*100)</f>
        <v/>
      </c>
      <c r="J10" s="4">
        <f>IF(F10="","",IF(F10&gt;=85,"即戦力",IF(F10&gt;=70,"主担当",IF(F10&gt;=55,"サポート","育成"))))</f>
        <v/>
      </c>
    </row>
    <row r="11">
      <c r="A11" s="4">
        <f>回答入力_30名!A11</f>
        <v/>
      </c>
      <c r="B11" s="5">
        <f>回答入力_30名!B11</f>
        <v/>
      </c>
      <c r="C11" s="4">
        <f>回答入力_30名!C11</f>
        <v/>
      </c>
      <c r="D11" s="4">
        <f>SUMPRODUCT(--(回答入力_30名!D11:BC11=正解キー!$B$2:$B$51)*XLOOKUP(設定!$B$11:$B$60,設定!$A$5:$A$7,設定!$B$5:$B$7)*XLOOKUP(設定!$C$11:$C$60,設定!$D$5:$D$7,設定!$E$5:$E$7))</f>
        <v/>
      </c>
      <c r="E11" s="4">
        <f>SUMPRODUCT(XLOOKUP(設定!$B$11:$B$60,設定!$A$5:$A$7,設定!$B$5:$B$7)*XLOOKUP(設定!$C$11:$C$60,設定!$D$5:$D$7,設定!$E$5:$E$7))</f>
        <v/>
      </c>
      <c r="F11" s="7">
        <f>IF(E11=0,"",D11/E11*100)</f>
        <v/>
      </c>
      <c r="G11" s="7">
        <f>IF(SUMPRODUCT(--(設定!$B$11:$B$60="OS（Linux/Windows）")*XLOOKUP(設定!$B$11:$B$60,設定!$A$5:$A$7,設定!$B$5:$B$7)*XLOOKUP(設定!$C$11:$C$60,設定!$D$5:$D$7,設定!$E$5:$E$7))=0,"",SUMPRODUCT(--(設定!$B$11:$B$60="OS（Linux/Windows）")*--(回答入力_30名!D11:BC11=正解キー!$B$2:$B$51)*XLOOKUP(設定!$B$11:$B$60,設定!$A$5:$A$7,設定!$B$5:$B$7)*XLOOKUP(設定!$C$11:$C$60,設定!$D$5:$D$7,設定!$E$5:$E$7))/SUMPRODUCT(--(設定!$B$11:$B$60="OS（Linux/Windows）")*XLOOKUP(設定!$B$11:$B$60,設定!$A$5:$A$7,設定!$B$5:$B$7)*XLOOKUP(設定!$C$11:$C$60,設定!$D$5:$D$7,設定!$E$5:$E$7))*100)</f>
        <v/>
      </c>
      <c r="H11" s="7">
        <f>IF(SUMPRODUCT(--(設定!$B$11:$B$60="AWS")*XLOOKUP(設定!$B$11:$B$60,設定!$A$5:$A$7,設定!$B$5:$B$7)*XLOOKUP(設定!$C$11:$C$60,設定!$D$5:$D$7,設定!$E$5:$E$7))=0,"",SUMPRODUCT(--(設定!$B$11:$B$60="AWS")*--(回答入力_30名!D11:BC11=正解キー!$B$2:$B$51)*XLOOKUP(設定!$B$11:$B$60,設定!$A$5:$A$7,設定!$B$5:$B$7)*XLOOKUP(設定!$C$11:$C$60,設定!$D$5:$D$7,設定!$E$5:$E$7))/SUMPRODUCT(--(設定!$B$11:$B$60="AWS")*XLOOKUP(設定!$B$11:$B$60,設定!$A$5:$A$7,設定!$B$5:$B$7)*XLOOKUP(設定!$C$11:$C$60,設定!$D$5:$D$7,設定!$E$5:$E$7))*100)</f>
        <v/>
      </c>
      <c r="I11" s="7">
        <f>IF(SUMPRODUCT(--(設定!$B$11:$B$60="NW/Security")*XLOOKUP(設定!$B$11:$B$60,設定!$A$5:$A$7,設定!$B$5:$B$7)*XLOOKUP(設定!$C$11:$C$60,設定!$D$5:$D$7,設定!$E$5:$E$7))=0,"",SUMPRODUCT(--(設定!$B$11:$B$60="NW/Security")*--(回答入力_30名!D11:BC11=正解キー!$B$2:$B$51)*XLOOKUP(設定!$B$11:$B$60,設定!$A$5:$A$7,設定!$B$5:$B$7)*XLOOKUP(設定!$C$11:$C$60,設定!$D$5:$D$7,設定!$E$5:$E$7))/SUMPRODUCT(--(設定!$B$11:$B$60="NW/Security")*XLOOKUP(設定!$B$11:$B$60,設定!$A$5:$A$7,設定!$B$5:$B$7)*XLOOKUP(設定!$C$11:$C$60,設定!$D$5:$D$7,設定!$E$5:$E$7))*100)</f>
        <v/>
      </c>
      <c r="J11" s="4">
        <f>IF(F11="","",IF(F11&gt;=85,"即戦力",IF(F11&gt;=70,"主担当",IF(F11&gt;=55,"サポート","育成"))))</f>
        <v/>
      </c>
    </row>
    <row r="12">
      <c r="A12" s="4">
        <f>回答入力_30名!A12</f>
        <v/>
      </c>
      <c r="B12" s="5">
        <f>回答入力_30名!B12</f>
        <v/>
      </c>
      <c r="C12" s="4">
        <f>回答入力_30名!C12</f>
        <v/>
      </c>
      <c r="D12" s="4">
        <f>SUMPRODUCT(--(回答入力_30名!D12:BC12=正解キー!$B$2:$B$51)*XLOOKUP(設定!$B$11:$B$60,設定!$A$5:$A$7,設定!$B$5:$B$7)*XLOOKUP(設定!$C$11:$C$60,設定!$D$5:$D$7,設定!$E$5:$E$7))</f>
        <v/>
      </c>
      <c r="E12" s="4">
        <f>SUMPRODUCT(XLOOKUP(設定!$B$11:$B$60,設定!$A$5:$A$7,設定!$B$5:$B$7)*XLOOKUP(設定!$C$11:$C$60,設定!$D$5:$D$7,設定!$E$5:$E$7))</f>
        <v/>
      </c>
      <c r="F12" s="7">
        <f>IF(E12=0,"",D12/E12*100)</f>
        <v/>
      </c>
      <c r="G12" s="7">
        <f>IF(SUMPRODUCT(--(設定!$B$11:$B$60="OS（Linux/Windows）")*XLOOKUP(設定!$B$11:$B$60,設定!$A$5:$A$7,設定!$B$5:$B$7)*XLOOKUP(設定!$C$11:$C$60,設定!$D$5:$D$7,設定!$E$5:$E$7))=0,"",SUMPRODUCT(--(設定!$B$11:$B$60="OS（Linux/Windows）")*--(回答入力_30名!D12:BC12=正解キー!$B$2:$B$51)*XLOOKUP(設定!$B$11:$B$60,設定!$A$5:$A$7,設定!$B$5:$B$7)*XLOOKUP(設定!$C$11:$C$60,設定!$D$5:$D$7,設定!$E$5:$E$7))/SUMPRODUCT(--(設定!$B$11:$B$60="OS（Linux/Windows）")*XLOOKUP(設定!$B$11:$B$60,設定!$A$5:$A$7,設定!$B$5:$B$7)*XLOOKUP(設定!$C$11:$C$60,設定!$D$5:$D$7,設定!$E$5:$E$7))*100)</f>
        <v/>
      </c>
      <c r="H12" s="7">
        <f>IF(SUMPRODUCT(--(設定!$B$11:$B$60="AWS")*XLOOKUP(設定!$B$11:$B$60,設定!$A$5:$A$7,設定!$B$5:$B$7)*XLOOKUP(設定!$C$11:$C$60,設定!$D$5:$D$7,設定!$E$5:$E$7))=0,"",SUMPRODUCT(--(設定!$B$11:$B$60="AWS")*--(回答入力_30名!D12:BC12=正解キー!$B$2:$B$51)*XLOOKUP(設定!$B$11:$B$60,設定!$A$5:$A$7,設定!$B$5:$B$7)*XLOOKUP(設定!$C$11:$C$60,設定!$D$5:$D$7,設定!$E$5:$E$7))/SUMPRODUCT(--(設定!$B$11:$B$60="AWS")*XLOOKUP(設定!$B$11:$B$60,設定!$A$5:$A$7,設定!$B$5:$B$7)*XLOOKUP(設定!$C$11:$C$60,設定!$D$5:$D$7,設定!$E$5:$E$7))*100)</f>
        <v/>
      </c>
      <c r="I12" s="7">
        <f>IF(SUMPRODUCT(--(設定!$B$11:$B$60="NW/Security")*XLOOKUP(設定!$B$11:$B$60,設定!$A$5:$A$7,設定!$B$5:$B$7)*XLOOKUP(設定!$C$11:$C$60,設定!$D$5:$D$7,設定!$E$5:$E$7))=0,"",SUMPRODUCT(--(設定!$B$11:$B$60="NW/Security")*--(回答入力_30名!D12:BC12=正解キー!$B$2:$B$51)*XLOOKUP(設定!$B$11:$B$60,設定!$A$5:$A$7,設定!$B$5:$B$7)*XLOOKUP(設定!$C$11:$C$60,設定!$D$5:$D$7,設定!$E$5:$E$7))/SUMPRODUCT(--(設定!$B$11:$B$60="NW/Security")*XLOOKUP(設定!$B$11:$B$60,設定!$A$5:$A$7,設定!$B$5:$B$7)*XLOOKUP(設定!$C$11:$C$60,設定!$D$5:$D$7,設定!$E$5:$E$7))*100)</f>
        <v/>
      </c>
      <c r="J12" s="4">
        <f>IF(F12="","",IF(F12&gt;=85,"即戦力",IF(F12&gt;=70,"主担当",IF(F12&gt;=55,"サポート","育成"))))</f>
        <v/>
      </c>
    </row>
    <row r="13">
      <c r="A13" s="4">
        <f>回答入力_30名!A13</f>
        <v/>
      </c>
      <c r="B13" s="5">
        <f>回答入力_30名!B13</f>
        <v/>
      </c>
      <c r="C13" s="4">
        <f>回答入力_30名!C13</f>
        <v/>
      </c>
      <c r="D13" s="4">
        <f>SUMPRODUCT(--(回答入力_30名!D13:BC13=正解キー!$B$2:$B$51)*XLOOKUP(設定!$B$11:$B$60,設定!$A$5:$A$7,設定!$B$5:$B$7)*XLOOKUP(設定!$C$11:$C$60,設定!$D$5:$D$7,設定!$E$5:$E$7))</f>
        <v/>
      </c>
      <c r="E13" s="4">
        <f>SUMPRODUCT(XLOOKUP(設定!$B$11:$B$60,設定!$A$5:$A$7,設定!$B$5:$B$7)*XLOOKUP(設定!$C$11:$C$60,設定!$D$5:$D$7,設定!$E$5:$E$7))</f>
        <v/>
      </c>
      <c r="F13" s="7">
        <f>IF(E13=0,"",D13/E13*100)</f>
        <v/>
      </c>
      <c r="G13" s="7">
        <f>IF(SUMPRODUCT(--(設定!$B$11:$B$60="OS（Linux/Windows）")*XLOOKUP(設定!$B$11:$B$60,設定!$A$5:$A$7,設定!$B$5:$B$7)*XLOOKUP(設定!$C$11:$C$60,設定!$D$5:$D$7,設定!$E$5:$E$7))=0,"",SUMPRODUCT(--(設定!$B$11:$B$60="OS（Linux/Windows）")*--(回答入力_30名!D13:BC13=正解キー!$B$2:$B$51)*XLOOKUP(設定!$B$11:$B$60,設定!$A$5:$A$7,設定!$B$5:$B$7)*XLOOKUP(設定!$C$11:$C$60,設定!$D$5:$D$7,設定!$E$5:$E$7))/SUMPRODUCT(--(設定!$B$11:$B$60="OS（Linux/Windows）")*XLOOKUP(設定!$B$11:$B$60,設定!$A$5:$A$7,設定!$B$5:$B$7)*XLOOKUP(設定!$C$11:$C$60,設定!$D$5:$D$7,設定!$E$5:$E$7))*100)</f>
        <v/>
      </c>
      <c r="H13" s="7">
        <f>IF(SUMPRODUCT(--(設定!$B$11:$B$60="AWS")*XLOOKUP(設定!$B$11:$B$60,設定!$A$5:$A$7,設定!$B$5:$B$7)*XLOOKUP(設定!$C$11:$C$60,設定!$D$5:$D$7,設定!$E$5:$E$7))=0,"",SUMPRODUCT(--(設定!$B$11:$B$60="AWS")*--(回答入力_30名!D13:BC13=正解キー!$B$2:$B$51)*XLOOKUP(設定!$B$11:$B$60,設定!$A$5:$A$7,設定!$B$5:$B$7)*XLOOKUP(設定!$C$11:$C$60,設定!$D$5:$D$7,設定!$E$5:$E$7))/SUMPRODUCT(--(設定!$B$11:$B$60="AWS")*XLOOKUP(設定!$B$11:$B$60,設定!$A$5:$A$7,設定!$B$5:$B$7)*XLOOKUP(設定!$C$11:$C$60,設定!$D$5:$D$7,設定!$E$5:$E$7))*100)</f>
        <v/>
      </c>
      <c r="I13" s="7">
        <f>IF(SUMPRODUCT(--(設定!$B$11:$B$60="NW/Security")*XLOOKUP(設定!$B$11:$B$60,設定!$A$5:$A$7,設定!$B$5:$B$7)*XLOOKUP(設定!$C$11:$C$60,設定!$D$5:$D$7,設定!$E$5:$E$7))=0,"",SUMPRODUCT(--(設定!$B$11:$B$60="NW/Security")*--(回答入力_30名!D13:BC13=正解キー!$B$2:$B$51)*XLOOKUP(設定!$B$11:$B$60,設定!$A$5:$A$7,設定!$B$5:$B$7)*XLOOKUP(設定!$C$11:$C$60,設定!$D$5:$D$7,設定!$E$5:$E$7))/SUMPRODUCT(--(設定!$B$11:$B$60="NW/Security")*XLOOKUP(設定!$B$11:$B$60,設定!$A$5:$A$7,設定!$B$5:$B$7)*XLOOKUP(設定!$C$11:$C$60,設定!$D$5:$D$7,設定!$E$5:$E$7))*100)</f>
        <v/>
      </c>
      <c r="J13" s="4">
        <f>IF(F13="","",IF(F13&gt;=85,"即戦力",IF(F13&gt;=70,"主担当",IF(F13&gt;=55,"サポート","育成"))))</f>
        <v/>
      </c>
    </row>
    <row r="14">
      <c r="A14" s="4">
        <f>回答入力_30名!A14</f>
        <v/>
      </c>
      <c r="B14" s="5">
        <f>回答入力_30名!B14</f>
        <v/>
      </c>
      <c r="C14" s="4">
        <f>回答入力_30名!C14</f>
        <v/>
      </c>
      <c r="D14" s="4">
        <f>SUMPRODUCT(--(回答入力_30名!D14:BC14=正解キー!$B$2:$B$51)*XLOOKUP(設定!$B$11:$B$60,設定!$A$5:$A$7,設定!$B$5:$B$7)*XLOOKUP(設定!$C$11:$C$60,設定!$D$5:$D$7,設定!$E$5:$E$7))</f>
        <v/>
      </c>
      <c r="E14" s="4">
        <f>SUMPRODUCT(XLOOKUP(設定!$B$11:$B$60,設定!$A$5:$A$7,設定!$B$5:$B$7)*XLOOKUP(設定!$C$11:$C$60,設定!$D$5:$D$7,設定!$E$5:$E$7))</f>
        <v/>
      </c>
      <c r="F14" s="7">
        <f>IF(E14=0,"",D14/E14*100)</f>
        <v/>
      </c>
      <c r="G14" s="7">
        <f>IF(SUMPRODUCT(--(設定!$B$11:$B$60="OS（Linux/Windows）")*XLOOKUP(設定!$B$11:$B$60,設定!$A$5:$A$7,設定!$B$5:$B$7)*XLOOKUP(設定!$C$11:$C$60,設定!$D$5:$D$7,設定!$E$5:$E$7))=0,"",SUMPRODUCT(--(設定!$B$11:$B$60="OS（Linux/Windows）")*--(回答入力_30名!D14:BC14=正解キー!$B$2:$B$51)*XLOOKUP(設定!$B$11:$B$60,設定!$A$5:$A$7,設定!$B$5:$B$7)*XLOOKUP(設定!$C$11:$C$60,設定!$D$5:$D$7,設定!$E$5:$E$7))/SUMPRODUCT(--(設定!$B$11:$B$60="OS（Linux/Windows）")*XLOOKUP(設定!$B$11:$B$60,設定!$A$5:$A$7,設定!$B$5:$B$7)*XLOOKUP(設定!$C$11:$C$60,設定!$D$5:$D$7,設定!$E$5:$E$7))*100)</f>
        <v/>
      </c>
      <c r="H14" s="7">
        <f>IF(SUMPRODUCT(--(設定!$B$11:$B$60="AWS")*XLOOKUP(設定!$B$11:$B$60,設定!$A$5:$A$7,設定!$B$5:$B$7)*XLOOKUP(設定!$C$11:$C$60,設定!$D$5:$D$7,設定!$E$5:$E$7))=0,"",SUMPRODUCT(--(設定!$B$11:$B$60="AWS")*--(回答入力_30名!D14:BC14=正解キー!$B$2:$B$51)*XLOOKUP(設定!$B$11:$B$60,設定!$A$5:$A$7,設定!$B$5:$B$7)*XLOOKUP(設定!$C$11:$C$60,設定!$D$5:$D$7,設定!$E$5:$E$7))/SUMPRODUCT(--(設定!$B$11:$B$60="AWS")*XLOOKUP(設定!$B$11:$B$60,設定!$A$5:$A$7,設定!$B$5:$B$7)*XLOOKUP(設定!$C$11:$C$60,設定!$D$5:$D$7,設定!$E$5:$E$7))*100)</f>
        <v/>
      </c>
      <c r="I14" s="7">
        <f>IF(SUMPRODUCT(--(設定!$B$11:$B$60="NW/Security")*XLOOKUP(設定!$B$11:$B$60,設定!$A$5:$A$7,設定!$B$5:$B$7)*XLOOKUP(設定!$C$11:$C$60,設定!$D$5:$D$7,設定!$E$5:$E$7))=0,"",SUMPRODUCT(--(設定!$B$11:$B$60="NW/Security")*--(回答入力_30名!D14:BC14=正解キー!$B$2:$B$51)*XLOOKUP(設定!$B$11:$B$60,設定!$A$5:$A$7,設定!$B$5:$B$7)*XLOOKUP(設定!$C$11:$C$60,設定!$D$5:$D$7,設定!$E$5:$E$7))/SUMPRODUCT(--(設定!$B$11:$B$60="NW/Security")*XLOOKUP(設定!$B$11:$B$60,設定!$A$5:$A$7,設定!$B$5:$B$7)*XLOOKUP(設定!$C$11:$C$60,設定!$D$5:$D$7,設定!$E$5:$E$7))*100)</f>
        <v/>
      </c>
      <c r="J14" s="4">
        <f>IF(F14="","",IF(F14&gt;=85,"即戦力",IF(F14&gt;=70,"主担当",IF(F14&gt;=55,"サポート","育成"))))</f>
        <v/>
      </c>
    </row>
    <row r="15">
      <c r="A15" s="4">
        <f>回答入力_30名!A15</f>
        <v/>
      </c>
      <c r="B15" s="5">
        <f>回答入力_30名!B15</f>
        <v/>
      </c>
      <c r="C15" s="4">
        <f>回答入力_30名!C15</f>
        <v/>
      </c>
      <c r="D15" s="4">
        <f>SUMPRODUCT(--(回答入力_30名!D15:BC15=正解キー!$B$2:$B$51)*XLOOKUP(設定!$B$11:$B$60,設定!$A$5:$A$7,設定!$B$5:$B$7)*XLOOKUP(設定!$C$11:$C$60,設定!$D$5:$D$7,設定!$E$5:$E$7))</f>
        <v/>
      </c>
      <c r="E15" s="4">
        <f>SUMPRODUCT(XLOOKUP(設定!$B$11:$B$60,設定!$A$5:$A$7,設定!$B$5:$B$7)*XLOOKUP(設定!$C$11:$C$60,設定!$D$5:$D$7,設定!$E$5:$E$7))</f>
        <v/>
      </c>
      <c r="F15" s="7">
        <f>IF(E15=0,"",D15/E15*100)</f>
        <v/>
      </c>
      <c r="G15" s="7">
        <f>IF(SUMPRODUCT(--(設定!$B$11:$B$60="OS（Linux/Windows）")*XLOOKUP(設定!$B$11:$B$60,設定!$A$5:$A$7,設定!$B$5:$B$7)*XLOOKUP(設定!$C$11:$C$60,設定!$D$5:$D$7,設定!$E$5:$E$7))=0,"",SUMPRODUCT(--(設定!$B$11:$B$60="OS（Linux/Windows）")*--(回答入力_30名!D15:BC15=正解キー!$B$2:$B$51)*XLOOKUP(設定!$B$11:$B$60,設定!$A$5:$A$7,設定!$B$5:$B$7)*XLOOKUP(設定!$C$11:$C$60,設定!$D$5:$D$7,設定!$E$5:$E$7))/SUMPRODUCT(--(設定!$B$11:$B$60="OS（Linux/Windows）")*XLOOKUP(設定!$B$11:$B$60,設定!$A$5:$A$7,設定!$B$5:$B$7)*XLOOKUP(設定!$C$11:$C$60,設定!$D$5:$D$7,設定!$E$5:$E$7))*100)</f>
        <v/>
      </c>
      <c r="H15" s="7">
        <f>IF(SUMPRODUCT(--(設定!$B$11:$B$60="AWS")*XLOOKUP(設定!$B$11:$B$60,設定!$A$5:$A$7,設定!$B$5:$B$7)*XLOOKUP(設定!$C$11:$C$60,設定!$D$5:$D$7,設定!$E$5:$E$7))=0,"",SUMPRODUCT(--(設定!$B$11:$B$60="AWS")*--(回答入力_30名!D15:BC15=正解キー!$B$2:$B$51)*XLOOKUP(設定!$B$11:$B$60,設定!$A$5:$A$7,設定!$B$5:$B$7)*XLOOKUP(設定!$C$11:$C$60,設定!$D$5:$D$7,設定!$E$5:$E$7))/SUMPRODUCT(--(設定!$B$11:$B$60="AWS")*XLOOKUP(設定!$B$11:$B$60,設定!$A$5:$A$7,設定!$B$5:$B$7)*XLOOKUP(設定!$C$11:$C$60,設定!$D$5:$D$7,設定!$E$5:$E$7))*100)</f>
        <v/>
      </c>
      <c r="I15" s="7">
        <f>IF(SUMPRODUCT(--(設定!$B$11:$B$60="NW/Security")*XLOOKUP(設定!$B$11:$B$60,設定!$A$5:$A$7,設定!$B$5:$B$7)*XLOOKUP(設定!$C$11:$C$60,設定!$D$5:$D$7,設定!$E$5:$E$7))=0,"",SUMPRODUCT(--(設定!$B$11:$B$60="NW/Security")*--(回答入力_30名!D15:BC15=正解キー!$B$2:$B$51)*XLOOKUP(設定!$B$11:$B$60,設定!$A$5:$A$7,設定!$B$5:$B$7)*XLOOKUP(設定!$C$11:$C$60,設定!$D$5:$D$7,設定!$E$5:$E$7))/SUMPRODUCT(--(設定!$B$11:$B$60="NW/Security")*XLOOKUP(設定!$B$11:$B$60,設定!$A$5:$A$7,設定!$B$5:$B$7)*XLOOKUP(設定!$C$11:$C$60,設定!$D$5:$D$7,設定!$E$5:$E$7))*100)</f>
        <v/>
      </c>
      <c r="J15" s="4">
        <f>IF(F15="","",IF(F15&gt;=85,"即戦力",IF(F15&gt;=70,"主担当",IF(F15&gt;=55,"サポート","育成"))))</f>
        <v/>
      </c>
    </row>
    <row r="16">
      <c r="A16" s="4">
        <f>回答入力_30名!A16</f>
        <v/>
      </c>
      <c r="B16" s="5">
        <f>回答入力_30名!B16</f>
        <v/>
      </c>
      <c r="C16" s="4">
        <f>回答入力_30名!C16</f>
        <v/>
      </c>
      <c r="D16" s="4">
        <f>SUMPRODUCT(--(回答入力_30名!D16:BC16=正解キー!$B$2:$B$51)*XLOOKUP(設定!$B$11:$B$60,設定!$A$5:$A$7,設定!$B$5:$B$7)*XLOOKUP(設定!$C$11:$C$60,設定!$D$5:$D$7,設定!$E$5:$E$7))</f>
        <v/>
      </c>
      <c r="E16" s="4">
        <f>SUMPRODUCT(XLOOKUP(設定!$B$11:$B$60,設定!$A$5:$A$7,設定!$B$5:$B$7)*XLOOKUP(設定!$C$11:$C$60,設定!$D$5:$D$7,設定!$E$5:$E$7))</f>
        <v/>
      </c>
      <c r="F16" s="7">
        <f>IF(E16=0,"",D16/E16*100)</f>
        <v/>
      </c>
      <c r="G16" s="7">
        <f>IF(SUMPRODUCT(--(設定!$B$11:$B$60="OS（Linux/Windows）")*XLOOKUP(設定!$B$11:$B$60,設定!$A$5:$A$7,設定!$B$5:$B$7)*XLOOKUP(設定!$C$11:$C$60,設定!$D$5:$D$7,設定!$E$5:$E$7))=0,"",SUMPRODUCT(--(設定!$B$11:$B$60="OS（Linux/Windows）")*--(回答入力_30名!D16:BC16=正解キー!$B$2:$B$51)*XLOOKUP(設定!$B$11:$B$60,設定!$A$5:$A$7,設定!$B$5:$B$7)*XLOOKUP(設定!$C$11:$C$60,設定!$D$5:$D$7,設定!$E$5:$E$7))/SUMPRODUCT(--(設定!$B$11:$B$60="OS（Linux/Windows）")*XLOOKUP(設定!$B$11:$B$60,設定!$A$5:$A$7,設定!$B$5:$B$7)*XLOOKUP(設定!$C$11:$C$60,設定!$D$5:$D$7,設定!$E$5:$E$7))*100)</f>
        <v/>
      </c>
      <c r="H16" s="7">
        <f>IF(SUMPRODUCT(--(設定!$B$11:$B$60="AWS")*XLOOKUP(設定!$B$11:$B$60,設定!$A$5:$A$7,設定!$B$5:$B$7)*XLOOKUP(設定!$C$11:$C$60,設定!$D$5:$D$7,設定!$E$5:$E$7))=0,"",SUMPRODUCT(--(設定!$B$11:$B$60="AWS")*--(回答入力_30名!D16:BC16=正解キー!$B$2:$B$51)*XLOOKUP(設定!$B$11:$B$60,設定!$A$5:$A$7,設定!$B$5:$B$7)*XLOOKUP(設定!$C$11:$C$60,設定!$D$5:$D$7,設定!$E$5:$E$7))/SUMPRODUCT(--(設定!$B$11:$B$60="AWS")*XLOOKUP(設定!$B$11:$B$60,設定!$A$5:$A$7,設定!$B$5:$B$7)*XLOOKUP(設定!$C$11:$C$60,設定!$D$5:$D$7,設定!$E$5:$E$7))*100)</f>
        <v/>
      </c>
      <c r="I16" s="7">
        <f>IF(SUMPRODUCT(--(設定!$B$11:$B$60="NW/Security")*XLOOKUP(設定!$B$11:$B$60,設定!$A$5:$A$7,設定!$B$5:$B$7)*XLOOKUP(設定!$C$11:$C$60,設定!$D$5:$D$7,設定!$E$5:$E$7))=0,"",SUMPRODUCT(--(設定!$B$11:$B$60="NW/Security")*--(回答入力_30名!D16:BC16=正解キー!$B$2:$B$51)*XLOOKUP(設定!$B$11:$B$60,設定!$A$5:$A$7,設定!$B$5:$B$7)*XLOOKUP(設定!$C$11:$C$60,設定!$D$5:$D$7,設定!$E$5:$E$7))/SUMPRODUCT(--(設定!$B$11:$B$60="NW/Security")*XLOOKUP(設定!$B$11:$B$60,設定!$A$5:$A$7,設定!$B$5:$B$7)*XLOOKUP(設定!$C$11:$C$60,設定!$D$5:$D$7,設定!$E$5:$E$7))*100)</f>
        <v/>
      </c>
      <c r="J16" s="4">
        <f>IF(F16="","",IF(F16&gt;=85,"即戦力",IF(F16&gt;=70,"主担当",IF(F16&gt;=55,"サポート","育成"))))</f>
        <v/>
      </c>
    </row>
    <row r="17">
      <c r="A17" s="4">
        <f>回答入力_30名!A17</f>
        <v/>
      </c>
      <c r="B17" s="5">
        <f>回答入力_30名!B17</f>
        <v/>
      </c>
      <c r="C17" s="4">
        <f>回答入力_30名!C17</f>
        <v/>
      </c>
      <c r="D17" s="4">
        <f>SUMPRODUCT(--(回答入力_30名!D17:BC17=正解キー!$B$2:$B$51)*XLOOKUP(設定!$B$11:$B$60,設定!$A$5:$A$7,設定!$B$5:$B$7)*XLOOKUP(設定!$C$11:$C$60,設定!$D$5:$D$7,設定!$E$5:$E$7))</f>
        <v/>
      </c>
      <c r="E17" s="4">
        <f>SUMPRODUCT(XLOOKUP(設定!$B$11:$B$60,設定!$A$5:$A$7,設定!$B$5:$B$7)*XLOOKUP(設定!$C$11:$C$60,設定!$D$5:$D$7,設定!$E$5:$E$7))</f>
        <v/>
      </c>
      <c r="F17" s="7">
        <f>IF(E17=0,"",D17/E17*100)</f>
        <v/>
      </c>
      <c r="G17" s="7">
        <f>IF(SUMPRODUCT(--(設定!$B$11:$B$60="OS（Linux/Windows）")*XLOOKUP(設定!$B$11:$B$60,設定!$A$5:$A$7,設定!$B$5:$B$7)*XLOOKUP(設定!$C$11:$C$60,設定!$D$5:$D$7,設定!$E$5:$E$7))=0,"",SUMPRODUCT(--(設定!$B$11:$B$60="OS（Linux/Windows）")*--(回答入力_30名!D17:BC17=正解キー!$B$2:$B$51)*XLOOKUP(設定!$B$11:$B$60,設定!$A$5:$A$7,設定!$B$5:$B$7)*XLOOKUP(設定!$C$11:$C$60,設定!$D$5:$D$7,設定!$E$5:$E$7))/SUMPRODUCT(--(設定!$B$11:$B$60="OS（Linux/Windows）")*XLOOKUP(設定!$B$11:$B$60,設定!$A$5:$A$7,設定!$B$5:$B$7)*XLOOKUP(設定!$C$11:$C$60,設定!$D$5:$D$7,設定!$E$5:$E$7))*100)</f>
        <v/>
      </c>
      <c r="H17" s="7">
        <f>IF(SUMPRODUCT(--(設定!$B$11:$B$60="AWS")*XLOOKUP(設定!$B$11:$B$60,設定!$A$5:$A$7,設定!$B$5:$B$7)*XLOOKUP(設定!$C$11:$C$60,設定!$D$5:$D$7,設定!$E$5:$E$7))=0,"",SUMPRODUCT(--(設定!$B$11:$B$60="AWS")*--(回答入力_30名!D17:BC17=正解キー!$B$2:$B$51)*XLOOKUP(設定!$B$11:$B$60,設定!$A$5:$A$7,設定!$B$5:$B$7)*XLOOKUP(設定!$C$11:$C$60,設定!$D$5:$D$7,設定!$E$5:$E$7))/SUMPRODUCT(--(設定!$B$11:$B$60="AWS")*XLOOKUP(設定!$B$11:$B$60,設定!$A$5:$A$7,設定!$B$5:$B$7)*XLOOKUP(設定!$C$11:$C$60,設定!$D$5:$D$7,設定!$E$5:$E$7))*100)</f>
        <v/>
      </c>
      <c r="I17" s="7">
        <f>IF(SUMPRODUCT(--(設定!$B$11:$B$60="NW/Security")*XLOOKUP(設定!$B$11:$B$60,設定!$A$5:$A$7,設定!$B$5:$B$7)*XLOOKUP(設定!$C$11:$C$60,設定!$D$5:$D$7,設定!$E$5:$E$7))=0,"",SUMPRODUCT(--(設定!$B$11:$B$60="NW/Security")*--(回答入力_30名!D17:BC17=正解キー!$B$2:$B$51)*XLOOKUP(設定!$B$11:$B$60,設定!$A$5:$A$7,設定!$B$5:$B$7)*XLOOKUP(設定!$C$11:$C$60,設定!$D$5:$D$7,設定!$E$5:$E$7))/SUMPRODUCT(--(設定!$B$11:$B$60="NW/Security")*XLOOKUP(設定!$B$11:$B$60,設定!$A$5:$A$7,設定!$B$5:$B$7)*XLOOKUP(設定!$C$11:$C$60,設定!$D$5:$D$7,設定!$E$5:$E$7))*100)</f>
        <v/>
      </c>
      <c r="J17" s="4">
        <f>IF(F17="","",IF(F17&gt;=85,"即戦力",IF(F17&gt;=70,"主担当",IF(F17&gt;=55,"サポート","育成"))))</f>
        <v/>
      </c>
    </row>
    <row r="18">
      <c r="A18" s="4">
        <f>回答入力_30名!A18</f>
        <v/>
      </c>
      <c r="B18" s="5">
        <f>回答入力_30名!B18</f>
        <v/>
      </c>
      <c r="C18" s="4">
        <f>回答入力_30名!C18</f>
        <v/>
      </c>
      <c r="D18" s="4">
        <f>SUMPRODUCT(--(回答入力_30名!D18:BC18=正解キー!$B$2:$B$51)*XLOOKUP(設定!$B$11:$B$60,設定!$A$5:$A$7,設定!$B$5:$B$7)*XLOOKUP(設定!$C$11:$C$60,設定!$D$5:$D$7,設定!$E$5:$E$7))</f>
        <v/>
      </c>
      <c r="E18" s="4">
        <f>SUMPRODUCT(XLOOKUP(設定!$B$11:$B$60,設定!$A$5:$A$7,設定!$B$5:$B$7)*XLOOKUP(設定!$C$11:$C$60,設定!$D$5:$D$7,設定!$E$5:$E$7))</f>
        <v/>
      </c>
      <c r="F18" s="7">
        <f>IF(E18=0,"",D18/E18*100)</f>
        <v/>
      </c>
      <c r="G18" s="7">
        <f>IF(SUMPRODUCT(--(設定!$B$11:$B$60="OS（Linux/Windows）")*XLOOKUP(設定!$B$11:$B$60,設定!$A$5:$A$7,設定!$B$5:$B$7)*XLOOKUP(設定!$C$11:$C$60,設定!$D$5:$D$7,設定!$E$5:$E$7))=0,"",SUMPRODUCT(--(設定!$B$11:$B$60="OS（Linux/Windows）")*--(回答入力_30名!D18:BC18=正解キー!$B$2:$B$51)*XLOOKUP(設定!$B$11:$B$60,設定!$A$5:$A$7,設定!$B$5:$B$7)*XLOOKUP(設定!$C$11:$C$60,設定!$D$5:$D$7,設定!$E$5:$E$7))/SUMPRODUCT(--(設定!$B$11:$B$60="OS（Linux/Windows）")*XLOOKUP(設定!$B$11:$B$60,設定!$A$5:$A$7,設定!$B$5:$B$7)*XLOOKUP(設定!$C$11:$C$60,設定!$D$5:$D$7,設定!$E$5:$E$7))*100)</f>
        <v/>
      </c>
      <c r="H18" s="7">
        <f>IF(SUMPRODUCT(--(設定!$B$11:$B$60="AWS")*XLOOKUP(設定!$B$11:$B$60,設定!$A$5:$A$7,設定!$B$5:$B$7)*XLOOKUP(設定!$C$11:$C$60,設定!$D$5:$D$7,設定!$E$5:$E$7))=0,"",SUMPRODUCT(--(設定!$B$11:$B$60="AWS")*--(回答入力_30名!D18:BC18=正解キー!$B$2:$B$51)*XLOOKUP(設定!$B$11:$B$60,設定!$A$5:$A$7,設定!$B$5:$B$7)*XLOOKUP(設定!$C$11:$C$60,設定!$D$5:$D$7,設定!$E$5:$E$7))/SUMPRODUCT(--(設定!$B$11:$B$60="AWS")*XLOOKUP(設定!$B$11:$B$60,設定!$A$5:$A$7,設定!$B$5:$B$7)*XLOOKUP(設定!$C$11:$C$60,設定!$D$5:$D$7,設定!$E$5:$E$7))*100)</f>
        <v/>
      </c>
      <c r="I18" s="7">
        <f>IF(SUMPRODUCT(--(設定!$B$11:$B$60="NW/Security")*XLOOKUP(設定!$B$11:$B$60,設定!$A$5:$A$7,設定!$B$5:$B$7)*XLOOKUP(設定!$C$11:$C$60,設定!$D$5:$D$7,設定!$E$5:$E$7))=0,"",SUMPRODUCT(--(設定!$B$11:$B$60="NW/Security")*--(回答入力_30名!D18:BC18=正解キー!$B$2:$B$51)*XLOOKUP(設定!$B$11:$B$60,設定!$A$5:$A$7,設定!$B$5:$B$7)*XLOOKUP(設定!$C$11:$C$60,設定!$D$5:$D$7,設定!$E$5:$E$7))/SUMPRODUCT(--(設定!$B$11:$B$60="NW/Security")*XLOOKUP(設定!$B$11:$B$60,設定!$A$5:$A$7,設定!$B$5:$B$7)*XLOOKUP(設定!$C$11:$C$60,設定!$D$5:$D$7,設定!$E$5:$E$7))*100)</f>
        <v/>
      </c>
      <c r="J18" s="4">
        <f>IF(F18="","",IF(F18&gt;=85,"即戦力",IF(F18&gt;=70,"主担当",IF(F18&gt;=55,"サポート","育成"))))</f>
        <v/>
      </c>
    </row>
    <row r="19">
      <c r="A19" s="4">
        <f>回答入力_30名!A19</f>
        <v/>
      </c>
      <c r="B19" s="5">
        <f>回答入力_30名!B19</f>
        <v/>
      </c>
      <c r="C19" s="4">
        <f>回答入力_30名!C19</f>
        <v/>
      </c>
      <c r="D19" s="4">
        <f>SUMPRODUCT(--(回答入力_30名!D19:BC19=正解キー!$B$2:$B$51)*XLOOKUP(設定!$B$11:$B$60,設定!$A$5:$A$7,設定!$B$5:$B$7)*XLOOKUP(設定!$C$11:$C$60,設定!$D$5:$D$7,設定!$E$5:$E$7))</f>
        <v/>
      </c>
      <c r="E19" s="4">
        <f>SUMPRODUCT(XLOOKUP(設定!$B$11:$B$60,設定!$A$5:$A$7,設定!$B$5:$B$7)*XLOOKUP(設定!$C$11:$C$60,設定!$D$5:$D$7,設定!$E$5:$E$7))</f>
        <v/>
      </c>
      <c r="F19" s="7">
        <f>IF(E19=0,"",D19/E19*100)</f>
        <v/>
      </c>
      <c r="G19" s="7">
        <f>IF(SUMPRODUCT(--(設定!$B$11:$B$60="OS（Linux/Windows）")*XLOOKUP(設定!$B$11:$B$60,設定!$A$5:$A$7,設定!$B$5:$B$7)*XLOOKUP(設定!$C$11:$C$60,設定!$D$5:$D$7,設定!$E$5:$E$7))=0,"",SUMPRODUCT(--(設定!$B$11:$B$60="OS（Linux/Windows）")*--(回答入力_30名!D19:BC19=正解キー!$B$2:$B$51)*XLOOKUP(設定!$B$11:$B$60,設定!$A$5:$A$7,設定!$B$5:$B$7)*XLOOKUP(設定!$C$11:$C$60,設定!$D$5:$D$7,設定!$E$5:$E$7))/SUMPRODUCT(--(設定!$B$11:$B$60="OS（Linux/Windows）")*XLOOKUP(設定!$B$11:$B$60,設定!$A$5:$A$7,設定!$B$5:$B$7)*XLOOKUP(設定!$C$11:$C$60,設定!$D$5:$D$7,設定!$E$5:$E$7))*100)</f>
        <v/>
      </c>
      <c r="H19" s="7">
        <f>IF(SUMPRODUCT(--(設定!$B$11:$B$60="AWS")*XLOOKUP(設定!$B$11:$B$60,設定!$A$5:$A$7,設定!$B$5:$B$7)*XLOOKUP(設定!$C$11:$C$60,設定!$D$5:$D$7,設定!$E$5:$E$7))=0,"",SUMPRODUCT(--(設定!$B$11:$B$60="AWS")*--(回答入力_30名!D19:BC19=正解キー!$B$2:$B$51)*XLOOKUP(設定!$B$11:$B$60,設定!$A$5:$A$7,設定!$B$5:$B$7)*XLOOKUP(設定!$C$11:$C$60,設定!$D$5:$D$7,設定!$E$5:$E$7))/SUMPRODUCT(--(設定!$B$11:$B$60="AWS")*XLOOKUP(設定!$B$11:$B$60,設定!$A$5:$A$7,設定!$B$5:$B$7)*XLOOKUP(設定!$C$11:$C$60,設定!$D$5:$D$7,設定!$E$5:$E$7))*100)</f>
        <v/>
      </c>
      <c r="I19" s="7">
        <f>IF(SUMPRODUCT(--(設定!$B$11:$B$60="NW/Security")*XLOOKUP(設定!$B$11:$B$60,設定!$A$5:$A$7,設定!$B$5:$B$7)*XLOOKUP(設定!$C$11:$C$60,設定!$D$5:$D$7,設定!$E$5:$E$7))=0,"",SUMPRODUCT(--(設定!$B$11:$B$60="NW/Security")*--(回答入力_30名!D19:BC19=正解キー!$B$2:$B$51)*XLOOKUP(設定!$B$11:$B$60,設定!$A$5:$A$7,設定!$B$5:$B$7)*XLOOKUP(設定!$C$11:$C$60,設定!$D$5:$D$7,設定!$E$5:$E$7))/SUMPRODUCT(--(設定!$B$11:$B$60="NW/Security")*XLOOKUP(設定!$B$11:$B$60,設定!$A$5:$A$7,設定!$B$5:$B$7)*XLOOKUP(設定!$C$11:$C$60,設定!$D$5:$D$7,設定!$E$5:$E$7))*100)</f>
        <v/>
      </c>
      <c r="J19" s="4">
        <f>IF(F19="","",IF(F19&gt;=85,"即戦力",IF(F19&gt;=70,"主担当",IF(F19&gt;=55,"サポート","育成"))))</f>
        <v/>
      </c>
    </row>
    <row r="20">
      <c r="A20" s="4">
        <f>回答入力_30名!A20</f>
        <v/>
      </c>
      <c r="B20" s="5">
        <f>回答入力_30名!B20</f>
        <v/>
      </c>
      <c r="C20" s="4">
        <f>回答入力_30名!C20</f>
        <v/>
      </c>
      <c r="D20" s="4">
        <f>SUMPRODUCT(--(回答入力_30名!D20:BC20=正解キー!$B$2:$B$51)*XLOOKUP(設定!$B$11:$B$60,設定!$A$5:$A$7,設定!$B$5:$B$7)*XLOOKUP(設定!$C$11:$C$60,設定!$D$5:$D$7,設定!$E$5:$E$7))</f>
        <v/>
      </c>
      <c r="E20" s="4">
        <f>SUMPRODUCT(XLOOKUP(設定!$B$11:$B$60,設定!$A$5:$A$7,設定!$B$5:$B$7)*XLOOKUP(設定!$C$11:$C$60,設定!$D$5:$D$7,設定!$E$5:$E$7))</f>
        <v/>
      </c>
      <c r="F20" s="7">
        <f>IF(E20=0,"",D20/E20*100)</f>
        <v/>
      </c>
      <c r="G20" s="7">
        <f>IF(SUMPRODUCT(--(設定!$B$11:$B$60="OS（Linux/Windows）")*XLOOKUP(設定!$B$11:$B$60,設定!$A$5:$A$7,設定!$B$5:$B$7)*XLOOKUP(設定!$C$11:$C$60,設定!$D$5:$D$7,設定!$E$5:$E$7))=0,"",SUMPRODUCT(--(設定!$B$11:$B$60="OS（Linux/Windows）")*--(回答入力_30名!D20:BC20=正解キー!$B$2:$B$51)*XLOOKUP(設定!$B$11:$B$60,設定!$A$5:$A$7,設定!$B$5:$B$7)*XLOOKUP(設定!$C$11:$C$60,設定!$D$5:$D$7,設定!$E$5:$E$7))/SUMPRODUCT(--(設定!$B$11:$B$60="OS（Linux/Windows）")*XLOOKUP(設定!$B$11:$B$60,設定!$A$5:$A$7,設定!$B$5:$B$7)*XLOOKUP(設定!$C$11:$C$60,設定!$D$5:$D$7,設定!$E$5:$E$7))*100)</f>
        <v/>
      </c>
      <c r="H20" s="7">
        <f>IF(SUMPRODUCT(--(設定!$B$11:$B$60="AWS")*XLOOKUP(設定!$B$11:$B$60,設定!$A$5:$A$7,設定!$B$5:$B$7)*XLOOKUP(設定!$C$11:$C$60,設定!$D$5:$D$7,設定!$E$5:$E$7))=0,"",SUMPRODUCT(--(設定!$B$11:$B$60="AWS")*--(回答入力_30名!D20:BC20=正解キー!$B$2:$B$51)*XLOOKUP(設定!$B$11:$B$60,設定!$A$5:$A$7,設定!$B$5:$B$7)*XLOOKUP(設定!$C$11:$C$60,設定!$D$5:$D$7,設定!$E$5:$E$7))/SUMPRODUCT(--(設定!$B$11:$B$60="AWS")*XLOOKUP(設定!$B$11:$B$60,設定!$A$5:$A$7,設定!$B$5:$B$7)*XLOOKUP(設定!$C$11:$C$60,設定!$D$5:$D$7,設定!$E$5:$E$7))*100)</f>
        <v/>
      </c>
      <c r="I20" s="7">
        <f>IF(SUMPRODUCT(--(設定!$B$11:$B$60="NW/Security")*XLOOKUP(設定!$B$11:$B$60,設定!$A$5:$A$7,設定!$B$5:$B$7)*XLOOKUP(設定!$C$11:$C$60,設定!$D$5:$D$7,設定!$E$5:$E$7))=0,"",SUMPRODUCT(--(設定!$B$11:$B$60="NW/Security")*--(回答入力_30名!D20:BC20=正解キー!$B$2:$B$51)*XLOOKUP(設定!$B$11:$B$60,設定!$A$5:$A$7,設定!$B$5:$B$7)*XLOOKUP(設定!$C$11:$C$60,設定!$D$5:$D$7,設定!$E$5:$E$7))/SUMPRODUCT(--(設定!$B$11:$B$60="NW/Security")*XLOOKUP(設定!$B$11:$B$60,設定!$A$5:$A$7,設定!$B$5:$B$7)*XLOOKUP(設定!$C$11:$C$60,設定!$D$5:$D$7,設定!$E$5:$E$7))*100)</f>
        <v/>
      </c>
      <c r="J20" s="4">
        <f>IF(F20="","",IF(F20&gt;=85,"即戦力",IF(F20&gt;=70,"主担当",IF(F20&gt;=55,"サポート","育成"))))</f>
        <v/>
      </c>
    </row>
    <row r="21">
      <c r="A21" s="4">
        <f>回答入力_30名!A21</f>
        <v/>
      </c>
      <c r="B21" s="5">
        <f>回答入力_30名!B21</f>
        <v/>
      </c>
      <c r="C21" s="4">
        <f>回答入力_30名!C21</f>
        <v/>
      </c>
      <c r="D21" s="4">
        <f>SUMPRODUCT(--(回答入力_30名!D21:BC21=正解キー!$B$2:$B$51)*XLOOKUP(設定!$B$11:$B$60,設定!$A$5:$A$7,設定!$B$5:$B$7)*XLOOKUP(設定!$C$11:$C$60,設定!$D$5:$D$7,設定!$E$5:$E$7))</f>
        <v/>
      </c>
      <c r="E21" s="4">
        <f>SUMPRODUCT(XLOOKUP(設定!$B$11:$B$60,設定!$A$5:$A$7,設定!$B$5:$B$7)*XLOOKUP(設定!$C$11:$C$60,設定!$D$5:$D$7,設定!$E$5:$E$7))</f>
        <v/>
      </c>
      <c r="F21" s="7">
        <f>IF(E21=0,"",D21/E21*100)</f>
        <v/>
      </c>
      <c r="G21" s="7">
        <f>IF(SUMPRODUCT(--(設定!$B$11:$B$60="OS（Linux/Windows）")*XLOOKUP(設定!$B$11:$B$60,設定!$A$5:$A$7,設定!$B$5:$B$7)*XLOOKUP(設定!$C$11:$C$60,設定!$D$5:$D$7,設定!$E$5:$E$7))=0,"",SUMPRODUCT(--(設定!$B$11:$B$60="OS（Linux/Windows）")*--(回答入力_30名!D21:BC21=正解キー!$B$2:$B$51)*XLOOKUP(設定!$B$11:$B$60,設定!$A$5:$A$7,設定!$B$5:$B$7)*XLOOKUP(設定!$C$11:$C$60,設定!$D$5:$D$7,設定!$E$5:$E$7))/SUMPRODUCT(--(設定!$B$11:$B$60="OS（Linux/Windows）")*XLOOKUP(設定!$B$11:$B$60,設定!$A$5:$A$7,設定!$B$5:$B$7)*XLOOKUP(設定!$C$11:$C$60,設定!$D$5:$D$7,設定!$E$5:$E$7))*100)</f>
        <v/>
      </c>
      <c r="H21" s="7">
        <f>IF(SUMPRODUCT(--(設定!$B$11:$B$60="AWS")*XLOOKUP(設定!$B$11:$B$60,設定!$A$5:$A$7,設定!$B$5:$B$7)*XLOOKUP(設定!$C$11:$C$60,設定!$D$5:$D$7,設定!$E$5:$E$7))=0,"",SUMPRODUCT(--(設定!$B$11:$B$60="AWS")*--(回答入力_30名!D21:BC21=正解キー!$B$2:$B$51)*XLOOKUP(設定!$B$11:$B$60,設定!$A$5:$A$7,設定!$B$5:$B$7)*XLOOKUP(設定!$C$11:$C$60,設定!$D$5:$D$7,設定!$E$5:$E$7))/SUMPRODUCT(--(設定!$B$11:$B$60="AWS")*XLOOKUP(設定!$B$11:$B$60,設定!$A$5:$A$7,設定!$B$5:$B$7)*XLOOKUP(設定!$C$11:$C$60,設定!$D$5:$D$7,設定!$E$5:$E$7))*100)</f>
        <v/>
      </c>
      <c r="I21" s="7">
        <f>IF(SUMPRODUCT(--(設定!$B$11:$B$60="NW/Security")*XLOOKUP(設定!$B$11:$B$60,設定!$A$5:$A$7,設定!$B$5:$B$7)*XLOOKUP(設定!$C$11:$C$60,設定!$D$5:$D$7,設定!$E$5:$E$7))=0,"",SUMPRODUCT(--(設定!$B$11:$B$60="NW/Security")*--(回答入力_30名!D21:BC21=正解キー!$B$2:$B$51)*XLOOKUP(設定!$B$11:$B$60,設定!$A$5:$A$7,設定!$B$5:$B$7)*XLOOKUP(設定!$C$11:$C$60,設定!$D$5:$D$7,設定!$E$5:$E$7))/SUMPRODUCT(--(設定!$B$11:$B$60="NW/Security")*XLOOKUP(設定!$B$11:$B$60,設定!$A$5:$A$7,設定!$B$5:$B$7)*XLOOKUP(設定!$C$11:$C$60,設定!$D$5:$D$7,設定!$E$5:$E$7))*100)</f>
        <v/>
      </c>
      <c r="J21" s="4">
        <f>IF(F21="","",IF(F21&gt;=85,"即戦力",IF(F21&gt;=70,"主担当",IF(F21&gt;=55,"サポート","育成"))))</f>
        <v/>
      </c>
    </row>
    <row r="22">
      <c r="A22" s="4">
        <f>回答入力_30名!A22</f>
        <v/>
      </c>
      <c r="B22" s="5">
        <f>回答入力_30名!B22</f>
        <v/>
      </c>
      <c r="C22" s="4">
        <f>回答入力_30名!C22</f>
        <v/>
      </c>
      <c r="D22" s="4">
        <f>SUMPRODUCT(--(回答入力_30名!D22:BC22=正解キー!$B$2:$B$51)*XLOOKUP(設定!$B$11:$B$60,設定!$A$5:$A$7,設定!$B$5:$B$7)*XLOOKUP(設定!$C$11:$C$60,設定!$D$5:$D$7,設定!$E$5:$E$7))</f>
        <v/>
      </c>
      <c r="E22" s="4">
        <f>SUMPRODUCT(XLOOKUP(設定!$B$11:$B$60,設定!$A$5:$A$7,設定!$B$5:$B$7)*XLOOKUP(設定!$C$11:$C$60,設定!$D$5:$D$7,設定!$E$5:$E$7))</f>
        <v/>
      </c>
      <c r="F22" s="7">
        <f>IF(E22=0,"",D22/E22*100)</f>
        <v/>
      </c>
      <c r="G22" s="7">
        <f>IF(SUMPRODUCT(--(設定!$B$11:$B$60="OS（Linux/Windows）")*XLOOKUP(設定!$B$11:$B$60,設定!$A$5:$A$7,設定!$B$5:$B$7)*XLOOKUP(設定!$C$11:$C$60,設定!$D$5:$D$7,設定!$E$5:$E$7))=0,"",SUMPRODUCT(--(設定!$B$11:$B$60="OS（Linux/Windows）")*--(回答入力_30名!D22:BC22=正解キー!$B$2:$B$51)*XLOOKUP(設定!$B$11:$B$60,設定!$A$5:$A$7,設定!$B$5:$B$7)*XLOOKUP(設定!$C$11:$C$60,設定!$D$5:$D$7,設定!$E$5:$E$7))/SUMPRODUCT(--(設定!$B$11:$B$60="OS（Linux/Windows）")*XLOOKUP(設定!$B$11:$B$60,設定!$A$5:$A$7,設定!$B$5:$B$7)*XLOOKUP(設定!$C$11:$C$60,設定!$D$5:$D$7,設定!$E$5:$E$7))*100)</f>
        <v/>
      </c>
      <c r="H22" s="7">
        <f>IF(SUMPRODUCT(--(設定!$B$11:$B$60="AWS")*XLOOKUP(設定!$B$11:$B$60,設定!$A$5:$A$7,設定!$B$5:$B$7)*XLOOKUP(設定!$C$11:$C$60,設定!$D$5:$D$7,設定!$E$5:$E$7))=0,"",SUMPRODUCT(--(設定!$B$11:$B$60="AWS")*--(回答入力_30名!D22:BC22=正解キー!$B$2:$B$51)*XLOOKUP(設定!$B$11:$B$60,設定!$A$5:$A$7,設定!$B$5:$B$7)*XLOOKUP(設定!$C$11:$C$60,設定!$D$5:$D$7,設定!$E$5:$E$7))/SUMPRODUCT(--(設定!$B$11:$B$60="AWS")*XLOOKUP(設定!$B$11:$B$60,設定!$A$5:$A$7,設定!$B$5:$B$7)*XLOOKUP(設定!$C$11:$C$60,設定!$D$5:$D$7,設定!$E$5:$E$7))*100)</f>
        <v/>
      </c>
      <c r="I22" s="7">
        <f>IF(SUMPRODUCT(--(設定!$B$11:$B$60="NW/Security")*XLOOKUP(設定!$B$11:$B$60,設定!$A$5:$A$7,設定!$B$5:$B$7)*XLOOKUP(設定!$C$11:$C$60,設定!$D$5:$D$7,設定!$E$5:$E$7))=0,"",SUMPRODUCT(--(設定!$B$11:$B$60="NW/Security")*--(回答入力_30名!D22:BC22=正解キー!$B$2:$B$51)*XLOOKUP(設定!$B$11:$B$60,設定!$A$5:$A$7,設定!$B$5:$B$7)*XLOOKUP(設定!$C$11:$C$60,設定!$D$5:$D$7,設定!$E$5:$E$7))/SUMPRODUCT(--(設定!$B$11:$B$60="NW/Security")*XLOOKUP(設定!$B$11:$B$60,設定!$A$5:$A$7,設定!$B$5:$B$7)*XLOOKUP(設定!$C$11:$C$60,設定!$D$5:$D$7,設定!$E$5:$E$7))*100)</f>
        <v/>
      </c>
      <c r="J22" s="4">
        <f>IF(F22="","",IF(F22&gt;=85,"即戦力",IF(F22&gt;=70,"主担当",IF(F22&gt;=55,"サポート","育成"))))</f>
        <v/>
      </c>
    </row>
    <row r="23">
      <c r="A23" s="4">
        <f>回答入力_30名!A23</f>
        <v/>
      </c>
      <c r="B23" s="5">
        <f>回答入力_30名!B23</f>
        <v/>
      </c>
      <c r="C23" s="4">
        <f>回答入力_30名!C23</f>
        <v/>
      </c>
      <c r="D23" s="4">
        <f>SUMPRODUCT(--(回答入力_30名!D23:BC23=正解キー!$B$2:$B$51)*XLOOKUP(設定!$B$11:$B$60,設定!$A$5:$A$7,設定!$B$5:$B$7)*XLOOKUP(設定!$C$11:$C$60,設定!$D$5:$D$7,設定!$E$5:$E$7))</f>
        <v/>
      </c>
      <c r="E23" s="4">
        <f>SUMPRODUCT(XLOOKUP(設定!$B$11:$B$60,設定!$A$5:$A$7,設定!$B$5:$B$7)*XLOOKUP(設定!$C$11:$C$60,設定!$D$5:$D$7,設定!$E$5:$E$7))</f>
        <v/>
      </c>
      <c r="F23" s="7">
        <f>IF(E23=0,"",D23/E23*100)</f>
        <v/>
      </c>
      <c r="G23" s="7">
        <f>IF(SUMPRODUCT(--(設定!$B$11:$B$60="OS（Linux/Windows）")*XLOOKUP(設定!$B$11:$B$60,設定!$A$5:$A$7,設定!$B$5:$B$7)*XLOOKUP(設定!$C$11:$C$60,設定!$D$5:$D$7,設定!$E$5:$E$7))=0,"",SUMPRODUCT(--(設定!$B$11:$B$60="OS（Linux/Windows）")*--(回答入力_30名!D23:BC23=正解キー!$B$2:$B$51)*XLOOKUP(設定!$B$11:$B$60,設定!$A$5:$A$7,設定!$B$5:$B$7)*XLOOKUP(設定!$C$11:$C$60,設定!$D$5:$D$7,設定!$E$5:$E$7))/SUMPRODUCT(--(設定!$B$11:$B$60="OS（Linux/Windows）")*XLOOKUP(設定!$B$11:$B$60,設定!$A$5:$A$7,設定!$B$5:$B$7)*XLOOKUP(設定!$C$11:$C$60,設定!$D$5:$D$7,設定!$E$5:$E$7))*100)</f>
        <v/>
      </c>
      <c r="H23" s="7">
        <f>IF(SUMPRODUCT(--(設定!$B$11:$B$60="AWS")*XLOOKUP(設定!$B$11:$B$60,設定!$A$5:$A$7,設定!$B$5:$B$7)*XLOOKUP(設定!$C$11:$C$60,設定!$D$5:$D$7,設定!$E$5:$E$7))=0,"",SUMPRODUCT(--(設定!$B$11:$B$60="AWS")*--(回答入力_30名!D23:BC23=正解キー!$B$2:$B$51)*XLOOKUP(設定!$B$11:$B$60,設定!$A$5:$A$7,設定!$B$5:$B$7)*XLOOKUP(設定!$C$11:$C$60,設定!$D$5:$D$7,設定!$E$5:$E$7))/SUMPRODUCT(--(設定!$B$11:$B$60="AWS")*XLOOKUP(設定!$B$11:$B$60,設定!$A$5:$A$7,設定!$B$5:$B$7)*XLOOKUP(設定!$C$11:$C$60,設定!$D$5:$D$7,設定!$E$5:$E$7))*100)</f>
        <v/>
      </c>
      <c r="I23" s="7">
        <f>IF(SUMPRODUCT(--(設定!$B$11:$B$60="NW/Security")*XLOOKUP(設定!$B$11:$B$60,設定!$A$5:$A$7,設定!$B$5:$B$7)*XLOOKUP(設定!$C$11:$C$60,設定!$D$5:$D$7,設定!$E$5:$E$7))=0,"",SUMPRODUCT(--(設定!$B$11:$B$60="NW/Security")*--(回答入力_30名!D23:BC23=正解キー!$B$2:$B$51)*XLOOKUP(設定!$B$11:$B$60,設定!$A$5:$A$7,設定!$B$5:$B$7)*XLOOKUP(設定!$C$11:$C$60,設定!$D$5:$D$7,設定!$E$5:$E$7))/SUMPRODUCT(--(設定!$B$11:$B$60="NW/Security")*XLOOKUP(設定!$B$11:$B$60,設定!$A$5:$A$7,設定!$B$5:$B$7)*XLOOKUP(設定!$C$11:$C$60,設定!$D$5:$D$7,設定!$E$5:$E$7))*100)</f>
        <v/>
      </c>
      <c r="J23" s="4">
        <f>IF(F23="","",IF(F23&gt;=85,"即戦力",IF(F23&gt;=70,"主担当",IF(F23&gt;=55,"サポート","育成"))))</f>
        <v/>
      </c>
    </row>
    <row r="24">
      <c r="A24" s="4">
        <f>回答入力_30名!A24</f>
        <v/>
      </c>
      <c r="B24" s="5">
        <f>回答入力_30名!B24</f>
        <v/>
      </c>
      <c r="C24" s="4">
        <f>回答入力_30名!C24</f>
        <v/>
      </c>
      <c r="D24" s="4">
        <f>SUMPRODUCT(--(回答入力_30名!D24:BC24=正解キー!$B$2:$B$51)*XLOOKUP(設定!$B$11:$B$60,設定!$A$5:$A$7,設定!$B$5:$B$7)*XLOOKUP(設定!$C$11:$C$60,設定!$D$5:$D$7,設定!$E$5:$E$7))</f>
        <v/>
      </c>
      <c r="E24" s="4">
        <f>SUMPRODUCT(XLOOKUP(設定!$B$11:$B$60,設定!$A$5:$A$7,設定!$B$5:$B$7)*XLOOKUP(設定!$C$11:$C$60,設定!$D$5:$D$7,設定!$E$5:$E$7))</f>
        <v/>
      </c>
      <c r="F24" s="7">
        <f>IF(E24=0,"",D24/E24*100)</f>
        <v/>
      </c>
      <c r="G24" s="7">
        <f>IF(SUMPRODUCT(--(設定!$B$11:$B$60="OS（Linux/Windows）")*XLOOKUP(設定!$B$11:$B$60,設定!$A$5:$A$7,設定!$B$5:$B$7)*XLOOKUP(設定!$C$11:$C$60,設定!$D$5:$D$7,設定!$E$5:$E$7))=0,"",SUMPRODUCT(--(設定!$B$11:$B$60="OS（Linux/Windows）")*--(回答入力_30名!D24:BC24=正解キー!$B$2:$B$51)*XLOOKUP(設定!$B$11:$B$60,設定!$A$5:$A$7,設定!$B$5:$B$7)*XLOOKUP(設定!$C$11:$C$60,設定!$D$5:$D$7,設定!$E$5:$E$7))/SUMPRODUCT(--(設定!$B$11:$B$60="OS（Linux/Windows）")*XLOOKUP(設定!$B$11:$B$60,設定!$A$5:$A$7,設定!$B$5:$B$7)*XLOOKUP(設定!$C$11:$C$60,設定!$D$5:$D$7,設定!$E$5:$E$7))*100)</f>
        <v/>
      </c>
      <c r="H24" s="7">
        <f>IF(SUMPRODUCT(--(設定!$B$11:$B$60="AWS")*XLOOKUP(設定!$B$11:$B$60,設定!$A$5:$A$7,設定!$B$5:$B$7)*XLOOKUP(設定!$C$11:$C$60,設定!$D$5:$D$7,設定!$E$5:$E$7))=0,"",SUMPRODUCT(--(設定!$B$11:$B$60="AWS")*--(回答入力_30名!D24:BC24=正解キー!$B$2:$B$51)*XLOOKUP(設定!$B$11:$B$60,設定!$A$5:$A$7,設定!$B$5:$B$7)*XLOOKUP(設定!$C$11:$C$60,設定!$D$5:$D$7,設定!$E$5:$E$7))/SUMPRODUCT(--(設定!$B$11:$B$60="AWS")*XLOOKUP(設定!$B$11:$B$60,設定!$A$5:$A$7,設定!$B$5:$B$7)*XLOOKUP(設定!$C$11:$C$60,設定!$D$5:$D$7,設定!$E$5:$E$7))*100)</f>
        <v/>
      </c>
      <c r="I24" s="7">
        <f>IF(SUMPRODUCT(--(設定!$B$11:$B$60="NW/Security")*XLOOKUP(設定!$B$11:$B$60,設定!$A$5:$A$7,設定!$B$5:$B$7)*XLOOKUP(設定!$C$11:$C$60,設定!$D$5:$D$7,設定!$E$5:$E$7))=0,"",SUMPRODUCT(--(設定!$B$11:$B$60="NW/Security")*--(回答入力_30名!D24:BC24=正解キー!$B$2:$B$51)*XLOOKUP(設定!$B$11:$B$60,設定!$A$5:$A$7,設定!$B$5:$B$7)*XLOOKUP(設定!$C$11:$C$60,設定!$D$5:$D$7,設定!$E$5:$E$7))/SUMPRODUCT(--(設定!$B$11:$B$60="NW/Security")*XLOOKUP(設定!$B$11:$B$60,設定!$A$5:$A$7,設定!$B$5:$B$7)*XLOOKUP(設定!$C$11:$C$60,設定!$D$5:$D$7,設定!$E$5:$E$7))*100)</f>
        <v/>
      </c>
      <c r="J24" s="4">
        <f>IF(F24="","",IF(F24&gt;=85,"即戦力",IF(F24&gt;=70,"主担当",IF(F24&gt;=55,"サポート","育成"))))</f>
        <v/>
      </c>
    </row>
    <row r="25">
      <c r="A25" s="4">
        <f>回答入力_30名!A25</f>
        <v/>
      </c>
      <c r="B25" s="5">
        <f>回答入力_30名!B25</f>
        <v/>
      </c>
      <c r="C25" s="4">
        <f>回答入力_30名!C25</f>
        <v/>
      </c>
      <c r="D25" s="4">
        <f>SUMPRODUCT(--(回答入力_30名!D25:BC25=正解キー!$B$2:$B$51)*XLOOKUP(設定!$B$11:$B$60,設定!$A$5:$A$7,設定!$B$5:$B$7)*XLOOKUP(設定!$C$11:$C$60,設定!$D$5:$D$7,設定!$E$5:$E$7))</f>
        <v/>
      </c>
      <c r="E25" s="4">
        <f>SUMPRODUCT(XLOOKUP(設定!$B$11:$B$60,設定!$A$5:$A$7,設定!$B$5:$B$7)*XLOOKUP(設定!$C$11:$C$60,設定!$D$5:$D$7,設定!$E$5:$E$7))</f>
        <v/>
      </c>
      <c r="F25" s="7">
        <f>IF(E25=0,"",D25/E25*100)</f>
        <v/>
      </c>
      <c r="G25" s="7">
        <f>IF(SUMPRODUCT(--(設定!$B$11:$B$60="OS（Linux/Windows）")*XLOOKUP(設定!$B$11:$B$60,設定!$A$5:$A$7,設定!$B$5:$B$7)*XLOOKUP(設定!$C$11:$C$60,設定!$D$5:$D$7,設定!$E$5:$E$7))=0,"",SUMPRODUCT(--(設定!$B$11:$B$60="OS（Linux/Windows）")*--(回答入力_30名!D25:BC25=正解キー!$B$2:$B$51)*XLOOKUP(設定!$B$11:$B$60,設定!$A$5:$A$7,設定!$B$5:$B$7)*XLOOKUP(設定!$C$11:$C$60,設定!$D$5:$D$7,設定!$E$5:$E$7))/SUMPRODUCT(--(設定!$B$11:$B$60="OS（Linux/Windows）")*XLOOKUP(設定!$B$11:$B$60,設定!$A$5:$A$7,設定!$B$5:$B$7)*XLOOKUP(設定!$C$11:$C$60,設定!$D$5:$D$7,設定!$E$5:$E$7))*100)</f>
        <v/>
      </c>
      <c r="H25" s="7">
        <f>IF(SUMPRODUCT(--(設定!$B$11:$B$60="AWS")*XLOOKUP(設定!$B$11:$B$60,設定!$A$5:$A$7,設定!$B$5:$B$7)*XLOOKUP(設定!$C$11:$C$60,設定!$D$5:$D$7,設定!$E$5:$E$7))=0,"",SUMPRODUCT(--(設定!$B$11:$B$60="AWS")*--(回答入力_30名!D25:BC25=正解キー!$B$2:$B$51)*XLOOKUP(設定!$B$11:$B$60,設定!$A$5:$A$7,設定!$B$5:$B$7)*XLOOKUP(設定!$C$11:$C$60,設定!$D$5:$D$7,設定!$E$5:$E$7))/SUMPRODUCT(--(設定!$B$11:$B$60="AWS")*XLOOKUP(設定!$B$11:$B$60,設定!$A$5:$A$7,設定!$B$5:$B$7)*XLOOKUP(設定!$C$11:$C$60,設定!$D$5:$D$7,設定!$E$5:$E$7))*100)</f>
        <v/>
      </c>
      <c r="I25" s="7">
        <f>IF(SUMPRODUCT(--(設定!$B$11:$B$60="NW/Security")*XLOOKUP(設定!$B$11:$B$60,設定!$A$5:$A$7,設定!$B$5:$B$7)*XLOOKUP(設定!$C$11:$C$60,設定!$D$5:$D$7,設定!$E$5:$E$7))=0,"",SUMPRODUCT(--(設定!$B$11:$B$60="NW/Security")*--(回答入力_30名!D25:BC25=正解キー!$B$2:$B$51)*XLOOKUP(設定!$B$11:$B$60,設定!$A$5:$A$7,設定!$B$5:$B$7)*XLOOKUP(設定!$C$11:$C$60,設定!$D$5:$D$7,設定!$E$5:$E$7))/SUMPRODUCT(--(設定!$B$11:$B$60="NW/Security")*XLOOKUP(設定!$B$11:$B$60,設定!$A$5:$A$7,設定!$B$5:$B$7)*XLOOKUP(設定!$C$11:$C$60,設定!$D$5:$D$7,設定!$E$5:$E$7))*100)</f>
        <v/>
      </c>
      <c r="J25" s="4">
        <f>IF(F25="","",IF(F25&gt;=85,"即戦力",IF(F25&gt;=70,"主担当",IF(F25&gt;=55,"サポート","育成"))))</f>
        <v/>
      </c>
    </row>
    <row r="26">
      <c r="A26" s="4">
        <f>回答入力_30名!A26</f>
        <v/>
      </c>
      <c r="B26" s="5">
        <f>回答入力_30名!B26</f>
        <v/>
      </c>
      <c r="C26" s="4">
        <f>回答入力_30名!C26</f>
        <v/>
      </c>
      <c r="D26" s="4">
        <f>SUMPRODUCT(--(回答入力_30名!D26:BC26=正解キー!$B$2:$B$51)*XLOOKUP(設定!$B$11:$B$60,設定!$A$5:$A$7,設定!$B$5:$B$7)*XLOOKUP(設定!$C$11:$C$60,設定!$D$5:$D$7,設定!$E$5:$E$7))</f>
        <v/>
      </c>
      <c r="E26" s="4">
        <f>SUMPRODUCT(XLOOKUP(設定!$B$11:$B$60,設定!$A$5:$A$7,設定!$B$5:$B$7)*XLOOKUP(設定!$C$11:$C$60,設定!$D$5:$D$7,設定!$E$5:$E$7))</f>
        <v/>
      </c>
      <c r="F26" s="7">
        <f>IF(E26=0,"",D26/E26*100)</f>
        <v/>
      </c>
      <c r="G26" s="7">
        <f>IF(SUMPRODUCT(--(設定!$B$11:$B$60="OS（Linux/Windows）")*XLOOKUP(設定!$B$11:$B$60,設定!$A$5:$A$7,設定!$B$5:$B$7)*XLOOKUP(設定!$C$11:$C$60,設定!$D$5:$D$7,設定!$E$5:$E$7))=0,"",SUMPRODUCT(--(設定!$B$11:$B$60="OS（Linux/Windows）")*--(回答入力_30名!D26:BC26=正解キー!$B$2:$B$51)*XLOOKUP(設定!$B$11:$B$60,設定!$A$5:$A$7,設定!$B$5:$B$7)*XLOOKUP(設定!$C$11:$C$60,設定!$D$5:$D$7,設定!$E$5:$E$7))/SUMPRODUCT(--(設定!$B$11:$B$60="OS（Linux/Windows）")*XLOOKUP(設定!$B$11:$B$60,設定!$A$5:$A$7,設定!$B$5:$B$7)*XLOOKUP(設定!$C$11:$C$60,設定!$D$5:$D$7,設定!$E$5:$E$7))*100)</f>
        <v/>
      </c>
      <c r="H26" s="7">
        <f>IF(SUMPRODUCT(--(設定!$B$11:$B$60="AWS")*XLOOKUP(設定!$B$11:$B$60,設定!$A$5:$A$7,設定!$B$5:$B$7)*XLOOKUP(設定!$C$11:$C$60,設定!$D$5:$D$7,設定!$E$5:$E$7))=0,"",SUMPRODUCT(--(設定!$B$11:$B$60="AWS")*--(回答入力_30名!D26:BC26=正解キー!$B$2:$B$51)*XLOOKUP(設定!$B$11:$B$60,設定!$A$5:$A$7,設定!$B$5:$B$7)*XLOOKUP(設定!$C$11:$C$60,設定!$D$5:$D$7,設定!$E$5:$E$7))/SUMPRODUCT(--(設定!$B$11:$B$60="AWS")*XLOOKUP(設定!$B$11:$B$60,設定!$A$5:$A$7,設定!$B$5:$B$7)*XLOOKUP(設定!$C$11:$C$60,設定!$D$5:$D$7,設定!$E$5:$E$7))*100)</f>
        <v/>
      </c>
      <c r="I26" s="7">
        <f>IF(SUMPRODUCT(--(設定!$B$11:$B$60="NW/Security")*XLOOKUP(設定!$B$11:$B$60,設定!$A$5:$A$7,設定!$B$5:$B$7)*XLOOKUP(設定!$C$11:$C$60,設定!$D$5:$D$7,設定!$E$5:$E$7))=0,"",SUMPRODUCT(--(設定!$B$11:$B$60="NW/Security")*--(回答入力_30名!D26:BC26=正解キー!$B$2:$B$51)*XLOOKUP(設定!$B$11:$B$60,設定!$A$5:$A$7,設定!$B$5:$B$7)*XLOOKUP(設定!$C$11:$C$60,設定!$D$5:$D$7,設定!$E$5:$E$7))/SUMPRODUCT(--(設定!$B$11:$B$60="NW/Security")*XLOOKUP(設定!$B$11:$B$60,設定!$A$5:$A$7,設定!$B$5:$B$7)*XLOOKUP(設定!$C$11:$C$60,設定!$D$5:$D$7,設定!$E$5:$E$7))*100)</f>
        <v/>
      </c>
      <c r="J26" s="4">
        <f>IF(F26="","",IF(F26&gt;=85,"即戦力",IF(F26&gt;=70,"主担当",IF(F26&gt;=55,"サポート","育成"))))</f>
        <v/>
      </c>
    </row>
    <row r="27">
      <c r="A27" s="4">
        <f>回答入力_30名!A27</f>
        <v/>
      </c>
      <c r="B27" s="5">
        <f>回答入力_30名!B27</f>
        <v/>
      </c>
      <c r="C27" s="4">
        <f>回答入力_30名!C27</f>
        <v/>
      </c>
      <c r="D27" s="4">
        <f>SUMPRODUCT(--(回答入力_30名!D27:BC27=正解キー!$B$2:$B$51)*XLOOKUP(設定!$B$11:$B$60,設定!$A$5:$A$7,設定!$B$5:$B$7)*XLOOKUP(設定!$C$11:$C$60,設定!$D$5:$D$7,設定!$E$5:$E$7))</f>
        <v/>
      </c>
      <c r="E27" s="4">
        <f>SUMPRODUCT(XLOOKUP(設定!$B$11:$B$60,設定!$A$5:$A$7,設定!$B$5:$B$7)*XLOOKUP(設定!$C$11:$C$60,設定!$D$5:$D$7,設定!$E$5:$E$7))</f>
        <v/>
      </c>
      <c r="F27" s="7">
        <f>IF(E27=0,"",D27/E27*100)</f>
        <v/>
      </c>
      <c r="G27" s="7">
        <f>IF(SUMPRODUCT(--(設定!$B$11:$B$60="OS（Linux/Windows）")*XLOOKUP(設定!$B$11:$B$60,設定!$A$5:$A$7,設定!$B$5:$B$7)*XLOOKUP(設定!$C$11:$C$60,設定!$D$5:$D$7,設定!$E$5:$E$7))=0,"",SUMPRODUCT(--(設定!$B$11:$B$60="OS（Linux/Windows）")*--(回答入力_30名!D27:BC27=正解キー!$B$2:$B$51)*XLOOKUP(設定!$B$11:$B$60,設定!$A$5:$A$7,設定!$B$5:$B$7)*XLOOKUP(設定!$C$11:$C$60,設定!$D$5:$D$7,設定!$E$5:$E$7))/SUMPRODUCT(--(設定!$B$11:$B$60="OS（Linux/Windows）")*XLOOKUP(設定!$B$11:$B$60,設定!$A$5:$A$7,設定!$B$5:$B$7)*XLOOKUP(設定!$C$11:$C$60,設定!$D$5:$D$7,設定!$E$5:$E$7))*100)</f>
        <v/>
      </c>
      <c r="H27" s="7">
        <f>IF(SUMPRODUCT(--(設定!$B$11:$B$60="AWS")*XLOOKUP(設定!$B$11:$B$60,設定!$A$5:$A$7,設定!$B$5:$B$7)*XLOOKUP(設定!$C$11:$C$60,設定!$D$5:$D$7,設定!$E$5:$E$7))=0,"",SUMPRODUCT(--(設定!$B$11:$B$60="AWS")*--(回答入力_30名!D27:BC27=正解キー!$B$2:$B$51)*XLOOKUP(設定!$B$11:$B$60,設定!$A$5:$A$7,設定!$B$5:$B$7)*XLOOKUP(設定!$C$11:$C$60,設定!$D$5:$D$7,設定!$E$5:$E$7))/SUMPRODUCT(--(設定!$B$11:$B$60="AWS")*XLOOKUP(設定!$B$11:$B$60,設定!$A$5:$A$7,設定!$B$5:$B$7)*XLOOKUP(設定!$C$11:$C$60,設定!$D$5:$D$7,設定!$E$5:$E$7))*100)</f>
        <v/>
      </c>
      <c r="I27" s="7">
        <f>IF(SUMPRODUCT(--(設定!$B$11:$B$60="NW/Security")*XLOOKUP(設定!$B$11:$B$60,設定!$A$5:$A$7,設定!$B$5:$B$7)*XLOOKUP(設定!$C$11:$C$60,設定!$D$5:$D$7,設定!$E$5:$E$7))=0,"",SUMPRODUCT(--(設定!$B$11:$B$60="NW/Security")*--(回答入力_30名!D27:BC27=正解キー!$B$2:$B$51)*XLOOKUP(設定!$B$11:$B$60,設定!$A$5:$A$7,設定!$B$5:$B$7)*XLOOKUP(設定!$C$11:$C$60,設定!$D$5:$D$7,設定!$E$5:$E$7))/SUMPRODUCT(--(設定!$B$11:$B$60="NW/Security")*XLOOKUP(設定!$B$11:$B$60,設定!$A$5:$A$7,設定!$B$5:$B$7)*XLOOKUP(設定!$C$11:$C$60,設定!$D$5:$D$7,設定!$E$5:$E$7))*100)</f>
        <v/>
      </c>
      <c r="J27" s="4">
        <f>IF(F27="","",IF(F27&gt;=85,"即戦力",IF(F27&gt;=70,"主担当",IF(F27&gt;=55,"サポート","育成"))))</f>
        <v/>
      </c>
    </row>
    <row r="28">
      <c r="A28" s="4">
        <f>回答入力_30名!A28</f>
        <v/>
      </c>
      <c r="B28" s="5">
        <f>回答入力_30名!B28</f>
        <v/>
      </c>
      <c r="C28" s="4">
        <f>回答入力_30名!C28</f>
        <v/>
      </c>
      <c r="D28" s="4">
        <f>SUMPRODUCT(--(回答入力_30名!D28:BC28=正解キー!$B$2:$B$51)*XLOOKUP(設定!$B$11:$B$60,設定!$A$5:$A$7,設定!$B$5:$B$7)*XLOOKUP(設定!$C$11:$C$60,設定!$D$5:$D$7,設定!$E$5:$E$7))</f>
        <v/>
      </c>
      <c r="E28" s="4">
        <f>SUMPRODUCT(XLOOKUP(設定!$B$11:$B$60,設定!$A$5:$A$7,設定!$B$5:$B$7)*XLOOKUP(設定!$C$11:$C$60,設定!$D$5:$D$7,設定!$E$5:$E$7))</f>
        <v/>
      </c>
      <c r="F28" s="7">
        <f>IF(E28=0,"",D28/E28*100)</f>
        <v/>
      </c>
      <c r="G28" s="7">
        <f>IF(SUMPRODUCT(--(設定!$B$11:$B$60="OS（Linux/Windows）")*XLOOKUP(設定!$B$11:$B$60,設定!$A$5:$A$7,設定!$B$5:$B$7)*XLOOKUP(設定!$C$11:$C$60,設定!$D$5:$D$7,設定!$E$5:$E$7))=0,"",SUMPRODUCT(--(設定!$B$11:$B$60="OS（Linux/Windows）")*--(回答入力_30名!D28:BC28=正解キー!$B$2:$B$51)*XLOOKUP(設定!$B$11:$B$60,設定!$A$5:$A$7,設定!$B$5:$B$7)*XLOOKUP(設定!$C$11:$C$60,設定!$D$5:$D$7,設定!$E$5:$E$7))/SUMPRODUCT(--(設定!$B$11:$B$60="OS（Linux/Windows）")*XLOOKUP(設定!$B$11:$B$60,設定!$A$5:$A$7,設定!$B$5:$B$7)*XLOOKUP(設定!$C$11:$C$60,設定!$D$5:$D$7,設定!$E$5:$E$7))*100)</f>
        <v/>
      </c>
      <c r="H28" s="7">
        <f>IF(SUMPRODUCT(--(設定!$B$11:$B$60="AWS")*XLOOKUP(設定!$B$11:$B$60,設定!$A$5:$A$7,設定!$B$5:$B$7)*XLOOKUP(設定!$C$11:$C$60,設定!$D$5:$D$7,設定!$E$5:$E$7))=0,"",SUMPRODUCT(--(設定!$B$11:$B$60="AWS")*--(回答入力_30名!D28:BC28=正解キー!$B$2:$B$51)*XLOOKUP(設定!$B$11:$B$60,設定!$A$5:$A$7,設定!$B$5:$B$7)*XLOOKUP(設定!$C$11:$C$60,設定!$D$5:$D$7,設定!$E$5:$E$7))/SUMPRODUCT(--(設定!$B$11:$B$60="AWS")*XLOOKUP(設定!$B$11:$B$60,設定!$A$5:$A$7,設定!$B$5:$B$7)*XLOOKUP(設定!$C$11:$C$60,設定!$D$5:$D$7,設定!$E$5:$E$7))*100)</f>
        <v/>
      </c>
      <c r="I28" s="7">
        <f>IF(SUMPRODUCT(--(設定!$B$11:$B$60="NW/Security")*XLOOKUP(設定!$B$11:$B$60,設定!$A$5:$A$7,設定!$B$5:$B$7)*XLOOKUP(設定!$C$11:$C$60,設定!$D$5:$D$7,設定!$E$5:$E$7))=0,"",SUMPRODUCT(--(設定!$B$11:$B$60="NW/Security")*--(回答入力_30名!D28:BC28=正解キー!$B$2:$B$51)*XLOOKUP(設定!$B$11:$B$60,設定!$A$5:$A$7,設定!$B$5:$B$7)*XLOOKUP(設定!$C$11:$C$60,設定!$D$5:$D$7,設定!$E$5:$E$7))/SUMPRODUCT(--(設定!$B$11:$B$60="NW/Security")*XLOOKUP(設定!$B$11:$B$60,設定!$A$5:$A$7,設定!$B$5:$B$7)*XLOOKUP(設定!$C$11:$C$60,設定!$D$5:$D$7,設定!$E$5:$E$7))*100)</f>
        <v/>
      </c>
      <c r="J28" s="4">
        <f>IF(F28="","",IF(F28&gt;=85,"即戦力",IF(F28&gt;=70,"主担当",IF(F28&gt;=55,"サポート","育成"))))</f>
        <v/>
      </c>
    </row>
    <row r="29">
      <c r="A29" s="4">
        <f>回答入力_30名!A29</f>
        <v/>
      </c>
      <c r="B29" s="5">
        <f>回答入力_30名!B29</f>
        <v/>
      </c>
      <c r="C29" s="4">
        <f>回答入力_30名!C29</f>
        <v/>
      </c>
      <c r="D29" s="4">
        <f>SUMPRODUCT(--(回答入力_30名!D29:BC29=正解キー!$B$2:$B$51)*XLOOKUP(設定!$B$11:$B$60,設定!$A$5:$A$7,設定!$B$5:$B$7)*XLOOKUP(設定!$C$11:$C$60,設定!$D$5:$D$7,設定!$E$5:$E$7))</f>
        <v/>
      </c>
      <c r="E29" s="4">
        <f>SUMPRODUCT(XLOOKUP(設定!$B$11:$B$60,設定!$A$5:$A$7,設定!$B$5:$B$7)*XLOOKUP(設定!$C$11:$C$60,設定!$D$5:$D$7,設定!$E$5:$E$7))</f>
        <v/>
      </c>
      <c r="F29" s="7">
        <f>IF(E29=0,"",D29/E29*100)</f>
        <v/>
      </c>
      <c r="G29" s="7">
        <f>IF(SUMPRODUCT(--(設定!$B$11:$B$60="OS（Linux/Windows）")*XLOOKUP(設定!$B$11:$B$60,設定!$A$5:$A$7,設定!$B$5:$B$7)*XLOOKUP(設定!$C$11:$C$60,設定!$D$5:$D$7,設定!$E$5:$E$7))=0,"",SUMPRODUCT(--(設定!$B$11:$B$60="OS（Linux/Windows）")*--(回答入力_30名!D29:BC29=正解キー!$B$2:$B$51)*XLOOKUP(設定!$B$11:$B$60,設定!$A$5:$A$7,設定!$B$5:$B$7)*XLOOKUP(設定!$C$11:$C$60,設定!$D$5:$D$7,設定!$E$5:$E$7))/SUMPRODUCT(--(設定!$B$11:$B$60="OS（Linux/Windows）")*XLOOKUP(設定!$B$11:$B$60,設定!$A$5:$A$7,設定!$B$5:$B$7)*XLOOKUP(設定!$C$11:$C$60,設定!$D$5:$D$7,設定!$E$5:$E$7))*100)</f>
        <v/>
      </c>
      <c r="H29" s="7">
        <f>IF(SUMPRODUCT(--(設定!$B$11:$B$60="AWS")*XLOOKUP(設定!$B$11:$B$60,設定!$A$5:$A$7,設定!$B$5:$B$7)*XLOOKUP(設定!$C$11:$C$60,設定!$D$5:$D$7,設定!$E$5:$E$7))=0,"",SUMPRODUCT(--(設定!$B$11:$B$60="AWS")*--(回答入力_30名!D29:BC29=正解キー!$B$2:$B$51)*XLOOKUP(設定!$B$11:$B$60,設定!$A$5:$A$7,設定!$B$5:$B$7)*XLOOKUP(設定!$C$11:$C$60,設定!$D$5:$D$7,設定!$E$5:$E$7))/SUMPRODUCT(--(設定!$B$11:$B$60="AWS")*XLOOKUP(設定!$B$11:$B$60,設定!$A$5:$A$7,設定!$B$5:$B$7)*XLOOKUP(設定!$C$11:$C$60,設定!$D$5:$D$7,設定!$E$5:$E$7))*100)</f>
        <v/>
      </c>
      <c r="I29" s="7">
        <f>IF(SUMPRODUCT(--(設定!$B$11:$B$60="NW/Security")*XLOOKUP(設定!$B$11:$B$60,設定!$A$5:$A$7,設定!$B$5:$B$7)*XLOOKUP(設定!$C$11:$C$60,設定!$D$5:$D$7,設定!$E$5:$E$7))=0,"",SUMPRODUCT(--(設定!$B$11:$B$60="NW/Security")*--(回答入力_30名!D29:BC29=正解キー!$B$2:$B$51)*XLOOKUP(設定!$B$11:$B$60,設定!$A$5:$A$7,設定!$B$5:$B$7)*XLOOKUP(設定!$C$11:$C$60,設定!$D$5:$D$7,設定!$E$5:$E$7))/SUMPRODUCT(--(設定!$B$11:$B$60="NW/Security")*XLOOKUP(設定!$B$11:$B$60,設定!$A$5:$A$7,設定!$B$5:$B$7)*XLOOKUP(設定!$C$11:$C$60,設定!$D$5:$D$7,設定!$E$5:$E$7))*100)</f>
        <v/>
      </c>
      <c r="J29" s="4">
        <f>IF(F29="","",IF(F29&gt;=85,"即戦力",IF(F29&gt;=70,"主担当",IF(F29&gt;=55,"サポート","育成"))))</f>
        <v/>
      </c>
    </row>
    <row r="30">
      <c r="A30" s="4">
        <f>回答入力_30名!A30</f>
        <v/>
      </c>
      <c r="B30" s="5">
        <f>回答入力_30名!B30</f>
        <v/>
      </c>
      <c r="C30" s="4">
        <f>回答入力_30名!C30</f>
        <v/>
      </c>
      <c r="D30" s="4">
        <f>SUMPRODUCT(--(回答入力_30名!D30:BC30=正解キー!$B$2:$B$51)*XLOOKUP(設定!$B$11:$B$60,設定!$A$5:$A$7,設定!$B$5:$B$7)*XLOOKUP(設定!$C$11:$C$60,設定!$D$5:$D$7,設定!$E$5:$E$7))</f>
        <v/>
      </c>
      <c r="E30" s="4">
        <f>SUMPRODUCT(XLOOKUP(設定!$B$11:$B$60,設定!$A$5:$A$7,設定!$B$5:$B$7)*XLOOKUP(設定!$C$11:$C$60,設定!$D$5:$D$7,設定!$E$5:$E$7))</f>
        <v/>
      </c>
      <c r="F30" s="7">
        <f>IF(E30=0,"",D30/E30*100)</f>
        <v/>
      </c>
      <c r="G30" s="7">
        <f>IF(SUMPRODUCT(--(設定!$B$11:$B$60="OS（Linux/Windows）")*XLOOKUP(設定!$B$11:$B$60,設定!$A$5:$A$7,設定!$B$5:$B$7)*XLOOKUP(設定!$C$11:$C$60,設定!$D$5:$D$7,設定!$E$5:$E$7))=0,"",SUMPRODUCT(--(設定!$B$11:$B$60="OS（Linux/Windows）")*--(回答入力_30名!D30:BC30=正解キー!$B$2:$B$51)*XLOOKUP(設定!$B$11:$B$60,設定!$A$5:$A$7,設定!$B$5:$B$7)*XLOOKUP(設定!$C$11:$C$60,設定!$D$5:$D$7,設定!$E$5:$E$7))/SUMPRODUCT(--(設定!$B$11:$B$60="OS（Linux/Windows）")*XLOOKUP(設定!$B$11:$B$60,設定!$A$5:$A$7,設定!$B$5:$B$7)*XLOOKUP(設定!$C$11:$C$60,設定!$D$5:$D$7,設定!$E$5:$E$7))*100)</f>
        <v/>
      </c>
      <c r="H30" s="7">
        <f>IF(SUMPRODUCT(--(設定!$B$11:$B$60="AWS")*XLOOKUP(設定!$B$11:$B$60,設定!$A$5:$A$7,設定!$B$5:$B$7)*XLOOKUP(設定!$C$11:$C$60,設定!$D$5:$D$7,設定!$E$5:$E$7))=0,"",SUMPRODUCT(--(設定!$B$11:$B$60="AWS")*--(回答入力_30名!D30:BC30=正解キー!$B$2:$B$51)*XLOOKUP(設定!$B$11:$B$60,設定!$A$5:$A$7,設定!$B$5:$B$7)*XLOOKUP(設定!$C$11:$C$60,設定!$D$5:$D$7,設定!$E$5:$E$7))/SUMPRODUCT(--(設定!$B$11:$B$60="AWS")*XLOOKUP(設定!$B$11:$B$60,設定!$A$5:$A$7,設定!$B$5:$B$7)*XLOOKUP(設定!$C$11:$C$60,設定!$D$5:$D$7,設定!$E$5:$E$7))*100)</f>
        <v/>
      </c>
      <c r="I30" s="7">
        <f>IF(SUMPRODUCT(--(設定!$B$11:$B$60="NW/Security")*XLOOKUP(設定!$B$11:$B$60,設定!$A$5:$A$7,設定!$B$5:$B$7)*XLOOKUP(設定!$C$11:$C$60,設定!$D$5:$D$7,設定!$E$5:$E$7))=0,"",SUMPRODUCT(--(設定!$B$11:$B$60="NW/Security")*--(回答入力_30名!D30:BC30=正解キー!$B$2:$B$51)*XLOOKUP(設定!$B$11:$B$60,設定!$A$5:$A$7,設定!$B$5:$B$7)*XLOOKUP(設定!$C$11:$C$60,設定!$D$5:$D$7,設定!$E$5:$E$7))/SUMPRODUCT(--(設定!$B$11:$B$60="NW/Security")*XLOOKUP(設定!$B$11:$B$60,設定!$A$5:$A$7,設定!$B$5:$B$7)*XLOOKUP(設定!$C$11:$C$60,設定!$D$5:$D$7,設定!$E$5:$E$7))*100)</f>
        <v/>
      </c>
      <c r="J30" s="4">
        <f>IF(F30="","",IF(F30&gt;=85,"即戦力",IF(F30&gt;=70,"主担当",IF(F30&gt;=55,"サポート","育成"))))</f>
        <v/>
      </c>
    </row>
    <row r="31">
      <c r="A31" s="4">
        <f>回答入力_30名!A31</f>
        <v/>
      </c>
      <c r="B31" s="5">
        <f>回答入力_30名!B31</f>
        <v/>
      </c>
      <c r="C31" s="4">
        <f>回答入力_30名!C31</f>
        <v/>
      </c>
      <c r="D31" s="4">
        <f>SUMPRODUCT(--(回答入力_30名!D31:BC31=正解キー!$B$2:$B$51)*XLOOKUP(設定!$B$11:$B$60,設定!$A$5:$A$7,設定!$B$5:$B$7)*XLOOKUP(設定!$C$11:$C$60,設定!$D$5:$D$7,設定!$E$5:$E$7))</f>
        <v/>
      </c>
      <c r="E31" s="4">
        <f>SUMPRODUCT(XLOOKUP(設定!$B$11:$B$60,設定!$A$5:$A$7,設定!$B$5:$B$7)*XLOOKUP(設定!$C$11:$C$60,設定!$D$5:$D$7,設定!$E$5:$E$7))</f>
        <v/>
      </c>
      <c r="F31" s="7">
        <f>IF(E31=0,"",D31/E31*100)</f>
        <v/>
      </c>
      <c r="G31" s="7">
        <f>IF(SUMPRODUCT(--(設定!$B$11:$B$60="OS（Linux/Windows）")*XLOOKUP(設定!$B$11:$B$60,設定!$A$5:$A$7,設定!$B$5:$B$7)*XLOOKUP(設定!$C$11:$C$60,設定!$D$5:$D$7,設定!$E$5:$E$7))=0,"",SUMPRODUCT(--(設定!$B$11:$B$60="OS（Linux/Windows）")*--(回答入力_30名!D31:BC31=正解キー!$B$2:$B$51)*XLOOKUP(設定!$B$11:$B$60,設定!$A$5:$A$7,設定!$B$5:$B$7)*XLOOKUP(設定!$C$11:$C$60,設定!$D$5:$D$7,設定!$E$5:$E$7))/SUMPRODUCT(--(設定!$B$11:$B$60="OS（Linux/Windows）")*XLOOKUP(設定!$B$11:$B$60,設定!$A$5:$A$7,設定!$B$5:$B$7)*XLOOKUP(設定!$C$11:$C$60,設定!$D$5:$D$7,設定!$E$5:$E$7))*100)</f>
        <v/>
      </c>
      <c r="H31" s="7">
        <f>IF(SUMPRODUCT(--(設定!$B$11:$B$60="AWS")*XLOOKUP(設定!$B$11:$B$60,設定!$A$5:$A$7,設定!$B$5:$B$7)*XLOOKUP(設定!$C$11:$C$60,設定!$D$5:$D$7,設定!$E$5:$E$7))=0,"",SUMPRODUCT(--(設定!$B$11:$B$60="AWS")*--(回答入力_30名!D31:BC31=正解キー!$B$2:$B$51)*XLOOKUP(設定!$B$11:$B$60,設定!$A$5:$A$7,設定!$B$5:$B$7)*XLOOKUP(設定!$C$11:$C$60,設定!$D$5:$D$7,設定!$E$5:$E$7))/SUMPRODUCT(--(設定!$B$11:$B$60="AWS")*XLOOKUP(設定!$B$11:$B$60,設定!$A$5:$A$7,設定!$B$5:$B$7)*XLOOKUP(設定!$C$11:$C$60,設定!$D$5:$D$7,設定!$E$5:$E$7))*100)</f>
        <v/>
      </c>
      <c r="I31" s="7">
        <f>IF(SUMPRODUCT(--(設定!$B$11:$B$60="NW/Security")*XLOOKUP(設定!$B$11:$B$60,設定!$A$5:$A$7,設定!$B$5:$B$7)*XLOOKUP(設定!$C$11:$C$60,設定!$D$5:$D$7,設定!$E$5:$E$7))=0,"",SUMPRODUCT(--(設定!$B$11:$B$60="NW/Security")*--(回答入力_30名!D31:BC31=正解キー!$B$2:$B$51)*XLOOKUP(設定!$B$11:$B$60,設定!$A$5:$A$7,設定!$B$5:$B$7)*XLOOKUP(設定!$C$11:$C$60,設定!$D$5:$D$7,設定!$E$5:$E$7))/SUMPRODUCT(--(設定!$B$11:$B$60="NW/Security")*XLOOKUP(設定!$B$11:$B$60,設定!$A$5:$A$7,設定!$B$5:$B$7)*XLOOKUP(設定!$C$11:$C$60,設定!$D$5:$D$7,設定!$E$5:$E$7))*100)</f>
        <v/>
      </c>
      <c r="J31" s="4">
        <f>IF(F31="","",IF(F31&gt;=85,"即戦力",IF(F31&gt;=70,"主担当",IF(F31&gt;=55,"サポート","育成"))))</f>
        <v/>
      </c>
    </row>
    <row r="32">
      <c r="A32" s="4">
        <f>回答入力_30名!A32</f>
        <v/>
      </c>
      <c r="B32" s="5">
        <f>回答入力_30名!B32</f>
        <v/>
      </c>
      <c r="C32" s="4">
        <f>回答入力_30名!C32</f>
        <v/>
      </c>
      <c r="D32" s="4">
        <f>SUMPRODUCT(--(回答入力_30名!D32:BC32=正解キー!$B$2:$B$51)*XLOOKUP(設定!$B$11:$B$60,設定!$A$5:$A$7,設定!$B$5:$B$7)*XLOOKUP(設定!$C$11:$C$60,設定!$D$5:$D$7,設定!$E$5:$E$7))</f>
        <v/>
      </c>
      <c r="E32" s="4">
        <f>SUMPRODUCT(XLOOKUP(設定!$B$11:$B$60,設定!$A$5:$A$7,設定!$B$5:$B$7)*XLOOKUP(設定!$C$11:$C$60,設定!$D$5:$D$7,設定!$E$5:$E$7))</f>
        <v/>
      </c>
      <c r="F32" s="7">
        <f>IF(E32=0,"",D32/E32*100)</f>
        <v/>
      </c>
      <c r="G32" s="7">
        <f>IF(SUMPRODUCT(--(設定!$B$11:$B$60="OS（Linux/Windows）")*XLOOKUP(設定!$B$11:$B$60,設定!$A$5:$A$7,設定!$B$5:$B$7)*XLOOKUP(設定!$C$11:$C$60,設定!$D$5:$D$7,設定!$E$5:$E$7))=0,"",SUMPRODUCT(--(設定!$B$11:$B$60="OS（Linux/Windows）")*--(回答入力_30名!D32:BC32=正解キー!$B$2:$B$51)*XLOOKUP(設定!$B$11:$B$60,設定!$A$5:$A$7,設定!$B$5:$B$7)*XLOOKUP(設定!$C$11:$C$60,設定!$D$5:$D$7,設定!$E$5:$E$7))/SUMPRODUCT(--(設定!$B$11:$B$60="OS（Linux/Windows）")*XLOOKUP(設定!$B$11:$B$60,設定!$A$5:$A$7,設定!$B$5:$B$7)*XLOOKUP(設定!$C$11:$C$60,設定!$D$5:$D$7,設定!$E$5:$E$7))*100)</f>
        <v/>
      </c>
      <c r="H32" s="7">
        <f>IF(SUMPRODUCT(--(設定!$B$11:$B$60="AWS")*XLOOKUP(設定!$B$11:$B$60,設定!$A$5:$A$7,設定!$B$5:$B$7)*XLOOKUP(設定!$C$11:$C$60,設定!$D$5:$D$7,設定!$E$5:$E$7))=0,"",SUMPRODUCT(--(設定!$B$11:$B$60="AWS")*--(回答入力_30名!D32:BC32=正解キー!$B$2:$B$51)*XLOOKUP(設定!$B$11:$B$60,設定!$A$5:$A$7,設定!$B$5:$B$7)*XLOOKUP(設定!$C$11:$C$60,設定!$D$5:$D$7,設定!$E$5:$E$7))/SUMPRODUCT(--(設定!$B$11:$B$60="AWS")*XLOOKUP(設定!$B$11:$B$60,設定!$A$5:$A$7,設定!$B$5:$B$7)*XLOOKUP(設定!$C$11:$C$60,設定!$D$5:$D$7,設定!$E$5:$E$7))*100)</f>
        <v/>
      </c>
      <c r="I32" s="7">
        <f>IF(SUMPRODUCT(--(設定!$B$11:$B$60="NW/Security")*XLOOKUP(設定!$B$11:$B$60,設定!$A$5:$A$7,設定!$B$5:$B$7)*XLOOKUP(設定!$C$11:$C$60,設定!$D$5:$D$7,設定!$E$5:$E$7))=0,"",SUMPRODUCT(--(設定!$B$11:$B$60="NW/Security")*--(回答入力_30名!D32:BC32=正解キー!$B$2:$B$51)*XLOOKUP(設定!$B$11:$B$60,設定!$A$5:$A$7,設定!$B$5:$B$7)*XLOOKUP(設定!$C$11:$C$60,設定!$D$5:$D$7,設定!$E$5:$E$7))/SUMPRODUCT(--(設定!$B$11:$B$60="NW/Security")*XLOOKUP(設定!$B$11:$B$60,設定!$A$5:$A$7,設定!$B$5:$B$7)*XLOOKUP(設定!$C$11:$C$60,設定!$D$5:$D$7,設定!$E$5:$E$7))*100)</f>
        <v/>
      </c>
      <c r="J32" s="4">
        <f>IF(F32="","",IF(F32&gt;=85,"即戦力",IF(F32&gt;=70,"主担当",IF(F32&gt;=55,"サポート","育成"))))</f>
        <v/>
      </c>
    </row>
    <row r="33">
      <c r="A33" s="4">
        <f>回答入力_30名!A33</f>
        <v/>
      </c>
      <c r="B33" s="5">
        <f>回答入力_30名!B33</f>
        <v/>
      </c>
      <c r="C33" s="4">
        <f>回答入力_30名!C33</f>
        <v/>
      </c>
      <c r="D33" s="4">
        <f>SUMPRODUCT(--(回答入力_30名!D33:BC33=正解キー!$B$2:$B$51)*XLOOKUP(設定!$B$11:$B$60,設定!$A$5:$A$7,設定!$B$5:$B$7)*XLOOKUP(設定!$C$11:$C$60,設定!$D$5:$D$7,設定!$E$5:$E$7))</f>
        <v/>
      </c>
      <c r="E33" s="4">
        <f>SUMPRODUCT(XLOOKUP(設定!$B$11:$B$60,設定!$A$5:$A$7,設定!$B$5:$B$7)*XLOOKUP(設定!$C$11:$C$60,設定!$D$5:$D$7,設定!$E$5:$E$7))</f>
        <v/>
      </c>
      <c r="F33" s="7">
        <f>IF(E33=0,"",D33/E33*100)</f>
        <v/>
      </c>
      <c r="G33" s="7">
        <f>IF(SUMPRODUCT(--(設定!$B$11:$B$60="OS（Linux/Windows）")*XLOOKUP(設定!$B$11:$B$60,設定!$A$5:$A$7,設定!$B$5:$B$7)*XLOOKUP(設定!$C$11:$C$60,設定!$D$5:$D$7,設定!$E$5:$E$7))=0,"",SUMPRODUCT(--(設定!$B$11:$B$60="OS（Linux/Windows）")*--(回答入力_30名!D33:BC33=正解キー!$B$2:$B$51)*XLOOKUP(設定!$B$11:$B$60,設定!$A$5:$A$7,設定!$B$5:$B$7)*XLOOKUP(設定!$C$11:$C$60,設定!$D$5:$D$7,設定!$E$5:$E$7))/SUMPRODUCT(--(設定!$B$11:$B$60="OS（Linux/Windows）")*XLOOKUP(設定!$B$11:$B$60,設定!$A$5:$A$7,設定!$B$5:$B$7)*XLOOKUP(設定!$C$11:$C$60,設定!$D$5:$D$7,設定!$E$5:$E$7))*100)</f>
        <v/>
      </c>
      <c r="H33" s="7">
        <f>IF(SUMPRODUCT(--(設定!$B$11:$B$60="AWS")*XLOOKUP(設定!$B$11:$B$60,設定!$A$5:$A$7,設定!$B$5:$B$7)*XLOOKUP(設定!$C$11:$C$60,設定!$D$5:$D$7,設定!$E$5:$E$7))=0,"",SUMPRODUCT(--(設定!$B$11:$B$60="AWS")*--(回答入力_30名!D33:BC33=正解キー!$B$2:$B$51)*XLOOKUP(設定!$B$11:$B$60,設定!$A$5:$A$7,設定!$B$5:$B$7)*XLOOKUP(設定!$C$11:$C$60,設定!$D$5:$D$7,設定!$E$5:$E$7))/SUMPRODUCT(--(設定!$B$11:$B$60="AWS")*XLOOKUP(設定!$B$11:$B$60,設定!$A$5:$A$7,設定!$B$5:$B$7)*XLOOKUP(設定!$C$11:$C$60,設定!$D$5:$D$7,設定!$E$5:$E$7))*100)</f>
        <v/>
      </c>
      <c r="I33" s="7">
        <f>IF(SUMPRODUCT(--(設定!$B$11:$B$60="NW/Security")*XLOOKUP(設定!$B$11:$B$60,設定!$A$5:$A$7,設定!$B$5:$B$7)*XLOOKUP(設定!$C$11:$C$60,設定!$D$5:$D$7,設定!$E$5:$E$7))=0,"",SUMPRODUCT(--(設定!$B$11:$B$60="NW/Security")*--(回答入力_30名!D33:BC33=正解キー!$B$2:$B$51)*XLOOKUP(設定!$B$11:$B$60,設定!$A$5:$A$7,設定!$B$5:$B$7)*XLOOKUP(設定!$C$11:$C$60,設定!$D$5:$D$7,設定!$E$5:$E$7))/SUMPRODUCT(--(設定!$B$11:$B$60="NW/Security")*XLOOKUP(設定!$B$11:$B$60,設定!$A$5:$A$7,設定!$B$5:$B$7)*XLOOKUP(設定!$C$11:$C$60,設定!$D$5:$D$7,設定!$E$5:$E$7))*100)</f>
        <v/>
      </c>
      <c r="J33" s="4">
        <f>IF(F33="","",IF(F33&gt;=85,"即戦力",IF(F33&gt;=70,"主担当",IF(F33&gt;=55,"サポート","育成"))))</f>
        <v/>
      </c>
    </row>
    <row r="34">
      <c r="A34" s="4">
        <f>回答入力_30名!A34</f>
        <v/>
      </c>
      <c r="B34" s="5">
        <f>回答入力_30名!B34</f>
        <v/>
      </c>
      <c r="C34" s="4">
        <f>回答入力_30名!C34</f>
        <v/>
      </c>
      <c r="D34" s="4">
        <f>SUMPRODUCT(--(回答入力_30名!D34:BC34=正解キー!$B$2:$B$51)*XLOOKUP(設定!$B$11:$B$60,設定!$A$5:$A$7,設定!$B$5:$B$7)*XLOOKUP(設定!$C$11:$C$60,設定!$D$5:$D$7,設定!$E$5:$E$7))</f>
        <v/>
      </c>
      <c r="E34" s="4">
        <f>SUMPRODUCT(XLOOKUP(設定!$B$11:$B$60,設定!$A$5:$A$7,設定!$B$5:$B$7)*XLOOKUP(設定!$C$11:$C$60,設定!$D$5:$D$7,設定!$E$5:$E$7))</f>
        <v/>
      </c>
      <c r="F34" s="7">
        <f>IF(E34=0,"",D34/E34*100)</f>
        <v/>
      </c>
      <c r="G34" s="7">
        <f>IF(SUMPRODUCT(--(設定!$B$11:$B$60="OS（Linux/Windows）")*XLOOKUP(設定!$B$11:$B$60,設定!$A$5:$A$7,設定!$B$5:$B$7)*XLOOKUP(設定!$C$11:$C$60,設定!$D$5:$D$7,設定!$E$5:$E$7))=0,"",SUMPRODUCT(--(設定!$B$11:$B$60="OS（Linux/Windows）")*--(回答入力_30名!D34:BC34=正解キー!$B$2:$B$51)*XLOOKUP(設定!$B$11:$B$60,設定!$A$5:$A$7,設定!$B$5:$B$7)*XLOOKUP(設定!$C$11:$C$60,設定!$D$5:$D$7,設定!$E$5:$E$7))/SUMPRODUCT(--(設定!$B$11:$B$60="OS（Linux/Windows）")*XLOOKUP(設定!$B$11:$B$60,設定!$A$5:$A$7,設定!$B$5:$B$7)*XLOOKUP(設定!$C$11:$C$60,設定!$D$5:$D$7,設定!$E$5:$E$7))*100)</f>
        <v/>
      </c>
      <c r="H34" s="7">
        <f>IF(SUMPRODUCT(--(設定!$B$11:$B$60="AWS")*XLOOKUP(設定!$B$11:$B$60,設定!$A$5:$A$7,設定!$B$5:$B$7)*XLOOKUP(設定!$C$11:$C$60,設定!$D$5:$D$7,設定!$E$5:$E$7))=0,"",SUMPRODUCT(--(設定!$B$11:$B$60="AWS")*--(回答入力_30名!D34:BC34=正解キー!$B$2:$B$51)*XLOOKUP(設定!$B$11:$B$60,設定!$A$5:$A$7,設定!$B$5:$B$7)*XLOOKUP(設定!$C$11:$C$60,設定!$D$5:$D$7,設定!$E$5:$E$7))/SUMPRODUCT(--(設定!$B$11:$B$60="AWS")*XLOOKUP(設定!$B$11:$B$60,設定!$A$5:$A$7,設定!$B$5:$B$7)*XLOOKUP(設定!$C$11:$C$60,設定!$D$5:$D$7,設定!$E$5:$E$7))*100)</f>
        <v/>
      </c>
      <c r="I34" s="7">
        <f>IF(SUMPRODUCT(--(設定!$B$11:$B$60="NW/Security")*XLOOKUP(設定!$B$11:$B$60,設定!$A$5:$A$7,設定!$B$5:$B$7)*XLOOKUP(設定!$C$11:$C$60,設定!$D$5:$D$7,設定!$E$5:$E$7))=0,"",SUMPRODUCT(--(設定!$B$11:$B$60="NW/Security")*--(回答入力_30名!D34:BC34=正解キー!$B$2:$B$51)*XLOOKUP(設定!$B$11:$B$60,設定!$A$5:$A$7,設定!$B$5:$B$7)*XLOOKUP(設定!$C$11:$C$60,設定!$D$5:$D$7,設定!$E$5:$E$7))/SUMPRODUCT(--(設定!$B$11:$B$60="NW/Security")*XLOOKUP(設定!$B$11:$B$60,設定!$A$5:$A$7,設定!$B$5:$B$7)*XLOOKUP(設定!$C$11:$C$60,設定!$D$5:$D$7,設定!$E$5:$E$7))*100)</f>
        <v/>
      </c>
      <c r="J34" s="4">
        <f>IF(F34="","",IF(F34&gt;=85,"即戦力",IF(F34&gt;=70,"主担当",IF(F34&gt;=55,"サポート","育成"))))</f>
        <v/>
      </c>
    </row>
  </sheetData>
  <mergeCells count="3">
    <mergeCell ref="A1:J1"/>
    <mergeCell ref="L5:Q5"/>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3"/>
  <sheetViews>
    <sheetView workbookViewId="0">
      <pane ySplit="10" topLeftCell="A11" activePane="bottomLeft" state="frozen"/>
      <selection pane="bottomLeft" activeCell="A1" sqref="A1"/>
    </sheetView>
  </sheetViews>
  <sheetFormatPr baseColWidth="8" defaultRowHeight="15"/>
  <cols>
    <col width="6" customWidth="1" min="1" max="1"/>
    <col width="20" customWidth="1" min="2" max="2"/>
    <col width="18" customWidth="1" min="3" max="3"/>
    <col width="18" customWidth="1" min="4" max="4"/>
    <col width="8" customWidth="1" min="5" max="5"/>
  </cols>
  <sheetData>
    <row r="1">
      <c r="A1" s="1" t="inlineStr">
        <is>
          <t>採点設定（複数人対応版）</t>
        </is>
      </c>
    </row>
    <row r="3">
      <c r="A3" s="6" t="inlineStr">
        <is>
          <t>カテゴリ重み</t>
        </is>
      </c>
      <c r="D3" s="6" t="inlineStr">
        <is>
          <t>タイプ重み</t>
        </is>
      </c>
    </row>
    <row r="4">
      <c r="A4" s="8" t="inlineStr">
        <is>
          <t>カテゴリ</t>
        </is>
      </c>
      <c r="B4" s="8" t="inlineStr">
        <is>
          <t>重み</t>
        </is>
      </c>
      <c r="D4" s="8" t="inlineStr">
        <is>
          <t>タイプ</t>
        </is>
      </c>
      <c r="E4" s="8" t="inlineStr">
        <is>
          <t>重み</t>
        </is>
      </c>
    </row>
    <row r="5">
      <c r="A5" s="5" t="inlineStr">
        <is>
          <t>OS（Linux/Windows）</t>
        </is>
      </c>
      <c r="B5" s="4" t="n">
        <v>1</v>
      </c>
      <c r="D5" s="5" t="inlineStr">
        <is>
          <t>Knowledge（知識）</t>
        </is>
      </c>
      <c r="E5" s="4" t="n">
        <v>1</v>
      </c>
    </row>
    <row r="6">
      <c r="A6" s="5" t="inlineStr">
        <is>
          <t>AWS</t>
        </is>
      </c>
      <c r="B6" s="4" t="n">
        <v>1.2</v>
      </c>
      <c r="D6" s="5" t="inlineStr">
        <is>
          <t>Ops（運用判断）</t>
        </is>
      </c>
      <c r="E6" s="4" t="n">
        <v>1.2</v>
      </c>
    </row>
    <row r="7">
      <c r="A7" s="5" t="inlineStr">
        <is>
          <t>NW/Security</t>
        </is>
      </c>
      <c r="B7" s="4" t="n">
        <v>1.3</v>
      </c>
      <c r="D7" s="5" t="inlineStr">
        <is>
          <t>Risk（リスク判断）</t>
        </is>
      </c>
      <c r="E7" s="4" t="n">
        <v>1.4</v>
      </c>
    </row>
    <row r="8">
      <c r="A8" s="6" t="inlineStr">
        <is>
          <t>設問ごとの分類（必要なら編集）</t>
        </is>
      </c>
    </row>
    <row r="10">
      <c r="A10" s="8" t="inlineStr">
        <is>
          <t>Q#</t>
        </is>
      </c>
      <c r="B10" s="8" t="inlineStr">
        <is>
          <t>カテゴリ</t>
        </is>
      </c>
      <c r="C10" s="8" t="inlineStr">
        <is>
          <t>タイプ</t>
        </is>
      </c>
    </row>
    <row r="11">
      <c r="A11" s="4" t="n">
        <v>1</v>
      </c>
      <c r="B11" s="5" t="inlineStr">
        <is>
          <t>OS（Linux/Windows）</t>
        </is>
      </c>
      <c r="C11" s="5" t="inlineStr">
        <is>
          <t>Ops（運用判断）</t>
        </is>
      </c>
    </row>
    <row r="12">
      <c r="A12" s="4" t="n">
        <v>2</v>
      </c>
      <c r="B12" s="5" t="inlineStr">
        <is>
          <t>OS（Linux/Windows）</t>
        </is>
      </c>
      <c r="C12" s="5" t="inlineStr">
        <is>
          <t>Ops（運用判断）</t>
        </is>
      </c>
    </row>
    <row r="13">
      <c r="A13" s="4" t="n">
        <v>3</v>
      </c>
      <c r="B13" s="5" t="inlineStr">
        <is>
          <t>OS（Linux/Windows）</t>
        </is>
      </c>
      <c r="C13" s="5" t="inlineStr">
        <is>
          <t>Ops（運用判断）</t>
        </is>
      </c>
    </row>
    <row r="14">
      <c r="A14" s="4" t="n">
        <v>4</v>
      </c>
      <c r="B14" s="5" t="inlineStr">
        <is>
          <t>OS（Linux/Windows）</t>
        </is>
      </c>
      <c r="C14" s="5" t="inlineStr">
        <is>
          <t>Ops（運用判断）</t>
        </is>
      </c>
    </row>
    <row r="15">
      <c r="A15" s="4" t="n">
        <v>5</v>
      </c>
      <c r="B15" s="5" t="inlineStr">
        <is>
          <t>OS（Linux/Windows）</t>
        </is>
      </c>
      <c r="C15" s="5" t="inlineStr">
        <is>
          <t>Ops（運用判断）</t>
        </is>
      </c>
    </row>
    <row r="16">
      <c r="A16" s="4" t="n">
        <v>6</v>
      </c>
      <c r="B16" s="5" t="inlineStr">
        <is>
          <t>OS（Linux/Windows）</t>
        </is>
      </c>
      <c r="C16" s="5" t="inlineStr">
        <is>
          <t>Ops（運用判断）</t>
        </is>
      </c>
    </row>
    <row r="17">
      <c r="A17" s="4" t="n">
        <v>7</v>
      </c>
      <c r="B17" s="5" t="inlineStr">
        <is>
          <t>OS（Linux/Windows）</t>
        </is>
      </c>
      <c r="C17" s="5" t="inlineStr">
        <is>
          <t>Ops（運用判断）</t>
        </is>
      </c>
    </row>
    <row r="18">
      <c r="A18" s="4" t="n">
        <v>8</v>
      </c>
      <c r="B18" s="5" t="inlineStr">
        <is>
          <t>OS（Linux/Windows）</t>
        </is>
      </c>
      <c r="C18" s="5" t="inlineStr">
        <is>
          <t>Ops（運用判断）</t>
        </is>
      </c>
    </row>
    <row r="19">
      <c r="A19" s="4" t="n">
        <v>9</v>
      </c>
      <c r="B19" s="5" t="inlineStr">
        <is>
          <t>OS（Linux/Windows）</t>
        </is>
      </c>
      <c r="C19" s="5" t="inlineStr">
        <is>
          <t>Ops（運用判断）</t>
        </is>
      </c>
    </row>
    <row r="20">
      <c r="A20" s="4" t="n">
        <v>10</v>
      </c>
      <c r="B20" s="5" t="inlineStr">
        <is>
          <t>OS（Linux/Windows）</t>
        </is>
      </c>
      <c r="C20" s="5" t="inlineStr">
        <is>
          <t>Ops（運用判断）</t>
        </is>
      </c>
    </row>
    <row r="21">
      <c r="A21" s="4" t="n">
        <v>11</v>
      </c>
      <c r="B21" s="5" t="inlineStr">
        <is>
          <t>OS（Linux/Windows）</t>
        </is>
      </c>
      <c r="C21" s="5" t="inlineStr">
        <is>
          <t>Knowledge（知識）</t>
        </is>
      </c>
    </row>
    <row r="22">
      <c r="A22" s="4" t="n">
        <v>12</v>
      </c>
      <c r="B22" s="5" t="inlineStr">
        <is>
          <t>OS（Linux/Windows）</t>
        </is>
      </c>
      <c r="C22" s="5" t="inlineStr">
        <is>
          <t>Knowledge（知識）</t>
        </is>
      </c>
    </row>
    <row r="23">
      <c r="A23" s="4" t="n">
        <v>13</v>
      </c>
      <c r="B23" s="5" t="inlineStr">
        <is>
          <t>OS（Linux/Windows）</t>
        </is>
      </c>
      <c r="C23" s="5" t="inlineStr">
        <is>
          <t>Knowledge（知識）</t>
        </is>
      </c>
    </row>
    <row r="24">
      <c r="A24" s="4" t="n">
        <v>14</v>
      </c>
      <c r="B24" s="5" t="inlineStr">
        <is>
          <t>OS（Linux/Windows）</t>
        </is>
      </c>
      <c r="C24" s="5" t="inlineStr">
        <is>
          <t>Knowledge（知識）</t>
        </is>
      </c>
    </row>
    <row r="25">
      <c r="A25" s="4" t="n">
        <v>15</v>
      </c>
      <c r="B25" s="5" t="inlineStr">
        <is>
          <t>OS（Linux/Windows）</t>
        </is>
      </c>
      <c r="C25" s="5" t="inlineStr">
        <is>
          <t>Knowledge（知識）</t>
        </is>
      </c>
    </row>
    <row r="26">
      <c r="A26" s="4" t="n">
        <v>16</v>
      </c>
      <c r="B26" s="5" t="inlineStr">
        <is>
          <t>OS（Linux/Windows）</t>
        </is>
      </c>
      <c r="C26" s="5" t="inlineStr">
        <is>
          <t>Knowledge（知識）</t>
        </is>
      </c>
    </row>
    <row r="27">
      <c r="A27" s="4" t="n">
        <v>17</v>
      </c>
      <c r="B27" s="5" t="inlineStr">
        <is>
          <t>OS（Linux/Windows）</t>
        </is>
      </c>
      <c r="C27" s="5" t="inlineStr">
        <is>
          <t>Knowledge（知識）</t>
        </is>
      </c>
    </row>
    <row r="28">
      <c r="A28" s="4" t="n">
        <v>18</v>
      </c>
      <c r="B28" s="5" t="inlineStr">
        <is>
          <t>OS（Linux/Windows）</t>
        </is>
      </c>
      <c r="C28" s="5" t="inlineStr">
        <is>
          <t>Knowledge（知識）</t>
        </is>
      </c>
    </row>
    <row r="29">
      <c r="A29" s="4" t="n">
        <v>19</v>
      </c>
      <c r="B29" s="5" t="inlineStr">
        <is>
          <t>OS（Linux/Windows）</t>
        </is>
      </c>
      <c r="C29" s="5" t="inlineStr">
        <is>
          <t>Knowledge（知識）</t>
        </is>
      </c>
    </row>
    <row r="30">
      <c r="A30" s="4" t="n">
        <v>20</v>
      </c>
      <c r="B30" s="5" t="inlineStr">
        <is>
          <t>OS（Linux/Windows）</t>
        </is>
      </c>
      <c r="C30" s="5" t="inlineStr">
        <is>
          <t>Knowledge（知識）</t>
        </is>
      </c>
    </row>
    <row r="31">
      <c r="A31" s="4" t="n">
        <v>21</v>
      </c>
      <c r="B31" s="5" t="inlineStr">
        <is>
          <t>AWS</t>
        </is>
      </c>
      <c r="C31" s="5" t="inlineStr">
        <is>
          <t>Ops（運用判断）</t>
        </is>
      </c>
    </row>
    <row r="32">
      <c r="A32" s="4" t="n">
        <v>22</v>
      </c>
      <c r="B32" s="5" t="inlineStr">
        <is>
          <t>AWS</t>
        </is>
      </c>
      <c r="C32" s="5" t="inlineStr">
        <is>
          <t>Ops（運用判断）</t>
        </is>
      </c>
    </row>
    <row r="33">
      <c r="A33" s="4" t="n">
        <v>23</v>
      </c>
      <c r="B33" s="5" t="inlineStr">
        <is>
          <t>AWS</t>
        </is>
      </c>
      <c r="C33" s="5" t="inlineStr">
        <is>
          <t>Ops（運用判断）</t>
        </is>
      </c>
    </row>
    <row r="34">
      <c r="A34" s="4" t="n">
        <v>24</v>
      </c>
      <c r="B34" s="5" t="inlineStr">
        <is>
          <t>AWS</t>
        </is>
      </c>
      <c r="C34" s="5" t="inlineStr">
        <is>
          <t>Ops（運用判断）</t>
        </is>
      </c>
    </row>
    <row r="35">
      <c r="A35" s="4" t="n">
        <v>25</v>
      </c>
      <c r="B35" s="5" t="inlineStr">
        <is>
          <t>AWS</t>
        </is>
      </c>
      <c r="C35" s="5" t="inlineStr">
        <is>
          <t>Ops（運用判断）</t>
        </is>
      </c>
    </row>
    <row r="36">
      <c r="A36" s="4" t="n">
        <v>26</v>
      </c>
      <c r="B36" s="5" t="inlineStr">
        <is>
          <t>AWS</t>
        </is>
      </c>
      <c r="C36" s="5" t="inlineStr">
        <is>
          <t>Ops（運用判断）</t>
        </is>
      </c>
    </row>
    <row r="37">
      <c r="A37" s="4" t="n">
        <v>27</v>
      </c>
      <c r="B37" s="5" t="inlineStr">
        <is>
          <t>AWS</t>
        </is>
      </c>
      <c r="C37" s="5" t="inlineStr">
        <is>
          <t>Ops（運用判断）</t>
        </is>
      </c>
    </row>
    <row r="38">
      <c r="A38" s="4" t="n">
        <v>28</v>
      </c>
      <c r="B38" s="5" t="inlineStr">
        <is>
          <t>AWS</t>
        </is>
      </c>
      <c r="C38" s="5" t="inlineStr">
        <is>
          <t>Ops（運用判断）</t>
        </is>
      </c>
    </row>
    <row r="39">
      <c r="A39" s="4" t="n">
        <v>29</v>
      </c>
      <c r="B39" s="5" t="inlineStr">
        <is>
          <t>AWS</t>
        </is>
      </c>
      <c r="C39" s="5" t="inlineStr">
        <is>
          <t>Ops（運用判断）</t>
        </is>
      </c>
    </row>
    <row r="40">
      <c r="A40" s="4" t="n">
        <v>30</v>
      </c>
      <c r="B40" s="5" t="inlineStr">
        <is>
          <t>AWS</t>
        </is>
      </c>
      <c r="C40" s="5" t="inlineStr">
        <is>
          <t>Ops（運用判断）</t>
        </is>
      </c>
    </row>
    <row r="41">
      <c r="A41" s="4" t="n">
        <v>31</v>
      </c>
      <c r="B41" s="5" t="inlineStr">
        <is>
          <t>AWS</t>
        </is>
      </c>
      <c r="C41" s="5" t="inlineStr">
        <is>
          <t>Ops（運用判断）</t>
        </is>
      </c>
    </row>
    <row r="42">
      <c r="A42" s="4" t="n">
        <v>32</v>
      </c>
      <c r="B42" s="5" t="inlineStr">
        <is>
          <t>AWS</t>
        </is>
      </c>
      <c r="C42" s="5" t="inlineStr">
        <is>
          <t>Ops（運用判断）</t>
        </is>
      </c>
    </row>
    <row r="43">
      <c r="A43" s="4" t="n">
        <v>33</v>
      </c>
      <c r="B43" s="5" t="inlineStr">
        <is>
          <t>AWS</t>
        </is>
      </c>
      <c r="C43" s="5" t="inlineStr">
        <is>
          <t>Ops（運用判断）</t>
        </is>
      </c>
    </row>
    <row r="44">
      <c r="A44" s="4" t="n">
        <v>34</v>
      </c>
      <c r="B44" s="5" t="inlineStr">
        <is>
          <t>AWS</t>
        </is>
      </c>
      <c r="C44" s="5" t="inlineStr">
        <is>
          <t>Ops（運用判断）</t>
        </is>
      </c>
    </row>
    <row r="45">
      <c r="A45" s="4" t="n">
        <v>35</v>
      </c>
      <c r="B45" s="5" t="inlineStr">
        <is>
          <t>AWS</t>
        </is>
      </c>
      <c r="C45" s="5" t="inlineStr">
        <is>
          <t>Ops（運用判断）</t>
        </is>
      </c>
    </row>
    <row r="46">
      <c r="A46" s="4" t="n">
        <v>36</v>
      </c>
      <c r="B46" s="5" t="inlineStr">
        <is>
          <t>NW/Security</t>
        </is>
      </c>
      <c r="C46" s="5" t="inlineStr">
        <is>
          <t>Ops（運用判断）</t>
        </is>
      </c>
    </row>
    <row r="47">
      <c r="A47" s="4" t="n">
        <v>37</v>
      </c>
      <c r="B47" s="5" t="inlineStr">
        <is>
          <t>NW/Security</t>
        </is>
      </c>
      <c r="C47" s="5" t="inlineStr">
        <is>
          <t>Ops（運用判断）</t>
        </is>
      </c>
    </row>
    <row r="48">
      <c r="A48" s="4" t="n">
        <v>38</v>
      </c>
      <c r="B48" s="5" t="inlineStr">
        <is>
          <t>NW/Security</t>
        </is>
      </c>
      <c r="C48" s="5" t="inlineStr">
        <is>
          <t>Ops（運用判断）</t>
        </is>
      </c>
    </row>
    <row r="49">
      <c r="A49" s="4" t="n">
        <v>39</v>
      </c>
      <c r="B49" s="5" t="inlineStr">
        <is>
          <t>NW/Security</t>
        </is>
      </c>
      <c r="C49" s="5" t="inlineStr">
        <is>
          <t>Ops（運用判断）</t>
        </is>
      </c>
    </row>
    <row r="50">
      <c r="A50" s="4" t="n">
        <v>40</v>
      </c>
      <c r="B50" s="5" t="inlineStr">
        <is>
          <t>NW/Security</t>
        </is>
      </c>
      <c r="C50" s="5" t="inlineStr">
        <is>
          <t>Ops（運用判断）</t>
        </is>
      </c>
    </row>
    <row r="51">
      <c r="A51" s="4" t="n">
        <v>41</v>
      </c>
      <c r="B51" s="5" t="inlineStr">
        <is>
          <t>NW/Security</t>
        </is>
      </c>
      <c r="C51" s="5" t="inlineStr">
        <is>
          <t>Ops（運用判断）</t>
        </is>
      </c>
    </row>
    <row r="52">
      <c r="A52" s="4" t="n">
        <v>42</v>
      </c>
      <c r="B52" s="5" t="inlineStr">
        <is>
          <t>NW/Security</t>
        </is>
      </c>
      <c r="C52" s="5" t="inlineStr">
        <is>
          <t>Ops（運用判断）</t>
        </is>
      </c>
    </row>
    <row r="53">
      <c r="A53" s="4" t="n">
        <v>43</v>
      </c>
      <c r="B53" s="5" t="inlineStr">
        <is>
          <t>NW/Security</t>
        </is>
      </c>
      <c r="C53" s="5" t="inlineStr">
        <is>
          <t>Ops（運用判断）</t>
        </is>
      </c>
    </row>
    <row r="54">
      <c r="A54" s="4" t="n">
        <v>44</v>
      </c>
      <c r="B54" s="5" t="inlineStr">
        <is>
          <t>NW/Security</t>
        </is>
      </c>
      <c r="C54" s="5" t="inlineStr">
        <is>
          <t>Ops（運用判断）</t>
        </is>
      </c>
    </row>
    <row r="55">
      <c r="A55" s="4" t="n">
        <v>45</v>
      </c>
      <c r="B55" s="5" t="inlineStr">
        <is>
          <t>NW/Security</t>
        </is>
      </c>
      <c r="C55" s="5" t="inlineStr">
        <is>
          <t>Ops（運用判断）</t>
        </is>
      </c>
    </row>
    <row r="56">
      <c r="A56" s="4" t="n">
        <v>46</v>
      </c>
      <c r="B56" s="5" t="inlineStr">
        <is>
          <t>NW/Security</t>
        </is>
      </c>
      <c r="C56" s="5" t="inlineStr">
        <is>
          <t>Risk（リスク判断）</t>
        </is>
      </c>
    </row>
    <row r="57">
      <c r="A57" s="4" t="n">
        <v>47</v>
      </c>
      <c r="B57" s="5" t="inlineStr">
        <is>
          <t>NW/Security</t>
        </is>
      </c>
      <c r="C57" s="5" t="inlineStr">
        <is>
          <t>Risk（リスク判断）</t>
        </is>
      </c>
    </row>
    <row r="58">
      <c r="A58" s="4" t="n">
        <v>48</v>
      </c>
      <c r="B58" s="5" t="inlineStr">
        <is>
          <t>NW/Security</t>
        </is>
      </c>
      <c r="C58" s="5" t="inlineStr">
        <is>
          <t>Risk（リスク判断）</t>
        </is>
      </c>
    </row>
    <row r="59">
      <c r="A59" s="4" t="n">
        <v>49</v>
      </c>
      <c r="B59" s="5" t="inlineStr">
        <is>
          <t>NW/Security</t>
        </is>
      </c>
      <c r="C59" s="5" t="inlineStr">
        <is>
          <t>Risk（リスク判断）</t>
        </is>
      </c>
    </row>
    <row r="60">
      <c r="A60" s="4" t="n">
        <v>50</v>
      </c>
      <c r="B60" s="5" t="inlineStr">
        <is>
          <t>NW/Security</t>
        </is>
      </c>
      <c r="C60" s="5" t="inlineStr">
        <is>
          <t>Risk（リスク判断）</t>
        </is>
      </c>
    </row>
    <row r="62">
      <c r="A62" s="2" t="inlineStr">
        <is>
          <t>メモ：カテゴリ／タイプ／重みを編集すると、全員の集計が自動更新されます。</t>
        </is>
      </c>
    </row>
    <row r="63"/>
  </sheetData>
  <mergeCells count="2">
    <mergeCell ref="A62:H63"/>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55" customWidth="1" min="3" max="3"/>
  </cols>
  <sheetData>
    <row r="1">
      <c r="A1" s="8" t="inlineStr">
        <is>
          <t>問題番号</t>
        </is>
      </c>
      <c r="B1" s="8" t="inlineStr">
        <is>
          <t>正解（記号）</t>
        </is>
      </c>
      <c r="C1" s="8" t="inlineStr">
        <is>
          <t>正解（文字列）</t>
        </is>
      </c>
    </row>
    <row r="2">
      <c r="A2" s="4" t="inlineStr">
        <is>
          <t>Q1</t>
        </is>
      </c>
      <c r="B2" s="4" t="inlineStr">
        <is>
          <t>A</t>
        </is>
      </c>
      <c r="C2" s="5" t="inlineStr">
        <is>
          <t>A) inode が枯渇している</t>
        </is>
      </c>
    </row>
    <row r="3">
      <c r="A3" s="4" t="inlineStr">
        <is>
          <t>Q2</t>
        </is>
      </c>
      <c r="B3" s="4" t="inlineStr">
        <is>
          <t>B</t>
        </is>
      </c>
      <c r="C3" s="5" t="inlineStr">
        <is>
          <t>B) ExecStart で指定した実行ファイルのパス誤り</t>
        </is>
      </c>
    </row>
    <row r="4">
      <c r="A4" s="4" t="inlineStr">
        <is>
          <t>Q3</t>
        </is>
      </c>
      <c r="B4" s="4" t="inlineStr">
        <is>
          <t>C</t>
        </is>
      </c>
      <c r="C4" s="5" t="inlineStr">
        <is>
          <t>C) 接続元 IP アドレスの DNS 逆引き遅延</t>
        </is>
      </c>
    </row>
    <row r="5">
      <c r="A5" s="4" t="inlineStr">
        <is>
          <t>Q4</t>
        </is>
      </c>
      <c r="B5" s="4" t="inlineStr">
        <is>
          <t>D</t>
        </is>
      </c>
      <c r="C5" s="5" t="inlineStr">
        <is>
          <t>D) /var/log/messages や journal の OS ログ</t>
        </is>
      </c>
    </row>
    <row r="6">
      <c r="A6" s="4" t="inlineStr">
        <is>
          <t>Q5</t>
        </is>
      </c>
      <c r="B6" s="4" t="inlineStr">
        <is>
          <t>A</t>
        </is>
      </c>
      <c r="C6" s="5" t="inlineStr">
        <is>
          <t>A) ディスク I/O wait の増加</t>
        </is>
      </c>
    </row>
    <row r="7">
      <c r="A7" s="4" t="inlineStr">
        <is>
          <t>Q6</t>
        </is>
      </c>
      <c r="B7" s="4" t="inlineStr">
        <is>
          <t>B</t>
        </is>
      </c>
      <c r="C7" s="5" t="inlineStr">
        <is>
          <t>B) ファイアウォールおよび TCP/3389 の通信可否</t>
        </is>
      </c>
    </row>
    <row r="8">
      <c r="A8" s="4" t="inlineStr">
        <is>
          <t>Q7</t>
        </is>
      </c>
      <c r="B8" s="4" t="inlineStr">
        <is>
          <t>C</t>
        </is>
      </c>
      <c r="C8" s="5" t="inlineStr">
        <is>
          <t>C) DNS レコードまたは名前解決設定の不備</t>
        </is>
      </c>
    </row>
    <row r="9">
      <c r="A9" s="4" t="inlineStr">
        <is>
          <t>Q8</t>
        </is>
      </c>
      <c r="B9" s="4" t="inlineStr">
        <is>
          <t>D</t>
        </is>
      </c>
      <c r="C9" s="5" t="inlineStr">
        <is>
          <t>D) サーバ間の時刻ずれ（NTP 不整合）</t>
        </is>
      </c>
    </row>
    <row r="10">
      <c r="A10" s="4" t="inlineStr">
        <is>
          <t>Q9</t>
        </is>
      </c>
      <c r="B10" s="4" t="inlineStr">
        <is>
          <t>A</t>
        </is>
      </c>
      <c r="C10" s="5" t="inlineStr">
        <is>
          <t>A) コマンドの絶対パス未指定による PATH 問題</t>
        </is>
      </c>
    </row>
    <row r="11">
      <c r="A11" s="4" t="inlineStr">
        <is>
          <t>Q10</t>
        </is>
      </c>
      <c r="B11" s="4" t="inlineStr">
        <is>
          <t>B</t>
        </is>
      </c>
      <c r="C11" s="5" t="inlineStr">
        <is>
          <t>B) CPU・メモリ・I/O 状況を可視化して把握する</t>
        </is>
      </c>
    </row>
    <row r="12">
      <c r="A12" s="4" t="inlineStr">
        <is>
          <t>Q11</t>
        </is>
      </c>
      <c r="B12" s="4" t="inlineStr">
        <is>
          <t>C</t>
        </is>
      </c>
      <c r="C12" s="5" t="inlineStr">
        <is>
          <t>C) 依存サービスが起動していない</t>
        </is>
      </c>
    </row>
    <row r="13">
      <c r="A13" s="4" t="inlineStr">
        <is>
          <t>Q12</t>
        </is>
      </c>
      <c r="B13" s="4" t="inlineStr">
        <is>
          <t>D</t>
        </is>
      </c>
      <c r="C13" s="5" t="inlineStr">
        <is>
          <t>D) ipconfig /flushdns</t>
        </is>
      </c>
    </row>
    <row r="14">
      <c r="A14" s="4" t="inlineStr">
        <is>
          <t>Q13</t>
        </is>
      </c>
      <c r="B14" s="4" t="inlineStr">
        <is>
          <t>A</t>
        </is>
      </c>
      <c r="C14" s="5" t="inlineStr">
        <is>
          <t>A) アプリケーションログ（Event Viewer 含む）を確認する</t>
        </is>
      </c>
    </row>
    <row r="15">
      <c r="A15" s="4" t="inlineStr">
        <is>
          <t>Q14</t>
        </is>
      </c>
      <c r="B15" s="4" t="inlineStr">
        <is>
          <t>B</t>
        </is>
      </c>
      <c r="C15" s="5" t="inlineStr">
        <is>
          <t>B) 更新履歴・エラーコード</t>
        </is>
      </c>
    </row>
    <row r="16">
      <c r="A16" s="4" t="inlineStr">
        <is>
          <t>Q15</t>
        </is>
      </c>
      <c r="B16" s="4" t="inlineStr">
        <is>
          <t>C</t>
        </is>
      </c>
      <c r="C16" s="5" t="inlineStr">
        <is>
          <t>C) タスクマネージャ／Resource Monitor を確認する</t>
        </is>
      </c>
    </row>
    <row r="17">
      <c r="A17" s="4" t="inlineStr">
        <is>
          <t>Q16</t>
        </is>
      </c>
      <c r="B17" s="4" t="inlineStr">
        <is>
          <t>D</t>
        </is>
      </c>
      <c r="C17" s="5" t="inlineStr">
        <is>
          <t>D) gpresult /r で適用結果を確認する</t>
        </is>
      </c>
    </row>
    <row r="18">
      <c r="A18" s="4" t="inlineStr">
        <is>
          <t>Q17</t>
        </is>
      </c>
      <c r="B18" s="4" t="inlineStr">
        <is>
          <t>A</t>
        </is>
      </c>
      <c r="C18" s="5" t="inlineStr">
        <is>
          <t>A) クライアントと DC の時刻ずれ</t>
        </is>
      </c>
    </row>
    <row r="19">
      <c r="A19" s="4" t="inlineStr">
        <is>
          <t>Q18</t>
        </is>
      </c>
      <c r="B19" s="4" t="inlineStr">
        <is>
          <t>B</t>
        </is>
      </c>
      <c r="C19" s="5" t="inlineStr">
        <is>
          <t>B) 4625（ログオン失敗）</t>
        </is>
      </c>
    </row>
    <row r="20">
      <c r="A20" s="4" t="inlineStr">
        <is>
          <t>Q19</t>
        </is>
      </c>
      <c r="B20" s="4" t="inlineStr">
        <is>
          <t>C</t>
        </is>
      </c>
      <c r="C20" s="5" t="inlineStr">
        <is>
          <t>C) /etc/sudoers の設定不備（記述ミス／権限不足）</t>
        </is>
      </c>
    </row>
    <row r="21">
      <c r="A21" s="4" t="inlineStr">
        <is>
          <t>Q20</t>
        </is>
      </c>
      <c r="B21" s="4" t="inlineStr">
        <is>
          <t>D</t>
        </is>
      </c>
      <c r="C21" s="5" t="inlineStr">
        <is>
          <t>D) リポジトリ URL が不正／到達できない</t>
        </is>
      </c>
    </row>
    <row r="22">
      <c r="A22" s="4" t="inlineStr">
        <is>
          <t>Q21</t>
        </is>
      </c>
      <c r="B22" s="4" t="inlineStr">
        <is>
          <t>A</t>
        </is>
      </c>
      <c r="C22" s="5" t="inlineStr">
        <is>
          <t>A) ヘルスチェック設定（パス／ステータスコード）が満たされていない</t>
        </is>
      </c>
    </row>
    <row r="23">
      <c r="A23" s="4" t="inlineStr">
        <is>
          <t>Q22</t>
        </is>
      </c>
      <c r="B23" s="4" t="inlineStr">
        <is>
          <t>B</t>
        </is>
      </c>
      <c r="C23" s="5" t="inlineStr">
        <is>
          <t>B) バックエンドアプリケーションの異常</t>
        </is>
      </c>
    </row>
    <row r="24">
      <c r="A24" s="4" t="inlineStr">
        <is>
          <t>Q23</t>
        </is>
      </c>
      <c r="B24" s="4" t="inlineStr">
        <is>
          <t>C</t>
        </is>
      </c>
      <c r="C24" s="5" t="inlineStr">
        <is>
          <t>C) コネクションリークが発生している</t>
        </is>
      </c>
    </row>
    <row r="25">
      <c r="A25" s="4" t="inlineStr">
        <is>
          <t>Q24</t>
        </is>
      </c>
      <c r="B25" s="4" t="inlineStr">
        <is>
          <t>D</t>
        </is>
      </c>
      <c r="C25" s="5" t="inlineStr">
        <is>
          <t>D) Cost Explorer で増加要因を確認する</t>
        </is>
      </c>
    </row>
    <row r="26">
      <c r="A26" s="4" t="inlineStr">
        <is>
          <t>Q25</t>
        </is>
      </c>
      <c r="B26" s="4" t="inlineStr">
        <is>
          <t>A</t>
        </is>
      </c>
      <c r="C26" s="5" t="inlineStr">
        <is>
          <t>A) IAM ポリシー／バケットポリシーの権限不備</t>
        </is>
      </c>
    </row>
    <row r="27">
      <c r="A27" s="4" t="inlineStr">
        <is>
          <t>Q26</t>
        </is>
      </c>
      <c r="B27" s="4" t="inlineStr">
        <is>
          <t>B</t>
        </is>
      </c>
      <c r="C27" s="5" t="inlineStr">
        <is>
          <t>B) NS レコードによる委任状態</t>
        </is>
      </c>
    </row>
    <row r="28">
      <c r="A28" s="4" t="inlineStr">
        <is>
          <t>Q27</t>
        </is>
      </c>
      <c r="B28" s="4" t="inlineStr">
        <is>
          <t>C</t>
        </is>
      </c>
      <c r="C28" s="5" t="inlineStr">
        <is>
          <t>C) インスタンスタイプ変更やスケールを検討する</t>
        </is>
      </c>
    </row>
    <row r="29">
      <c r="A29" s="4" t="inlineStr">
        <is>
          <t>Q28</t>
        </is>
      </c>
      <c r="B29" s="4" t="inlineStr">
        <is>
          <t>D</t>
        </is>
      </c>
      <c r="C29" s="5" t="inlineStr">
        <is>
          <t>D) NAT Gateway 経由の外部通信遅延</t>
        </is>
      </c>
    </row>
    <row r="30">
      <c r="A30" s="4" t="inlineStr">
        <is>
          <t>Q29</t>
        </is>
      </c>
      <c r="B30" s="4" t="inlineStr">
        <is>
          <t>A</t>
        </is>
      </c>
      <c r="C30" s="5" t="inlineStr">
        <is>
          <t>A) 不要・過剰なログ出力</t>
        </is>
      </c>
    </row>
    <row r="31">
      <c r="A31" s="4" t="inlineStr">
        <is>
          <t>Q30</t>
        </is>
      </c>
      <c r="B31" s="4" t="inlineStr">
        <is>
          <t>B</t>
        </is>
      </c>
      <c r="C31" s="5" t="inlineStr">
        <is>
          <t>B) EBS ボリュームタイプと IOPS 設定</t>
        </is>
      </c>
    </row>
    <row r="32">
      <c r="A32" s="4" t="inlineStr">
        <is>
          <t>Q31</t>
        </is>
      </c>
      <c r="B32" s="4" t="inlineStr">
        <is>
          <t>C</t>
        </is>
      </c>
      <c r="C32" s="5" t="inlineStr">
        <is>
          <t>C) システムログおよびステータスチェック</t>
        </is>
      </c>
    </row>
    <row r="33">
      <c r="A33" s="4" t="inlineStr">
        <is>
          <t>Q32</t>
        </is>
      </c>
      <c r="B33" s="4" t="inlineStr">
        <is>
          <t>D</t>
        </is>
      </c>
      <c r="C33" s="5" t="inlineStr">
        <is>
          <t>D) スケーリング条件（しきい値・評価期間）の不適切さ</t>
        </is>
      </c>
    </row>
    <row r="34">
      <c r="A34" s="4" t="inlineStr">
        <is>
          <t>Q33</t>
        </is>
      </c>
      <c r="B34" s="4" t="inlineStr">
        <is>
          <t>A</t>
        </is>
      </c>
      <c r="C34" s="5" t="inlineStr">
        <is>
          <t>A) 管理者権限を恒常的に付与する</t>
        </is>
      </c>
    </row>
    <row r="35">
      <c r="A35" s="4" t="inlineStr">
        <is>
          <t>Q34</t>
        </is>
      </c>
      <c r="B35" s="4" t="inlineStr">
        <is>
          <t>B</t>
        </is>
      </c>
      <c r="C35" s="5" t="inlineStr">
        <is>
          <t>B) CloudTrail やサービスの操作ログ</t>
        </is>
      </c>
    </row>
    <row r="36">
      <c r="A36" s="4" t="inlineStr">
        <is>
          <t>Q35</t>
        </is>
      </c>
      <c r="B36" s="4" t="inlineStr">
        <is>
          <t>C</t>
        </is>
      </c>
      <c r="C36" s="5" t="inlineStr">
        <is>
          <t>C) KMS キーの有効状態と IAM 権限</t>
        </is>
      </c>
    </row>
    <row r="37">
      <c r="A37" s="4" t="inlineStr">
        <is>
          <t>Q36</t>
        </is>
      </c>
      <c r="B37" s="4" t="inlineStr">
        <is>
          <t>D</t>
        </is>
      </c>
      <c r="C37" s="5" t="inlineStr">
        <is>
          <t>D) ICMP が意図的に遮断されている</t>
        </is>
      </c>
    </row>
    <row r="38">
      <c r="A38" s="4" t="inlineStr">
        <is>
          <t>Q37</t>
        </is>
      </c>
      <c r="B38" s="4" t="inlineStr">
        <is>
          <t>A</t>
        </is>
      </c>
      <c r="C38" s="5" t="inlineStr">
        <is>
          <t>A) TLS ハンドシェイクや証明書処理</t>
        </is>
      </c>
    </row>
    <row r="39">
      <c r="A39" s="4" t="inlineStr">
        <is>
          <t>Q38</t>
        </is>
      </c>
      <c r="B39" s="4" t="inlineStr">
        <is>
          <t>B</t>
        </is>
      </c>
      <c r="C39" s="5" t="inlineStr">
        <is>
          <t>B) NAT やルーティング設定の不備</t>
        </is>
      </c>
    </row>
    <row r="40">
      <c r="A40" s="4" t="inlineStr">
        <is>
          <t>Q39</t>
        </is>
      </c>
      <c r="B40" s="4" t="inlineStr">
        <is>
          <t>C</t>
        </is>
      </c>
      <c r="C40" s="5" t="inlineStr">
        <is>
          <t>C) 負荷分散配下の一部ノード異常や偏り</t>
        </is>
      </c>
    </row>
    <row r="41">
      <c r="A41" s="4" t="inlineStr">
        <is>
          <t>Q40</t>
        </is>
      </c>
      <c r="B41" s="4" t="inlineStr">
        <is>
          <t>D</t>
        </is>
      </c>
      <c r="C41" s="5" t="inlineStr">
        <is>
          <t>D) ネットワークやファイアウォール</t>
        </is>
      </c>
    </row>
    <row r="42">
      <c r="A42" s="4" t="inlineStr">
        <is>
          <t>Q41</t>
        </is>
      </c>
      <c r="B42" s="4" t="inlineStr">
        <is>
          <t>A</t>
        </is>
      </c>
      <c r="C42" s="5" t="inlineStr">
        <is>
          <t>A) アプリケーション内部エラー</t>
        </is>
      </c>
    </row>
    <row r="43">
      <c r="A43" s="4" t="inlineStr">
        <is>
          <t>Q42</t>
        </is>
      </c>
      <c r="B43" s="4" t="inlineStr">
        <is>
          <t>B</t>
        </is>
      </c>
      <c r="C43" s="5" t="inlineStr">
        <is>
          <t>B) dig / nslookup で応答時間を確認する</t>
        </is>
      </c>
    </row>
    <row r="44">
      <c r="A44" s="4" t="inlineStr">
        <is>
          <t>Q43</t>
        </is>
      </c>
      <c r="B44" s="4" t="inlineStr">
        <is>
          <t>C</t>
        </is>
      </c>
      <c r="C44" s="5" t="inlineStr">
        <is>
          <t>C) オリジンサーバの負荷増加</t>
        </is>
      </c>
    </row>
    <row r="45">
      <c r="A45" s="4" t="inlineStr">
        <is>
          <t>Q44</t>
        </is>
      </c>
      <c r="B45" s="4" t="inlineStr">
        <is>
          <t>D</t>
        </is>
      </c>
      <c r="C45" s="5" t="inlineStr">
        <is>
          <t>D) HTTP レイヤのレスポンスを直接確認できる</t>
        </is>
      </c>
    </row>
    <row r="46">
      <c r="A46" s="4" t="inlineStr">
        <is>
          <t>Q45</t>
        </is>
      </c>
      <c r="B46" s="4" t="inlineStr">
        <is>
          <t>A</t>
        </is>
      </c>
      <c r="C46" s="5" t="inlineStr">
        <is>
          <t>A) 特定環境のみ接続できない</t>
        </is>
      </c>
    </row>
    <row r="47">
      <c r="A47" s="4" t="inlineStr">
        <is>
          <t>Q46</t>
        </is>
      </c>
      <c r="B47" s="4" t="inlineStr">
        <is>
          <t>B</t>
        </is>
      </c>
      <c r="C47" s="5" t="inlineStr">
        <is>
          <t>B) 公開鍵認証</t>
        </is>
      </c>
    </row>
    <row r="48">
      <c r="A48" s="4" t="inlineStr">
        <is>
          <t>Q47</t>
        </is>
      </c>
      <c r="B48" s="4" t="inlineStr">
        <is>
          <t>C</t>
        </is>
      </c>
      <c r="C48" s="5" t="inlineStr">
        <is>
          <t>C) 最小権限の原則</t>
        </is>
      </c>
    </row>
    <row r="49">
      <c r="A49" s="4" t="inlineStr">
        <is>
          <t>Q48</t>
        </is>
      </c>
      <c r="B49" s="4" t="inlineStr">
        <is>
          <t>D</t>
        </is>
      </c>
      <c r="C49" s="5" t="inlineStr">
        <is>
          <t>D) トラフィックを遮断しつつログを保全する</t>
        </is>
      </c>
    </row>
    <row r="50">
      <c r="A50" s="4" t="inlineStr">
        <is>
          <t>Q49</t>
        </is>
      </c>
      <c r="B50" s="4" t="inlineStr">
        <is>
          <t>A</t>
        </is>
      </c>
      <c r="C50" s="5" t="inlineStr">
        <is>
          <t>A) WAF の検知・ブロックログ</t>
        </is>
      </c>
    </row>
    <row r="51">
      <c r="A51" s="4" t="inlineStr">
        <is>
          <t>Q50</t>
        </is>
      </c>
      <c r="B51" s="4" t="inlineStr">
        <is>
          <t>B</t>
        </is>
      </c>
      <c r="C51" s="5" t="inlineStr">
        <is>
          <t>B) 影響範囲の把握と証跡の保全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2026-01-07T15:35:41Z</dcterms:created>
  <dcterms:modified xmlns:dcterms="http://purl.org/dc/terms/" xmlns:xsi="http://www.w3.org/2001/XMLSchema-instance" xsi:type="dcterms:W3CDTF">2026-01-07T15:35:42Z</dcterms:modified>
</cp:coreProperties>
</file>