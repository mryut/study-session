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s貼り付け" sheetId="1" state="visible" r:id="rId1"/>
    <sheet xmlns:r="http://schemas.openxmlformats.org/officeDocument/2006/relationships" name="整形回答" sheetId="2" state="visible" r:id="rId2"/>
    <sheet xmlns:r="http://schemas.openxmlformats.org/officeDocument/2006/relationships" name="集計" sheetId="3" state="visible" r:id="rId3"/>
    <sheet xmlns:r="http://schemas.openxmlformats.org/officeDocument/2006/relationships" name="設定" sheetId="4" state="visible" r:id="rId4"/>
    <sheet xmlns:r="http://schemas.openxmlformats.org/officeDocument/2006/relationships" name="正解キ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2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Microsoft Forms のエクスポート（Excel）を、このシートのA3セルからそのまま貼り付けてください。</t>
        </is>
      </c>
    </row>
    <row r="2">
      <c r="A2" s="2" t="inlineStr">
        <is>
          <t>前提：質問タイトルに 'Q1'〜'Q50' が含まれていること（例：'Q1. 〜'）。自動で列を検出します。</t>
        </is>
      </c>
    </row>
  </sheetData>
  <mergeCells count="2">
    <mergeCell ref="A2:AZ2"/>
    <mergeCell ref="A1:A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0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4" customWidth="1" min="4" max="4"/>
    <col width="14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</cols>
  <sheetData>
    <row r="1">
      <c r="A1" s="3" t="inlineStr">
        <is>
          <t>整形回答（Forms貼り付けの列を自動検出してA/B/C/Dに正規化）</t>
        </is>
      </c>
    </row>
    <row r="2">
      <c r="A2" s="4" t="inlineStr">
        <is>
          <t>Forms貼り付け!A3行＝ヘッダ、A4行以降＝回答の前提。ヘッダにQ1〜Q50が含まれていれば自動で列を拾います。</t>
        </is>
      </c>
    </row>
    <row r="3">
      <c r="A3" s="5" t="inlineStr">
        <is>
          <t>列検出（自動）</t>
        </is>
      </c>
      <c r="B3" s="6">
        <f>IFERROR(XMATCH("*名前*",Forms貼り付け!$A$3:$AZ$3,2),"")</f>
        <v/>
      </c>
      <c r="C3" s="6">
        <f>IFERROR(XMATCH("*メール*",Forms貼り付け!$A$3:$AZ$3,2),"")</f>
        <v/>
      </c>
      <c r="D3" s="6">
        <f>IFERROR(XMATCH("*開始*",Forms貼り付け!$A$3:$AZ$3,2),"")</f>
        <v/>
      </c>
      <c r="E3" s="6">
        <f>IFERROR(XMATCH("*完了*",Forms貼り付け!$A$3:$AZ$3,2),"")</f>
        <v/>
      </c>
      <c r="F3" s="6">
        <f>IFERROR(XMATCH("*Q1*",Forms貼り付け!$A$3:$AZ$3,2),"")</f>
        <v/>
      </c>
      <c r="G3" s="6">
        <f>IFERROR(XMATCH("*Q2*",Forms貼り付け!$A$3:$AZ$3,2),"")</f>
        <v/>
      </c>
      <c r="H3" s="6">
        <f>IFERROR(XMATCH("*Q3*",Forms貼り付け!$A$3:$AZ$3,2),"")</f>
        <v/>
      </c>
      <c r="I3" s="6">
        <f>IFERROR(XMATCH("*Q4*",Forms貼り付け!$A$3:$AZ$3,2),"")</f>
        <v/>
      </c>
      <c r="J3" s="6">
        <f>IFERROR(XMATCH("*Q5*",Forms貼り付け!$A$3:$AZ$3,2),"")</f>
        <v/>
      </c>
      <c r="K3" s="6">
        <f>IFERROR(XMATCH("*Q6*",Forms貼り付け!$A$3:$AZ$3,2),"")</f>
        <v/>
      </c>
      <c r="L3" s="6">
        <f>IFERROR(XMATCH("*Q7*",Forms貼り付け!$A$3:$AZ$3,2),"")</f>
        <v/>
      </c>
      <c r="M3" s="6">
        <f>IFERROR(XMATCH("*Q8*",Forms貼り付け!$A$3:$AZ$3,2),"")</f>
        <v/>
      </c>
      <c r="N3" s="6">
        <f>IFERROR(XMATCH("*Q9*",Forms貼り付け!$A$3:$AZ$3,2),"")</f>
        <v/>
      </c>
      <c r="O3" s="6">
        <f>IFERROR(XMATCH("*Q10*",Forms貼り付け!$A$3:$AZ$3,2),"")</f>
        <v/>
      </c>
      <c r="P3" s="6">
        <f>IFERROR(XMATCH("*Q11*",Forms貼り付け!$A$3:$AZ$3,2),"")</f>
        <v/>
      </c>
      <c r="Q3" s="6">
        <f>IFERROR(XMATCH("*Q12*",Forms貼り付け!$A$3:$AZ$3,2),"")</f>
        <v/>
      </c>
      <c r="R3" s="6">
        <f>IFERROR(XMATCH("*Q13*",Forms貼り付け!$A$3:$AZ$3,2),"")</f>
        <v/>
      </c>
      <c r="S3" s="6">
        <f>IFERROR(XMATCH("*Q14*",Forms貼り付け!$A$3:$AZ$3,2),"")</f>
        <v/>
      </c>
      <c r="T3" s="6">
        <f>IFERROR(XMATCH("*Q15*",Forms貼り付け!$A$3:$AZ$3,2),"")</f>
        <v/>
      </c>
      <c r="U3" s="6">
        <f>IFERROR(XMATCH("*Q16*",Forms貼り付け!$A$3:$AZ$3,2),"")</f>
        <v/>
      </c>
      <c r="V3" s="6">
        <f>IFERROR(XMATCH("*Q17*",Forms貼り付け!$A$3:$AZ$3,2),"")</f>
        <v/>
      </c>
      <c r="W3" s="6">
        <f>IFERROR(XMATCH("*Q18*",Forms貼り付け!$A$3:$AZ$3,2),"")</f>
        <v/>
      </c>
      <c r="X3" s="6">
        <f>IFERROR(XMATCH("*Q19*",Forms貼り付け!$A$3:$AZ$3,2),"")</f>
        <v/>
      </c>
      <c r="Y3" s="6">
        <f>IFERROR(XMATCH("*Q20*",Forms貼り付け!$A$3:$AZ$3,2),"")</f>
        <v/>
      </c>
      <c r="Z3" s="6">
        <f>IFERROR(XMATCH("*Q21*",Forms貼り付け!$A$3:$AZ$3,2),"")</f>
        <v/>
      </c>
      <c r="AA3" s="6">
        <f>IFERROR(XMATCH("*Q22*",Forms貼り付け!$A$3:$AZ$3,2),"")</f>
        <v/>
      </c>
      <c r="AB3" s="6">
        <f>IFERROR(XMATCH("*Q23*",Forms貼り付け!$A$3:$AZ$3,2),"")</f>
        <v/>
      </c>
      <c r="AC3" s="6">
        <f>IFERROR(XMATCH("*Q24*",Forms貼り付け!$A$3:$AZ$3,2),"")</f>
        <v/>
      </c>
      <c r="AD3" s="6">
        <f>IFERROR(XMATCH("*Q25*",Forms貼り付け!$A$3:$AZ$3,2),"")</f>
        <v/>
      </c>
      <c r="AE3" s="6">
        <f>IFERROR(XMATCH("*Q26*",Forms貼り付け!$A$3:$AZ$3,2),"")</f>
        <v/>
      </c>
      <c r="AF3" s="6">
        <f>IFERROR(XMATCH("*Q27*",Forms貼り付け!$A$3:$AZ$3,2),"")</f>
        <v/>
      </c>
      <c r="AG3" s="6">
        <f>IFERROR(XMATCH("*Q28*",Forms貼り付け!$A$3:$AZ$3,2),"")</f>
        <v/>
      </c>
      <c r="AH3" s="6">
        <f>IFERROR(XMATCH("*Q29*",Forms貼り付け!$A$3:$AZ$3,2),"")</f>
        <v/>
      </c>
      <c r="AI3" s="6">
        <f>IFERROR(XMATCH("*Q30*",Forms貼り付け!$A$3:$AZ$3,2),"")</f>
        <v/>
      </c>
      <c r="AJ3" s="6">
        <f>IFERROR(XMATCH("*Q31*",Forms貼り付け!$A$3:$AZ$3,2),"")</f>
        <v/>
      </c>
      <c r="AK3" s="6">
        <f>IFERROR(XMATCH("*Q32*",Forms貼り付け!$A$3:$AZ$3,2),"")</f>
        <v/>
      </c>
      <c r="AL3" s="6">
        <f>IFERROR(XMATCH("*Q33*",Forms貼り付け!$A$3:$AZ$3,2),"")</f>
        <v/>
      </c>
      <c r="AM3" s="6">
        <f>IFERROR(XMATCH("*Q34*",Forms貼り付け!$A$3:$AZ$3,2),"")</f>
        <v/>
      </c>
      <c r="AN3" s="6">
        <f>IFERROR(XMATCH("*Q35*",Forms貼り付け!$A$3:$AZ$3,2),"")</f>
        <v/>
      </c>
      <c r="AO3" s="6">
        <f>IFERROR(XMATCH("*Q36*",Forms貼り付け!$A$3:$AZ$3,2),"")</f>
        <v/>
      </c>
      <c r="AP3" s="6">
        <f>IFERROR(XMATCH("*Q37*",Forms貼り付け!$A$3:$AZ$3,2),"")</f>
        <v/>
      </c>
      <c r="AQ3" s="6">
        <f>IFERROR(XMATCH("*Q38*",Forms貼り付け!$A$3:$AZ$3,2),"")</f>
        <v/>
      </c>
      <c r="AR3" s="6">
        <f>IFERROR(XMATCH("*Q39*",Forms貼り付け!$A$3:$AZ$3,2),"")</f>
        <v/>
      </c>
      <c r="AS3" s="6">
        <f>IFERROR(XMATCH("*Q40*",Forms貼り付け!$A$3:$AZ$3,2),"")</f>
        <v/>
      </c>
      <c r="AT3" s="6">
        <f>IFERROR(XMATCH("*Q41*",Forms貼り付け!$A$3:$AZ$3,2),"")</f>
        <v/>
      </c>
      <c r="AU3" s="6">
        <f>IFERROR(XMATCH("*Q42*",Forms貼り付け!$A$3:$AZ$3,2),"")</f>
        <v/>
      </c>
      <c r="AV3" s="6">
        <f>IFERROR(XMATCH("*Q43*",Forms貼り付け!$A$3:$AZ$3,2),"")</f>
        <v/>
      </c>
      <c r="AW3" s="6">
        <f>IFERROR(XMATCH("*Q44*",Forms貼り付け!$A$3:$AZ$3,2),"")</f>
        <v/>
      </c>
      <c r="AX3" s="6">
        <f>IFERROR(XMATCH("*Q45*",Forms貼り付け!$A$3:$AZ$3,2),"")</f>
        <v/>
      </c>
      <c r="AY3" s="6">
        <f>IFERROR(XMATCH("*Q46*",Forms貼り付け!$A$3:$AZ$3,2),"")</f>
        <v/>
      </c>
      <c r="AZ3" s="6">
        <f>IFERROR(XMATCH("*Q47*",Forms貼り付け!$A$3:$AZ$3,2),"")</f>
        <v/>
      </c>
      <c r="BA3" s="6">
        <f>IFERROR(XMATCH("*Q48*",Forms貼り付け!$A$3:$AZ$3,2),"")</f>
        <v/>
      </c>
      <c r="BB3" s="6">
        <f>IFERROR(XMATCH("*Q49*",Forms貼り付け!$A$3:$AZ$3,2),"")</f>
        <v/>
      </c>
      <c r="BC3" s="6">
        <f>IFERROR(XMATCH("*Q50*",Forms貼り付け!$A$3:$AZ$3,2),"")</f>
        <v/>
      </c>
    </row>
    <row r="4">
      <c r="A4" s="7" t="inlineStr">
        <is>
          <t>受験者ID</t>
        </is>
      </c>
      <c r="B4" s="7" t="inlineStr">
        <is>
          <t>氏名</t>
        </is>
      </c>
      <c r="C4" s="7" t="inlineStr">
        <is>
          <t>メール</t>
        </is>
      </c>
      <c r="D4" s="7" t="inlineStr">
        <is>
          <t>開始時刻</t>
        </is>
      </c>
      <c r="E4" s="7" t="inlineStr">
        <is>
          <t>完了時刻</t>
        </is>
      </c>
      <c r="F4" s="7" t="inlineStr">
        <is>
          <t>Q1</t>
        </is>
      </c>
      <c r="G4" s="7" t="inlineStr">
        <is>
          <t>Q2</t>
        </is>
      </c>
      <c r="H4" s="7" t="inlineStr">
        <is>
          <t>Q3</t>
        </is>
      </c>
      <c r="I4" s="7" t="inlineStr">
        <is>
          <t>Q4</t>
        </is>
      </c>
      <c r="J4" s="7" t="inlineStr">
        <is>
          <t>Q5</t>
        </is>
      </c>
      <c r="K4" s="7" t="inlineStr">
        <is>
          <t>Q6</t>
        </is>
      </c>
      <c r="L4" s="7" t="inlineStr">
        <is>
          <t>Q7</t>
        </is>
      </c>
      <c r="M4" s="7" t="inlineStr">
        <is>
          <t>Q8</t>
        </is>
      </c>
      <c r="N4" s="7" t="inlineStr">
        <is>
          <t>Q9</t>
        </is>
      </c>
      <c r="O4" s="7" t="inlineStr">
        <is>
          <t>Q10</t>
        </is>
      </c>
      <c r="P4" s="7" t="inlineStr">
        <is>
          <t>Q11</t>
        </is>
      </c>
      <c r="Q4" s="7" t="inlineStr">
        <is>
          <t>Q12</t>
        </is>
      </c>
      <c r="R4" s="7" t="inlineStr">
        <is>
          <t>Q13</t>
        </is>
      </c>
      <c r="S4" s="7" t="inlineStr">
        <is>
          <t>Q14</t>
        </is>
      </c>
      <c r="T4" s="7" t="inlineStr">
        <is>
          <t>Q15</t>
        </is>
      </c>
      <c r="U4" s="7" t="inlineStr">
        <is>
          <t>Q16</t>
        </is>
      </c>
      <c r="V4" s="7" t="inlineStr">
        <is>
          <t>Q17</t>
        </is>
      </c>
      <c r="W4" s="7" t="inlineStr">
        <is>
          <t>Q18</t>
        </is>
      </c>
      <c r="X4" s="7" t="inlineStr">
        <is>
          <t>Q19</t>
        </is>
      </c>
      <c r="Y4" s="7" t="inlineStr">
        <is>
          <t>Q20</t>
        </is>
      </c>
      <c r="Z4" s="7" t="inlineStr">
        <is>
          <t>Q21</t>
        </is>
      </c>
      <c r="AA4" s="7" t="inlineStr">
        <is>
          <t>Q22</t>
        </is>
      </c>
      <c r="AB4" s="7" t="inlineStr">
        <is>
          <t>Q23</t>
        </is>
      </c>
      <c r="AC4" s="7" t="inlineStr">
        <is>
          <t>Q24</t>
        </is>
      </c>
      <c r="AD4" s="7" t="inlineStr">
        <is>
          <t>Q25</t>
        </is>
      </c>
      <c r="AE4" s="7" t="inlineStr">
        <is>
          <t>Q26</t>
        </is>
      </c>
      <c r="AF4" s="7" t="inlineStr">
        <is>
          <t>Q27</t>
        </is>
      </c>
      <c r="AG4" s="7" t="inlineStr">
        <is>
          <t>Q28</t>
        </is>
      </c>
      <c r="AH4" s="7" t="inlineStr">
        <is>
          <t>Q29</t>
        </is>
      </c>
      <c r="AI4" s="7" t="inlineStr">
        <is>
          <t>Q30</t>
        </is>
      </c>
      <c r="AJ4" s="7" t="inlineStr">
        <is>
          <t>Q31</t>
        </is>
      </c>
      <c r="AK4" s="7" t="inlineStr">
        <is>
          <t>Q32</t>
        </is>
      </c>
      <c r="AL4" s="7" t="inlineStr">
        <is>
          <t>Q33</t>
        </is>
      </c>
      <c r="AM4" s="7" t="inlineStr">
        <is>
          <t>Q34</t>
        </is>
      </c>
      <c r="AN4" s="7" t="inlineStr">
        <is>
          <t>Q35</t>
        </is>
      </c>
      <c r="AO4" s="7" t="inlineStr">
        <is>
          <t>Q36</t>
        </is>
      </c>
      <c r="AP4" s="7" t="inlineStr">
        <is>
          <t>Q37</t>
        </is>
      </c>
      <c r="AQ4" s="7" t="inlineStr">
        <is>
          <t>Q38</t>
        </is>
      </c>
      <c r="AR4" s="7" t="inlineStr">
        <is>
          <t>Q39</t>
        </is>
      </c>
      <c r="AS4" s="7" t="inlineStr">
        <is>
          <t>Q40</t>
        </is>
      </c>
      <c r="AT4" s="7" t="inlineStr">
        <is>
          <t>Q41</t>
        </is>
      </c>
      <c r="AU4" s="7" t="inlineStr">
        <is>
          <t>Q42</t>
        </is>
      </c>
      <c r="AV4" s="7" t="inlineStr">
        <is>
          <t>Q43</t>
        </is>
      </c>
      <c r="AW4" s="7" t="inlineStr">
        <is>
          <t>Q44</t>
        </is>
      </c>
      <c r="AX4" s="7" t="inlineStr">
        <is>
          <t>Q45</t>
        </is>
      </c>
      <c r="AY4" s="7" t="inlineStr">
        <is>
          <t>Q46</t>
        </is>
      </c>
      <c r="AZ4" s="7" t="inlineStr">
        <is>
          <t>Q47</t>
        </is>
      </c>
      <c r="BA4" s="7" t="inlineStr">
        <is>
          <t>Q48</t>
        </is>
      </c>
      <c r="BB4" s="7" t="inlineStr">
        <is>
          <t>Q49</t>
        </is>
      </c>
      <c r="BC4" s="7" t="inlineStr">
        <is>
          <t>Q50</t>
        </is>
      </c>
    </row>
    <row r="5">
      <c r="A5" s="8" t="inlineStr">
        <is>
          <t>U001</t>
        </is>
      </c>
      <c r="B5" s="9">
        <f>IF($B$3="","",INDEX(Forms貼り付け!$A:$AZ,4,$B$3))</f>
        <v/>
      </c>
      <c r="C5" s="9">
        <f>IF($C$3="","",INDEX(Forms貼り付け!$A:$AZ,4,$C$3))</f>
        <v/>
      </c>
      <c r="D5" s="8">
        <f>IF($D$3="","",INDEX(Forms貼り付け!$A:$AZ,4,$D$3))</f>
        <v/>
      </c>
      <c r="E5" s="8">
        <f>IF($E$3="","",INDEX(Forms貼り付け!$A:$AZ,4,$E$3))</f>
        <v/>
      </c>
      <c r="F5" s="8">
        <f>IF(F$3="","",IFERROR(LEFT(TRIM(INDEX(Forms貼り付け!$A:$AZ,4,F$3)),1),""))</f>
        <v/>
      </c>
      <c r="G5" s="8">
        <f>IF(G$3="","",IFERROR(LEFT(TRIM(INDEX(Forms貼り付け!$A:$AZ,4,G$3)),1),""))</f>
        <v/>
      </c>
      <c r="H5" s="8">
        <f>IF(H$3="","",IFERROR(LEFT(TRIM(INDEX(Forms貼り付け!$A:$AZ,4,H$3)),1),""))</f>
        <v/>
      </c>
      <c r="I5" s="8">
        <f>IF(I$3="","",IFERROR(LEFT(TRIM(INDEX(Forms貼り付け!$A:$AZ,4,I$3)),1),""))</f>
        <v/>
      </c>
      <c r="J5" s="8">
        <f>IF(J$3="","",IFERROR(LEFT(TRIM(INDEX(Forms貼り付け!$A:$AZ,4,J$3)),1),""))</f>
        <v/>
      </c>
      <c r="K5" s="8">
        <f>IF(K$3="","",IFERROR(LEFT(TRIM(INDEX(Forms貼り付け!$A:$AZ,4,K$3)),1),""))</f>
        <v/>
      </c>
      <c r="L5" s="8">
        <f>IF(L$3="","",IFERROR(LEFT(TRIM(INDEX(Forms貼り付け!$A:$AZ,4,L$3)),1),""))</f>
        <v/>
      </c>
      <c r="M5" s="8">
        <f>IF(M$3="","",IFERROR(LEFT(TRIM(INDEX(Forms貼り付け!$A:$AZ,4,M$3)),1),""))</f>
        <v/>
      </c>
      <c r="N5" s="8">
        <f>IF(N$3="","",IFERROR(LEFT(TRIM(INDEX(Forms貼り付け!$A:$AZ,4,N$3)),1),""))</f>
        <v/>
      </c>
      <c r="O5" s="8">
        <f>IF(O$3="","",IFERROR(LEFT(TRIM(INDEX(Forms貼り付け!$A:$AZ,4,O$3)),1),""))</f>
        <v/>
      </c>
      <c r="P5" s="8">
        <f>IF(P$3="","",IFERROR(LEFT(TRIM(INDEX(Forms貼り付け!$A:$AZ,4,P$3)),1),""))</f>
        <v/>
      </c>
      <c r="Q5" s="8">
        <f>IF(Q$3="","",IFERROR(LEFT(TRIM(INDEX(Forms貼り付け!$A:$AZ,4,Q$3)),1),""))</f>
        <v/>
      </c>
      <c r="R5" s="8">
        <f>IF(R$3="","",IFERROR(LEFT(TRIM(INDEX(Forms貼り付け!$A:$AZ,4,R$3)),1),""))</f>
        <v/>
      </c>
      <c r="S5" s="8">
        <f>IF(S$3="","",IFERROR(LEFT(TRIM(INDEX(Forms貼り付け!$A:$AZ,4,S$3)),1),""))</f>
        <v/>
      </c>
      <c r="T5" s="8">
        <f>IF(T$3="","",IFERROR(LEFT(TRIM(INDEX(Forms貼り付け!$A:$AZ,4,T$3)),1),""))</f>
        <v/>
      </c>
      <c r="U5" s="8">
        <f>IF(U$3="","",IFERROR(LEFT(TRIM(INDEX(Forms貼り付け!$A:$AZ,4,U$3)),1),""))</f>
        <v/>
      </c>
      <c r="V5" s="8">
        <f>IF(V$3="","",IFERROR(LEFT(TRIM(INDEX(Forms貼り付け!$A:$AZ,4,V$3)),1),""))</f>
        <v/>
      </c>
      <c r="W5" s="8">
        <f>IF(W$3="","",IFERROR(LEFT(TRIM(INDEX(Forms貼り付け!$A:$AZ,4,W$3)),1),""))</f>
        <v/>
      </c>
      <c r="X5" s="8">
        <f>IF(X$3="","",IFERROR(LEFT(TRIM(INDEX(Forms貼り付け!$A:$AZ,4,X$3)),1),""))</f>
        <v/>
      </c>
      <c r="Y5" s="8">
        <f>IF(Y$3="","",IFERROR(LEFT(TRIM(INDEX(Forms貼り付け!$A:$AZ,4,Y$3)),1),""))</f>
        <v/>
      </c>
      <c r="Z5" s="8">
        <f>IF(Z$3="","",IFERROR(LEFT(TRIM(INDEX(Forms貼り付け!$A:$AZ,4,Z$3)),1),""))</f>
        <v/>
      </c>
      <c r="AA5" s="8">
        <f>IF(AA$3="","",IFERROR(LEFT(TRIM(INDEX(Forms貼り付け!$A:$AZ,4,AA$3)),1),""))</f>
        <v/>
      </c>
      <c r="AB5" s="8">
        <f>IF(AB$3="","",IFERROR(LEFT(TRIM(INDEX(Forms貼り付け!$A:$AZ,4,AB$3)),1),""))</f>
        <v/>
      </c>
      <c r="AC5" s="8">
        <f>IF(AC$3="","",IFERROR(LEFT(TRIM(INDEX(Forms貼り付け!$A:$AZ,4,AC$3)),1),""))</f>
        <v/>
      </c>
      <c r="AD5" s="8">
        <f>IF(AD$3="","",IFERROR(LEFT(TRIM(INDEX(Forms貼り付け!$A:$AZ,4,AD$3)),1),""))</f>
        <v/>
      </c>
      <c r="AE5" s="8">
        <f>IF(AE$3="","",IFERROR(LEFT(TRIM(INDEX(Forms貼り付け!$A:$AZ,4,AE$3)),1),""))</f>
        <v/>
      </c>
      <c r="AF5" s="8">
        <f>IF(AF$3="","",IFERROR(LEFT(TRIM(INDEX(Forms貼り付け!$A:$AZ,4,AF$3)),1),""))</f>
        <v/>
      </c>
      <c r="AG5" s="8">
        <f>IF(AG$3="","",IFERROR(LEFT(TRIM(INDEX(Forms貼り付け!$A:$AZ,4,AG$3)),1),""))</f>
        <v/>
      </c>
      <c r="AH5" s="8">
        <f>IF(AH$3="","",IFERROR(LEFT(TRIM(INDEX(Forms貼り付け!$A:$AZ,4,AH$3)),1),""))</f>
        <v/>
      </c>
      <c r="AI5" s="8">
        <f>IF(AI$3="","",IFERROR(LEFT(TRIM(INDEX(Forms貼り付け!$A:$AZ,4,AI$3)),1),""))</f>
        <v/>
      </c>
      <c r="AJ5" s="8">
        <f>IF(AJ$3="","",IFERROR(LEFT(TRIM(INDEX(Forms貼り付け!$A:$AZ,4,AJ$3)),1),""))</f>
        <v/>
      </c>
      <c r="AK5" s="8">
        <f>IF(AK$3="","",IFERROR(LEFT(TRIM(INDEX(Forms貼り付け!$A:$AZ,4,AK$3)),1),""))</f>
        <v/>
      </c>
      <c r="AL5" s="8">
        <f>IF(AL$3="","",IFERROR(LEFT(TRIM(INDEX(Forms貼り付け!$A:$AZ,4,AL$3)),1),""))</f>
        <v/>
      </c>
      <c r="AM5" s="8">
        <f>IF(AM$3="","",IFERROR(LEFT(TRIM(INDEX(Forms貼り付け!$A:$AZ,4,AM$3)),1),""))</f>
        <v/>
      </c>
      <c r="AN5" s="8">
        <f>IF(AN$3="","",IFERROR(LEFT(TRIM(INDEX(Forms貼り付け!$A:$AZ,4,AN$3)),1),""))</f>
        <v/>
      </c>
      <c r="AO5" s="8">
        <f>IF(AO$3="","",IFERROR(LEFT(TRIM(INDEX(Forms貼り付け!$A:$AZ,4,AO$3)),1),""))</f>
        <v/>
      </c>
      <c r="AP5" s="8">
        <f>IF(AP$3="","",IFERROR(LEFT(TRIM(INDEX(Forms貼り付け!$A:$AZ,4,AP$3)),1),""))</f>
        <v/>
      </c>
      <c r="AQ5" s="8">
        <f>IF(AQ$3="","",IFERROR(LEFT(TRIM(INDEX(Forms貼り付け!$A:$AZ,4,AQ$3)),1),""))</f>
        <v/>
      </c>
      <c r="AR5" s="8">
        <f>IF(AR$3="","",IFERROR(LEFT(TRIM(INDEX(Forms貼り付け!$A:$AZ,4,AR$3)),1),""))</f>
        <v/>
      </c>
      <c r="AS5" s="8">
        <f>IF(AS$3="","",IFERROR(LEFT(TRIM(INDEX(Forms貼り付け!$A:$AZ,4,AS$3)),1),""))</f>
        <v/>
      </c>
      <c r="AT5" s="8">
        <f>IF(AT$3="","",IFERROR(LEFT(TRIM(INDEX(Forms貼り付け!$A:$AZ,4,AT$3)),1),""))</f>
        <v/>
      </c>
      <c r="AU5" s="8">
        <f>IF(AU$3="","",IFERROR(LEFT(TRIM(INDEX(Forms貼り付け!$A:$AZ,4,AU$3)),1),""))</f>
        <v/>
      </c>
      <c r="AV5" s="8">
        <f>IF(AV$3="","",IFERROR(LEFT(TRIM(INDEX(Forms貼り付け!$A:$AZ,4,AV$3)),1),""))</f>
        <v/>
      </c>
      <c r="AW5" s="8">
        <f>IF(AW$3="","",IFERROR(LEFT(TRIM(INDEX(Forms貼り付け!$A:$AZ,4,AW$3)),1),""))</f>
        <v/>
      </c>
      <c r="AX5" s="8">
        <f>IF(AX$3="","",IFERROR(LEFT(TRIM(INDEX(Forms貼り付け!$A:$AZ,4,AX$3)),1),""))</f>
        <v/>
      </c>
      <c r="AY5" s="8">
        <f>IF(AY$3="","",IFERROR(LEFT(TRIM(INDEX(Forms貼り付け!$A:$AZ,4,AY$3)),1),""))</f>
        <v/>
      </c>
      <c r="AZ5" s="8">
        <f>IF(AZ$3="","",IFERROR(LEFT(TRIM(INDEX(Forms貼り付け!$A:$AZ,4,AZ$3)),1),""))</f>
        <v/>
      </c>
      <c r="BA5" s="8">
        <f>IF(BA$3="","",IFERROR(LEFT(TRIM(INDEX(Forms貼り付け!$A:$AZ,4,BA$3)),1),""))</f>
        <v/>
      </c>
      <c r="BB5" s="8">
        <f>IF(BB$3="","",IFERROR(LEFT(TRIM(INDEX(Forms貼り付け!$A:$AZ,4,BB$3)),1),""))</f>
        <v/>
      </c>
      <c r="BC5" s="8">
        <f>IF(BC$3="","",IFERROR(LEFT(TRIM(INDEX(Forms貼り付け!$A:$AZ,4,BC$3)),1),""))</f>
        <v/>
      </c>
    </row>
    <row r="6">
      <c r="A6" s="8" t="inlineStr">
        <is>
          <t>U002</t>
        </is>
      </c>
      <c r="B6" s="9">
        <f>IF($B$3="","",INDEX(Forms貼り付け!$A:$AZ,5,$B$3))</f>
        <v/>
      </c>
      <c r="C6" s="9">
        <f>IF($C$3="","",INDEX(Forms貼り付け!$A:$AZ,5,$C$3))</f>
        <v/>
      </c>
      <c r="D6" s="8">
        <f>IF($D$3="","",INDEX(Forms貼り付け!$A:$AZ,5,$D$3))</f>
        <v/>
      </c>
      <c r="E6" s="8">
        <f>IF($E$3="","",INDEX(Forms貼り付け!$A:$AZ,5,$E$3))</f>
        <v/>
      </c>
      <c r="F6" s="8">
        <f>IF(F$3="","",IFERROR(LEFT(TRIM(INDEX(Forms貼り付け!$A:$AZ,5,F$3)),1),""))</f>
        <v/>
      </c>
      <c r="G6" s="8">
        <f>IF(G$3="","",IFERROR(LEFT(TRIM(INDEX(Forms貼り付け!$A:$AZ,5,G$3)),1),""))</f>
        <v/>
      </c>
      <c r="H6" s="8">
        <f>IF(H$3="","",IFERROR(LEFT(TRIM(INDEX(Forms貼り付け!$A:$AZ,5,H$3)),1),""))</f>
        <v/>
      </c>
      <c r="I6" s="8">
        <f>IF(I$3="","",IFERROR(LEFT(TRIM(INDEX(Forms貼り付け!$A:$AZ,5,I$3)),1),""))</f>
        <v/>
      </c>
      <c r="J6" s="8">
        <f>IF(J$3="","",IFERROR(LEFT(TRIM(INDEX(Forms貼り付け!$A:$AZ,5,J$3)),1),""))</f>
        <v/>
      </c>
      <c r="K6" s="8">
        <f>IF(K$3="","",IFERROR(LEFT(TRIM(INDEX(Forms貼り付け!$A:$AZ,5,K$3)),1),""))</f>
        <v/>
      </c>
      <c r="L6" s="8">
        <f>IF(L$3="","",IFERROR(LEFT(TRIM(INDEX(Forms貼り付け!$A:$AZ,5,L$3)),1),""))</f>
        <v/>
      </c>
      <c r="M6" s="8">
        <f>IF(M$3="","",IFERROR(LEFT(TRIM(INDEX(Forms貼り付け!$A:$AZ,5,M$3)),1),""))</f>
        <v/>
      </c>
      <c r="N6" s="8">
        <f>IF(N$3="","",IFERROR(LEFT(TRIM(INDEX(Forms貼り付け!$A:$AZ,5,N$3)),1),""))</f>
        <v/>
      </c>
      <c r="O6" s="8">
        <f>IF(O$3="","",IFERROR(LEFT(TRIM(INDEX(Forms貼り付け!$A:$AZ,5,O$3)),1),""))</f>
        <v/>
      </c>
      <c r="P6" s="8">
        <f>IF(P$3="","",IFERROR(LEFT(TRIM(INDEX(Forms貼り付け!$A:$AZ,5,P$3)),1),""))</f>
        <v/>
      </c>
      <c r="Q6" s="8">
        <f>IF(Q$3="","",IFERROR(LEFT(TRIM(INDEX(Forms貼り付け!$A:$AZ,5,Q$3)),1),""))</f>
        <v/>
      </c>
      <c r="R6" s="8">
        <f>IF(R$3="","",IFERROR(LEFT(TRIM(INDEX(Forms貼り付け!$A:$AZ,5,R$3)),1),""))</f>
        <v/>
      </c>
      <c r="S6" s="8">
        <f>IF(S$3="","",IFERROR(LEFT(TRIM(INDEX(Forms貼り付け!$A:$AZ,5,S$3)),1),""))</f>
        <v/>
      </c>
      <c r="T6" s="8">
        <f>IF(T$3="","",IFERROR(LEFT(TRIM(INDEX(Forms貼り付け!$A:$AZ,5,T$3)),1),""))</f>
        <v/>
      </c>
      <c r="U6" s="8">
        <f>IF(U$3="","",IFERROR(LEFT(TRIM(INDEX(Forms貼り付け!$A:$AZ,5,U$3)),1),""))</f>
        <v/>
      </c>
      <c r="V6" s="8">
        <f>IF(V$3="","",IFERROR(LEFT(TRIM(INDEX(Forms貼り付け!$A:$AZ,5,V$3)),1),""))</f>
        <v/>
      </c>
      <c r="W6" s="8">
        <f>IF(W$3="","",IFERROR(LEFT(TRIM(INDEX(Forms貼り付け!$A:$AZ,5,W$3)),1),""))</f>
        <v/>
      </c>
      <c r="X6" s="8">
        <f>IF(X$3="","",IFERROR(LEFT(TRIM(INDEX(Forms貼り付け!$A:$AZ,5,X$3)),1),""))</f>
        <v/>
      </c>
      <c r="Y6" s="8">
        <f>IF(Y$3="","",IFERROR(LEFT(TRIM(INDEX(Forms貼り付け!$A:$AZ,5,Y$3)),1),""))</f>
        <v/>
      </c>
      <c r="Z6" s="8">
        <f>IF(Z$3="","",IFERROR(LEFT(TRIM(INDEX(Forms貼り付け!$A:$AZ,5,Z$3)),1),""))</f>
        <v/>
      </c>
      <c r="AA6" s="8">
        <f>IF(AA$3="","",IFERROR(LEFT(TRIM(INDEX(Forms貼り付け!$A:$AZ,5,AA$3)),1),""))</f>
        <v/>
      </c>
      <c r="AB6" s="8">
        <f>IF(AB$3="","",IFERROR(LEFT(TRIM(INDEX(Forms貼り付け!$A:$AZ,5,AB$3)),1),""))</f>
        <v/>
      </c>
      <c r="AC6" s="8">
        <f>IF(AC$3="","",IFERROR(LEFT(TRIM(INDEX(Forms貼り付け!$A:$AZ,5,AC$3)),1),""))</f>
        <v/>
      </c>
      <c r="AD6" s="8">
        <f>IF(AD$3="","",IFERROR(LEFT(TRIM(INDEX(Forms貼り付け!$A:$AZ,5,AD$3)),1),""))</f>
        <v/>
      </c>
      <c r="AE6" s="8">
        <f>IF(AE$3="","",IFERROR(LEFT(TRIM(INDEX(Forms貼り付け!$A:$AZ,5,AE$3)),1),""))</f>
        <v/>
      </c>
      <c r="AF6" s="8">
        <f>IF(AF$3="","",IFERROR(LEFT(TRIM(INDEX(Forms貼り付け!$A:$AZ,5,AF$3)),1),""))</f>
        <v/>
      </c>
      <c r="AG6" s="8">
        <f>IF(AG$3="","",IFERROR(LEFT(TRIM(INDEX(Forms貼り付け!$A:$AZ,5,AG$3)),1),""))</f>
        <v/>
      </c>
      <c r="AH6" s="8">
        <f>IF(AH$3="","",IFERROR(LEFT(TRIM(INDEX(Forms貼り付け!$A:$AZ,5,AH$3)),1),""))</f>
        <v/>
      </c>
      <c r="AI6" s="8">
        <f>IF(AI$3="","",IFERROR(LEFT(TRIM(INDEX(Forms貼り付け!$A:$AZ,5,AI$3)),1),""))</f>
        <v/>
      </c>
      <c r="AJ6" s="8">
        <f>IF(AJ$3="","",IFERROR(LEFT(TRIM(INDEX(Forms貼り付け!$A:$AZ,5,AJ$3)),1),""))</f>
        <v/>
      </c>
      <c r="AK6" s="8">
        <f>IF(AK$3="","",IFERROR(LEFT(TRIM(INDEX(Forms貼り付け!$A:$AZ,5,AK$3)),1),""))</f>
        <v/>
      </c>
      <c r="AL6" s="8">
        <f>IF(AL$3="","",IFERROR(LEFT(TRIM(INDEX(Forms貼り付け!$A:$AZ,5,AL$3)),1),""))</f>
        <v/>
      </c>
      <c r="AM6" s="8">
        <f>IF(AM$3="","",IFERROR(LEFT(TRIM(INDEX(Forms貼り付け!$A:$AZ,5,AM$3)),1),""))</f>
        <v/>
      </c>
      <c r="AN6" s="8">
        <f>IF(AN$3="","",IFERROR(LEFT(TRIM(INDEX(Forms貼り付け!$A:$AZ,5,AN$3)),1),""))</f>
        <v/>
      </c>
      <c r="AO6" s="8">
        <f>IF(AO$3="","",IFERROR(LEFT(TRIM(INDEX(Forms貼り付け!$A:$AZ,5,AO$3)),1),""))</f>
        <v/>
      </c>
      <c r="AP6" s="8">
        <f>IF(AP$3="","",IFERROR(LEFT(TRIM(INDEX(Forms貼り付け!$A:$AZ,5,AP$3)),1),""))</f>
        <v/>
      </c>
      <c r="AQ6" s="8">
        <f>IF(AQ$3="","",IFERROR(LEFT(TRIM(INDEX(Forms貼り付け!$A:$AZ,5,AQ$3)),1),""))</f>
        <v/>
      </c>
      <c r="AR6" s="8">
        <f>IF(AR$3="","",IFERROR(LEFT(TRIM(INDEX(Forms貼り付け!$A:$AZ,5,AR$3)),1),""))</f>
        <v/>
      </c>
      <c r="AS6" s="8">
        <f>IF(AS$3="","",IFERROR(LEFT(TRIM(INDEX(Forms貼り付け!$A:$AZ,5,AS$3)),1),""))</f>
        <v/>
      </c>
      <c r="AT6" s="8">
        <f>IF(AT$3="","",IFERROR(LEFT(TRIM(INDEX(Forms貼り付け!$A:$AZ,5,AT$3)),1),""))</f>
        <v/>
      </c>
      <c r="AU6" s="8">
        <f>IF(AU$3="","",IFERROR(LEFT(TRIM(INDEX(Forms貼り付け!$A:$AZ,5,AU$3)),1),""))</f>
        <v/>
      </c>
      <c r="AV6" s="8">
        <f>IF(AV$3="","",IFERROR(LEFT(TRIM(INDEX(Forms貼り付け!$A:$AZ,5,AV$3)),1),""))</f>
        <v/>
      </c>
      <c r="AW6" s="8">
        <f>IF(AW$3="","",IFERROR(LEFT(TRIM(INDEX(Forms貼り付け!$A:$AZ,5,AW$3)),1),""))</f>
        <v/>
      </c>
      <c r="AX6" s="8">
        <f>IF(AX$3="","",IFERROR(LEFT(TRIM(INDEX(Forms貼り付け!$A:$AZ,5,AX$3)),1),""))</f>
        <v/>
      </c>
      <c r="AY6" s="8">
        <f>IF(AY$3="","",IFERROR(LEFT(TRIM(INDEX(Forms貼り付け!$A:$AZ,5,AY$3)),1),""))</f>
        <v/>
      </c>
      <c r="AZ6" s="8">
        <f>IF(AZ$3="","",IFERROR(LEFT(TRIM(INDEX(Forms貼り付け!$A:$AZ,5,AZ$3)),1),""))</f>
        <v/>
      </c>
      <c r="BA6" s="8">
        <f>IF(BA$3="","",IFERROR(LEFT(TRIM(INDEX(Forms貼り付け!$A:$AZ,5,BA$3)),1),""))</f>
        <v/>
      </c>
      <c r="BB6" s="8">
        <f>IF(BB$3="","",IFERROR(LEFT(TRIM(INDEX(Forms貼り付け!$A:$AZ,5,BB$3)),1),""))</f>
        <v/>
      </c>
      <c r="BC6" s="8">
        <f>IF(BC$3="","",IFERROR(LEFT(TRIM(INDEX(Forms貼り付け!$A:$AZ,5,BC$3)),1),""))</f>
        <v/>
      </c>
    </row>
    <row r="7">
      <c r="A7" s="8" t="inlineStr">
        <is>
          <t>U003</t>
        </is>
      </c>
      <c r="B7" s="9">
        <f>IF($B$3="","",INDEX(Forms貼り付け!$A:$AZ,6,$B$3))</f>
        <v/>
      </c>
      <c r="C7" s="9">
        <f>IF($C$3="","",INDEX(Forms貼り付け!$A:$AZ,6,$C$3))</f>
        <v/>
      </c>
      <c r="D7" s="8">
        <f>IF($D$3="","",INDEX(Forms貼り付け!$A:$AZ,6,$D$3))</f>
        <v/>
      </c>
      <c r="E7" s="8">
        <f>IF($E$3="","",INDEX(Forms貼り付け!$A:$AZ,6,$E$3))</f>
        <v/>
      </c>
      <c r="F7" s="8">
        <f>IF(F$3="","",IFERROR(LEFT(TRIM(INDEX(Forms貼り付け!$A:$AZ,6,F$3)),1),""))</f>
        <v/>
      </c>
      <c r="G7" s="8">
        <f>IF(G$3="","",IFERROR(LEFT(TRIM(INDEX(Forms貼り付け!$A:$AZ,6,G$3)),1),""))</f>
        <v/>
      </c>
      <c r="H7" s="8">
        <f>IF(H$3="","",IFERROR(LEFT(TRIM(INDEX(Forms貼り付け!$A:$AZ,6,H$3)),1),""))</f>
        <v/>
      </c>
      <c r="I7" s="8">
        <f>IF(I$3="","",IFERROR(LEFT(TRIM(INDEX(Forms貼り付け!$A:$AZ,6,I$3)),1),""))</f>
        <v/>
      </c>
      <c r="J7" s="8">
        <f>IF(J$3="","",IFERROR(LEFT(TRIM(INDEX(Forms貼り付け!$A:$AZ,6,J$3)),1),""))</f>
        <v/>
      </c>
      <c r="K7" s="8">
        <f>IF(K$3="","",IFERROR(LEFT(TRIM(INDEX(Forms貼り付け!$A:$AZ,6,K$3)),1),""))</f>
        <v/>
      </c>
      <c r="L7" s="8">
        <f>IF(L$3="","",IFERROR(LEFT(TRIM(INDEX(Forms貼り付け!$A:$AZ,6,L$3)),1),""))</f>
        <v/>
      </c>
      <c r="M7" s="8">
        <f>IF(M$3="","",IFERROR(LEFT(TRIM(INDEX(Forms貼り付け!$A:$AZ,6,M$3)),1),""))</f>
        <v/>
      </c>
      <c r="N7" s="8">
        <f>IF(N$3="","",IFERROR(LEFT(TRIM(INDEX(Forms貼り付け!$A:$AZ,6,N$3)),1),""))</f>
        <v/>
      </c>
      <c r="O7" s="8">
        <f>IF(O$3="","",IFERROR(LEFT(TRIM(INDEX(Forms貼り付け!$A:$AZ,6,O$3)),1),""))</f>
        <v/>
      </c>
      <c r="P7" s="8">
        <f>IF(P$3="","",IFERROR(LEFT(TRIM(INDEX(Forms貼り付け!$A:$AZ,6,P$3)),1),""))</f>
        <v/>
      </c>
      <c r="Q7" s="8">
        <f>IF(Q$3="","",IFERROR(LEFT(TRIM(INDEX(Forms貼り付け!$A:$AZ,6,Q$3)),1),""))</f>
        <v/>
      </c>
      <c r="R7" s="8">
        <f>IF(R$3="","",IFERROR(LEFT(TRIM(INDEX(Forms貼り付け!$A:$AZ,6,R$3)),1),""))</f>
        <v/>
      </c>
      <c r="S7" s="8">
        <f>IF(S$3="","",IFERROR(LEFT(TRIM(INDEX(Forms貼り付け!$A:$AZ,6,S$3)),1),""))</f>
        <v/>
      </c>
      <c r="T7" s="8">
        <f>IF(T$3="","",IFERROR(LEFT(TRIM(INDEX(Forms貼り付け!$A:$AZ,6,T$3)),1),""))</f>
        <v/>
      </c>
      <c r="U7" s="8">
        <f>IF(U$3="","",IFERROR(LEFT(TRIM(INDEX(Forms貼り付け!$A:$AZ,6,U$3)),1),""))</f>
        <v/>
      </c>
      <c r="V7" s="8">
        <f>IF(V$3="","",IFERROR(LEFT(TRIM(INDEX(Forms貼り付け!$A:$AZ,6,V$3)),1),""))</f>
        <v/>
      </c>
      <c r="W7" s="8">
        <f>IF(W$3="","",IFERROR(LEFT(TRIM(INDEX(Forms貼り付け!$A:$AZ,6,W$3)),1),""))</f>
        <v/>
      </c>
      <c r="X7" s="8">
        <f>IF(X$3="","",IFERROR(LEFT(TRIM(INDEX(Forms貼り付け!$A:$AZ,6,X$3)),1),""))</f>
        <v/>
      </c>
      <c r="Y7" s="8">
        <f>IF(Y$3="","",IFERROR(LEFT(TRIM(INDEX(Forms貼り付け!$A:$AZ,6,Y$3)),1),""))</f>
        <v/>
      </c>
      <c r="Z7" s="8">
        <f>IF(Z$3="","",IFERROR(LEFT(TRIM(INDEX(Forms貼り付け!$A:$AZ,6,Z$3)),1),""))</f>
        <v/>
      </c>
      <c r="AA7" s="8">
        <f>IF(AA$3="","",IFERROR(LEFT(TRIM(INDEX(Forms貼り付け!$A:$AZ,6,AA$3)),1),""))</f>
        <v/>
      </c>
      <c r="AB7" s="8">
        <f>IF(AB$3="","",IFERROR(LEFT(TRIM(INDEX(Forms貼り付け!$A:$AZ,6,AB$3)),1),""))</f>
        <v/>
      </c>
      <c r="AC7" s="8">
        <f>IF(AC$3="","",IFERROR(LEFT(TRIM(INDEX(Forms貼り付け!$A:$AZ,6,AC$3)),1),""))</f>
        <v/>
      </c>
      <c r="AD7" s="8">
        <f>IF(AD$3="","",IFERROR(LEFT(TRIM(INDEX(Forms貼り付け!$A:$AZ,6,AD$3)),1),""))</f>
        <v/>
      </c>
      <c r="AE7" s="8">
        <f>IF(AE$3="","",IFERROR(LEFT(TRIM(INDEX(Forms貼り付け!$A:$AZ,6,AE$3)),1),""))</f>
        <v/>
      </c>
      <c r="AF7" s="8">
        <f>IF(AF$3="","",IFERROR(LEFT(TRIM(INDEX(Forms貼り付け!$A:$AZ,6,AF$3)),1),""))</f>
        <v/>
      </c>
      <c r="AG7" s="8">
        <f>IF(AG$3="","",IFERROR(LEFT(TRIM(INDEX(Forms貼り付け!$A:$AZ,6,AG$3)),1),""))</f>
        <v/>
      </c>
      <c r="AH7" s="8">
        <f>IF(AH$3="","",IFERROR(LEFT(TRIM(INDEX(Forms貼り付け!$A:$AZ,6,AH$3)),1),""))</f>
        <v/>
      </c>
      <c r="AI7" s="8">
        <f>IF(AI$3="","",IFERROR(LEFT(TRIM(INDEX(Forms貼り付け!$A:$AZ,6,AI$3)),1),""))</f>
        <v/>
      </c>
      <c r="AJ7" s="8">
        <f>IF(AJ$3="","",IFERROR(LEFT(TRIM(INDEX(Forms貼り付け!$A:$AZ,6,AJ$3)),1),""))</f>
        <v/>
      </c>
      <c r="AK7" s="8">
        <f>IF(AK$3="","",IFERROR(LEFT(TRIM(INDEX(Forms貼り付け!$A:$AZ,6,AK$3)),1),""))</f>
        <v/>
      </c>
      <c r="AL7" s="8">
        <f>IF(AL$3="","",IFERROR(LEFT(TRIM(INDEX(Forms貼り付け!$A:$AZ,6,AL$3)),1),""))</f>
        <v/>
      </c>
      <c r="AM7" s="8">
        <f>IF(AM$3="","",IFERROR(LEFT(TRIM(INDEX(Forms貼り付け!$A:$AZ,6,AM$3)),1),""))</f>
        <v/>
      </c>
      <c r="AN7" s="8">
        <f>IF(AN$3="","",IFERROR(LEFT(TRIM(INDEX(Forms貼り付け!$A:$AZ,6,AN$3)),1),""))</f>
        <v/>
      </c>
      <c r="AO7" s="8">
        <f>IF(AO$3="","",IFERROR(LEFT(TRIM(INDEX(Forms貼り付け!$A:$AZ,6,AO$3)),1),""))</f>
        <v/>
      </c>
      <c r="AP7" s="8">
        <f>IF(AP$3="","",IFERROR(LEFT(TRIM(INDEX(Forms貼り付け!$A:$AZ,6,AP$3)),1),""))</f>
        <v/>
      </c>
      <c r="AQ7" s="8">
        <f>IF(AQ$3="","",IFERROR(LEFT(TRIM(INDEX(Forms貼り付け!$A:$AZ,6,AQ$3)),1),""))</f>
        <v/>
      </c>
      <c r="AR7" s="8">
        <f>IF(AR$3="","",IFERROR(LEFT(TRIM(INDEX(Forms貼り付け!$A:$AZ,6,AR$3)),1),""))</f>
        <v/>
      </c>
      <c r="AS7" s="8">
        <f>IF(AS$3="","",IFERROR(LEFT(TRIM(INDEX(Forms貼り付け!$A:$AZ,6,AS$3)),1),""))</f>
        <v/>
      </c>
      <c r="AT7" s="8">
        <f>IF(AT$3="","",IFERROR(LEFT(TRIM(INDEX(Forms貼り付け!$A:$AZ,6,AT$3)),1),""))</f>
        <v/>
      </c>
      <c r="AU7" s="8">
        <f>IF(AU$3="","",IFERROR(LEFT(TRIM(INDEX(Forms貼り付け!$A:$AZ,6,AU$3)),1),""))</f>
        <v/>
      </c>
      <c r="AV7" s="8">
        <f>IF(AV$3="","",IFERROR(LEFT(TRIM(INDEX(Forms貼り付け!$A:$AZ,6,AV$3)),1),""))</f>
        <v/>
      </c>
      <c r="AW7" s="8">
        <f>IF(AW$3="","",IFERROR(LEFT(TRIM(INDEX(Forms貼り付け!$A:$AZ,6,AW$3)),1),""))</f>
        <v/>
      </c>
      <c r="AX7" s="8">
        <f>IF(AX$3="","",IFERROR(LEFT(TRIM(INDEX(Forms貼り付け!$A:$AZ,6,AX$3)),1),""))</f>
        <v/>
      </c>
      <c r="AY7" s="8">
        <f>IF(AY$3="","",IFERROR(LEFT(TRIM(INDEX(Forms貼り付け!$A:$AZ,6,AY$3)),1),""))</f>
        <v/>
      </c>
      <c r="AZ7" s="8">
        <f>IF(AZ$3="","",IFERROR(LEFT(TRIM(INDEX(Forms貼り付け!$A:$AZ,6,AZ$3)),1),""))</f>
        <v/>
      </c>
      <c r="BA7" s="8">
        <f>IF(BA$3="","",IFERROR(LEFT(TRIM(INDEX(Forms貼り付け!$A:$AZ,6,BA$3)),1),""))</f>
        <v/>
      </c>
      <c r="BB7" s="8">
        <f>IF(BB$3="","",IFERROR(LEFT(TRIM(INDEX(Forms貼り付け!$A:$AZ,6,BB$3)),1),""))</f>
        <v/>
      </c>
      <c r="BC7" s="8">
        <f>IF(BC$3="","",IFERROR(LEFT(TRIM(INDEX(Forms貼り付け!$A:$AZ,6,BC$3)),1),""))</f>
        <v/>
      </c>
    </row>
    <row r="8">
      <c r="A8" s="8" t="inlineStr">
        <is>
          <t>U004</t>
        </is>
      </c>
      <c r="B8" s="9">
        <f>IF($B$3="","",INDEX(Forms貼り付け!$A:$AZ,7,$B$3))</f>
        <v/>
      </c>
      <c r="C8" s="9">
        <f>IF($C$3="","",INDEX(Forms貼り付け!$A:$AZ,7,$C$3))</f>
        <v/>
      </c>
      <c r="D8" s="8">
        <f>IF($D$3="","",INDEX(Forms貼り付け!$A:$AZ,7,$D$3))</f>
        <v/>
      </c>
      <c r="E8" s="8">
        <f>IF($E$3="","",INDEX(Forms貼り付け!$A:$AZ,7,$E$3))</f>
        <v/>
      </c>
      <c r="F8" s="8">
        <f>IF(F$3="","",IFERROR(LEFT(TRIM(INDEX(Forms貼り付け!$A:$AZ,7,F$3)),1),""))</f>
        <v/>
      </c>
      <c r="G8" s="8">
        <f>IF(G$3="","",IFERROR(LEFT(TRIM(INDEX(Forms貼り付け!$A:$AZ,7,G$3)),1),""))</f>
        <v/>
      </c>
      <c r="H8" s="8">
        <f>IF(H$3="","",IFERROR(LEFT(TRIM(INDEX(Forms貼り付け!$A:$AZ,7,H$3)),1),""))</f>
        <v/>
      </c>
      <c r="I8" s="8">
        <f>IF(I$3="","",IFERROR(LEFT(TRIM(INDEX(Forms貼り付け!$A:$AZ,7,I$3)),1),""))</f>
        <v/>
      </c>
      <c r="J8" s="8">
        <f>IF(J$3="","",IFERROR(LEFT(TRIM(INDEX(Forms貼り付け!$A:$AZ,7,J$3)),1),""))</f>
        <v/>
      </c>
      <c r="K8" s="8">
        <f>IF(K$3="","",IFERROR(LEFT(TRIM(INDEX(Forms貼り付け!$A:$AZ,7,K$3)),1),""))</f>
        <v/>
      </c>
      <c r="L8" s="8">
        <f>IF(L$3="","",IFERROR(LEFT(TRIM(INDEX(Forms貼り付け!$A:$AZ,7,L$3)),1),""))</f>
        <v/>
      </c>
      <c r="M8" s="8">
        <f>IF(M$3="","",IFERROR(LEFT(TRIM(INDEX(Forms貼り付け!$A:$AZ,7,M$3)),1),""))</f>
        <v/>
      </c>
      <c r="N8" s="8">
        <f>IF(N$3="","",IFERROR(LEFT(TRIM(INDEX(Forms貼り付け!$A:$AZ,7,N$3)),1),""))</f>
        <v/>
      </c>
      <c r="O8" s="8">
        <f>IF(O$3="","",IFERROR(LEFT(TRIM(INDEX(Forms貼り付け!$A:$AZ,7,O$3)),1),""))</f>
        <v/>
      </c>
      <c r="P8" s="8">
        <f>IF(P$3="","",IFERROR(LEFT(TRIM(INDEX(Forms貼り付け!$A:$AZ,7,P$3)),1),""))</f>
        <v/>
      </c>
      <c r="Q8" s="8">
        <f>IF(Q$3="","",IFERROR(LEFT(TRIM(INDEX(Forms貼り付け!$A:$AZ,7,Q$3)),1),""))</f>
        <v/>
      </c>
      <c r="R8" s="8">
        <f>IF(R$3="","",IFERROR(LEFT(TRIM(INDEX(Forms貼り付け!$A:$AZ,7,R$3)),1),""))</f>
        <v/>
      </c>
      <c r="S8" s="8">
        <f>IF(S$3="","",IFERROR(LEFT(TRIM(INDEX(Forms貼り付け!$A:$AZ,7,S$3)),1),""))</f>
        <v/>
      </c>
      <c r="T8" s="8">
        <f>IF(T$3="","",IFERROR(LEFT(TRIM(INDEX(Forms貼り付け!$A:$AZ,7,T$3)),1),""))</f>
        <v/>
      </c>
      <c r="U8" s="8">
        <f>IF(U$3="","",IFERROR(LEFT(TRIM(INDEX(Forms貼り付け!$A:$AZ,7,U$3)),1),""))</f>
        <v/>
      </c>
      <c r="V8" s="8">
        <f>IF(V$3="","",IFERROR(LEFT(TRIM(INDEX(Forms貼り付け!$A:$AZ,7,V$3)),1),""))</f>
        <v/>
      </c>
      <c r="W8" s="8">
        <f>IF(W$3="","",IFERROR(LEFT(TRIM(INDEX(Forms貼り付け!$A:$AZ,7,W$3)),1),""))</f>
        <v/>
      </c>
      <c r="X8" s="8">
        <f>IF(X$3="","",IFERROR(LEFT(TRIM(INDEX(Forms貼り付け!$A:$AZ,7,X$3)),1),""))</f>
        <v/>
      </c>
      <c r="Y8" s="8">
        <f>IF(Y$3="","",IFERROR(LEFT(TRIM(INDEX(Forms貼り付け!$A:$AZ,7,Y$3)),1),""))</f>
        <v/>
      </c>
      <c r="Z8" s="8">
        <f>IF(Z$3="","",IFERROR(LEFT(TRIM(INDEX(Forms貼り付け!$A:$AZ,7,Z$3)),1),""))</f>
        <v/>
      </c>
      <c r="AA8" s="8">
        <f>IF(AA$3="","",IFERROR(LEFT(TRIM(INDEX(Forms貼り付け!$A:$AZ,7,AA$3)),1),""))</f>
        <v/>
      </c>
      <c r="AB8" s="8">
        <f>IF(AB$3="","",IFERROR(LEFT(TRIM(INDEX(Forms貼り付け!$A:$AZ,7,AB$3)),1),""))</f>
        <v/>
      </c>
      <c r="AC8" s="8">
        <f>IF(AC$3="","",IFERROR(LEFT(TRIM(INDEX(Forms貼り付け!$A:$AZ,7,AC$3)),1),""))</f>
        <v/>
      </c>
      <c r="AD8" s="8">
        <f>IF(AD$3="","",IFERROR(LEFT(TRIM(INDEX(Forms貼り付け!$A:$AZ,7,AD$3)),1),""))</f>
        <v/>
      </c>
      <c r="AE8" s="8">
        <f>IF(AE$3="","",IFERROR(LEFT(TRIM(INDEX(Forms貼り付け!$A:$AZ,7,AE$3)),1),""))</f>
        <v/>
      </c>
      <c r="AF8" s="8">
        <f>IF(AF$3="","",IFERROR(LEFT(TRIM(INDEX(Forms貼り付け!$A:$AZ,7,AF$3)),1),""))</f>
        <v/>
      </c>
      <c r="AG8" s="8">
        <f>IF(AG$3="","",IFERROR(LEFT(TRIM(INDEX(Forms貼り付け!$A:$AZ,7,AG$3)),1),""))</f>
        <v/>
      </c>
      <c r="AH8" s="8">
        <f>IF(AH$3="","",IFERROR(LEFT(TRIM(INDEX(Forms貼り付け!$A:$AZ,7,AH$3)),1),""))</f>
        <v/>
      </c>
      <c r="AI8" s="8">
        <f>IF(AI$3="","",IFERROR(LEFT(TRIM(INDEX(Forms貼り付け!$A:$AZ,7,AI$3)),1),""))</f>
        <v/>
      </c>
      <c r="AJ8" s="8">
        <f>IF(AJ$3="","",IFERROR(LEFT(TRIM(INDEX(Forms貼り付け!$A:$AZ,7,AJ$3)),1),""))</f>
        <v/>
      </c>
      <c r="AK8" s="8">
        <f>IF(AK$3="","",IFERROR(LEFT(TRIM(INDEX(Forms貼り付け!$A:$AZ,7,AK$3)),1),""))</f>
        <v/>
      </c>
      <c r="AL8" s="8">
        <f>IF(AL$3="","",IFERROR(LEFT(TRIM(INDEX(Forms貼り付け!$A:$AZ,7,AL$3)),1),""))</f>
        <v/>
      </c>
      <c r="AM8" s="8">
        <f>IF(AM$3="","",IFERROR(LEFT(TRIM(INDEX(Forms貼り付け!$A:$AZ,7,AM$3)),1),""))</f>
        <v/>
      </c>
      <c r="AN8" s="8">
        <f>IF(AN$3="","",IFERROR(LEFT(TRIM(INDEX(Forms貼り付け!$A:$AZ,7,AN$3)),1),""))</f>
        <v/>
      </c>
      <c r="AO8" s="8">
        <f>IF(AO$3="","",IFERROR(LEFT(TRIM(INDEX(Forms貼り付け!$A:$AZ,7,AO$3)),1),""))</f>
        <v/>
      </c>
      <c r="AP8" s="8">
        <f>IF(AP$3="","",IFERROR(LEFT(TRIM(INDEX(Forms貼り付け!$A:$AZ,7,AP$3)),1),""))</f>
        <v/>
      </c>
      <c r="AQ8" s="8">
        <f>IF(AQ$3="","",IFERROR(LEFT(TRIM(INDEX(Forms貼り付け!$A:$AZ,7,AQ$3)),1),""))</f>
        <v/>
      </c>
      <c r="AR8" s="8">
        <f>IF(AR$3="","",IFERROR(LEFT(TRIM(INDEX(Forms貼り付け!$A:$AZ,7,AR$3)),1),""))</f>
        <v/>
      </c>
      <c r="AS8" s="8">
        <f>IF(AS$3="","",IFERROR(LEFT(TRIM(INDEX(Forms貼り付け!$A:$AZ,7,AS$3)),1),""))</f>
        <v/>
      </c>
      <c r="AT8" s="8">
        <f>IF(AT$3="","",IFERROR(LEFT(TRIM(INDEX(Forms貼り付け!$A:$AZ,7,AT$3)),1),""))</f>
        <v/>
      </c>
      <c r="AU8" s="8">
        <f>IF(AU$3="","",IFERROR(LEFT(TRIM(INDEX(Forms貼り付け!$A:$AZ,7,AU$3)),1),""))</f>
        <v/>
      </c>
      <c r="AV8" s="8">
        <f>IF(AV$3="","",IFERROR(LEFT(TRIM(INDEX(Forms貼り付け!$A:$AZ,7,AV$3)),1),""))</f>
        <v/>
      </c>
      <c r="AW8" s="8">
        <f>IF(AW$3="","",IFERROR(LEFT(TRIM(INDEX(Forms貼り付け!$A:$AZ,7,AW$3)),1),""))</f>
        <v/>
      </c>
      <c r="AX8" s="8">
        <f>IF(AX$3="","",IFERROR(LEFT(TRIM(INDEX(Forms貼り付け!$A:$AZ,7,AX$3)),1),""))</f>
        <v/>
      </c>
      <c r="AY8" s="8">
        <f>IF(AY$3="","",IFERROR(LEFT(TRIM(INDEX(Forms貼り付け!$A:$AZ,7,AY$3)),1),""))</f>
        <v/>
      </c>
      <c r="AZ8" s="8">
        <f>IF(AZ$3="","",IFERROR(LEFT(TRIM(INDEX(Forms貼り付け!$A:$AZ,7,AZ$3)),1),""))</f>
        <v/>
      </c>
      <c r="BA8" s="8">
        <f>IF(BA$3="","",IFERROR(LEFT(TRIM(INDEX(Forms貼り付け!$A:$AZ,7,BA$3)),1),""))</f>
        <v/>
      </c>
      <c r="BB8" s="8">
        <f>IF(BB$3="","",IFERROR(LEFT(TRIM(INDEX(Forms貼り付け!$A:$AZ,7,BB$3)),1),""))</f>
        <v/>
      </c>
      <c r="BC8" s="8">
        <f>IF(BC$3="","",IFERROR(LEFT(TRIM(INDEX(Forms貼り付け!$A:$AZ,7,BC$3)),1),""))</f>
        <v/>
      </c>
    </row>
    <row r="9">
      <c r="A9" s="8" t="inlineStr">
        <is>
          <t>U005</t>
        </is>
      </c>
      <c r="B9" s="9">
        <f>IF($B$3="","",INDEX(Forms貼り付け!$A:$AZ,8,$B$3))</f>
        <v/>
      </c>
      <c r="C9" s="9">
        <f>IF($C$3="","",INDEX(Forms貼り付け!$A:$AZ,8,$C$3))</f>
        <v/>
      </c>
      <c r="D9" s="8">
        <f>IF($D$3="","",INDEX(Forms貼り付け!$A:$AZ,8,$D$3))</f>
        <v/>
      </c>
      <c r="E9" s="8">
        <f>IF($E$3="","",INDEX(Forms貼り付け!$A:$AZ,8,$E$3))</f>
        <v/>
      </c>
      <c r="F9" s="8">
        <f>IF(F$3="","",IFERROR(LEFT(TRIM(INDEX(Forms貼り付け!$A:$AZ,8,F$3)),1),""))</f>
        <v/>
      </c>
      <c r="G9" s="8">
        <f>IF(G$3="","",IFERROR(LEFT(TRIM(INDEX(Forms貼り付け!$A:$AZ,8,G$3)),1),""))</f>
        <v/>
      </c>
      <c r="H9" s="8">
        <f>IF(H$3="","",IFERROR(LEFT(TRIM(INDEX(Forms貼り付け!$A:$AZ,8,H$3)),1),""))</f>
        <v/>
      </c>
      <c r="I9" s="8">
        <f>IF(I$3="","",IFERROR(LEFT(TRIM(INDEX(Forms貼り付け!$A:$AZ,8,I$3)),1),""))</f>
        <v/>
      </c>
      <c r="J9" s="8">
        <f>IF(J$3="","",IFERROR(LEFT(TRIM(INDEX(Forms貼り付け!$A:$AZ,8,J$3)),1),""))</f>
        <v/>
      </c>
      <c r="K9" s="8">
        <f>IF(K$3="","",IFERROR(LEFT(TRIM(INDEX(Forms貼り付け!$A:$AZ,8,K$3)),1),""))</f>
        <v/>
      </c>
      <c r="L9" s="8">
        <f>IF(L$3="","",IFERROR(LEFT(TRIM(INDEX(Forms貼り付け!$A:$AZ,8,L$3)),1),""))</f>
        <v/>
      </c>
      <c r="M9" s="8">
        <f>IF(M$3="","",IFERROR(LEFT(TRIM(INDEX(Forms貼り付け!$A:$AZ,8,M$3)),1),""))</f>
        <v/>
      </c>
      <c r="N9" s="8">
        <f>IF(N$3="","",IFERROR(LEFT(TRIM(INDEX(Forms貼り付け!$A:$AZ,8,N$3)),1),""))</f>
        <v/>
      </c>
      <c r="O9" s="8">
        <f>IF(O$3="","",IFERROR(LEFT(TRIM(INDEX(Forms貼り付け!$A:$AZ,8,O$3)),1),""))</f>
        <v/>
      </c>
      <c r="P9" s="8">
        <f>IF(P$3="","",IFERROR(LEFT(TRIM(INDEX(Forms貼り付け!$A:$AZ,8,P$3)),1),""))</f>
        <v/>
      </c>
      <c r="Q9" s="8">
        <f>IF(Q$3="","",IFERROR(LEFT(TRIM(INDEX(Forms貼り付け!$A:$AZ,8,Q$3)),1),""))</f>
        <v/>
      </c>
      <c r="R9" s="8">
        <f>IF(R$3="","",IFERROR(LEFT(TRIM(INDEX(Forms貼り付け!$A:$AZ,8,R$3)),1),""))</f>
        <v/>
      </c>
      <c r="S9" s="8">
        <f>IF(S$3="","",IFERROR(LEFT(TRIM(INDEX(Forms貼り付け!$A:$AZ,8,S$3)),1),""))</f>
        <v/>
      </c>
      <c r="T9" s="8">
        <f>IF(T$3="","",IFERROR(LEFT(TRIM(INDEX(Forms貼り付け!$A:$AZ,8,T$3)),1),""))</f>
        <v/>
      </c>
      <c r="U9" s="8">
        <f>IF(U$3="","",IFERROR(LEFT(TRIM(INDEX(Forms貼り付け!$A:$AZ,8,U$3)),1),""))</f>
        <v/>
      </c>
      <c r="V9" s="8">
        <f>IF(V$3="","",IFERROR(LEFT(TRIM(INDEX(Forms貼り付け!$A:$AZ,8,V$3)),1),""))</f>
        <v/>
      </c>
      <c r="W9" s="8">
        <f>IF(W$3="","",IFERROR(LEFT(TRIM(INDEX(Forms貼り付け!$A:$AZ,8,W$3)),1),""))</f>
        <v/>
      </c>
      <c r="X9" s="8">
        <f>IF(X$3="","",IFERROR(LEFT(TRIM(INDEX(Forms貼り付け!$A:$AZ,8,X$3)),1),""))</f>
        <v/>
      </c>
      <c r="Y9" s="8">
        <f>IF(Y$3="","",IFERROR(LEFT(TRIM(INDEX(Forms貼り付け!$A:$AZ,8,Y$3)),1),""))</f>
        <v/>
      </c>
      <c r="Z9" s="8">
        <f>IF(Z$3="","",IFERROR(LEFT(TRIM(INDEX(Forms貼り付け!$A:$AZ,8,Z$3)),1),""))</f>
        <v/>
      </c>
      <c r="AA9" s="8">
        <f>IF(AA$3="","",IFERROR(LEFT(TRIM(INDEX(Forms貼り付け!$A:$AZ,8,AA$3)),1),""))</f>
        <v/>
      </c>
      <c r="AB9" s="8">
        <f>IF(AB$3="","",IFERROR(LEFT(TRIM(INDEX(Forms貼り付け!$A:$AZ,8,AB$3)),1),""))</f>
        <v/>
      </c>
      <c r="AC9" s="8">
        <f>IF(AC$3="","",IFERROR(LEFT(TRIM(INDEX(Forms貼り付け!$A:$AZ,8,AC$3)),1),""))</f>
        <v/>
      </c>
      <c r="AD9" s="8">
        <f>IF(AD$3="","",IFERROR(LEFT(TRIM(INDEX(Forms貼り付け!$A:$AZ,8,AD$3)),1),""))</f>
        <v/>
      </c>
      <c r="AE9" s="8">
        <f>IF(AE$3="","",IFERROR(LEFT(TRIM(INDEX(Forms貼り付け!$A:$AZ,8,AE$3)),1),""))</f>
        <v/>
      </c>
      <c r="AF9" s="8">
        <f>IF(AF$3="","",IFERROR(LEFT(TRIM(INDEX(Forms貼り付け!$A:$AZ,8,AF$3)),1),""))</f>
        <v/>
      </c>
      <c r="AG9" s="8">
        <f>IF(AG$3="","",IFERROR(LEFT(TRIM(INDEX(Forms貼り付け!$A:$AZ,8,AG$3)),1),""))</f>
        <v/>
      </c>
      <c r="AH9" s="8">
        <f>IF(AH$3="","",IFERROR(LEFT(TRIM(INDEX(Forms貼り付け!$A:$AZ,8,AH$3)),1),""))</f>
        <v/>
      </c>
      <c r="AI9" s="8">
        <f>IF(AI$3="","",IFERROR(LEFT(TRIM(INDEX(Forms貼り付け!$A:$AZ,8,AI$3)),1),""))</f>
        <v/>
      </c>
      <c r="AJ9" s="8">
        <f>IF(AJ$3="","",IFERROR(LEFT(TRIM(INDEX(Forms貼り付け!$A:$AZ,8,AJ$3)),1),""))</f>
        <v/>
      </c>
      <c r="AK9" s="8">
        <f>IF(AK$3="","",IFERROR(LEFT(TRIM(INDEX(Forms貼り付け!$A:$AZ,8,AK$3)),1),""))</f>
        <v/>
      </c>
      <c r="AL9" s="8">
        <f>IF(AL$3="","",IFERROR(LEFT(TRIM(INDEX(Forms貼り付け!$A:$AZ,8,AL$3)),1),""))</f>
        <v/>
      </c>
      <c r="AM9" s="8">
        <f>IF(AM$3="","",IFERROR(LEFT(TRIM(INDEX(Forms貼り付け!$A:$AZ,8,AM$3)),1),""))</f>
        <v/>
      </c>
      <c r="AN9" s="8">
        <f>IF(AN$3="","",IFERROR(LEFT(TRIM(INDEX(Forms貼り付け!$A:$AZ,8,AN$3)),1),""))</f>
        <v/>
      </c>
      <c r="AO9" s="8">
        <f>IF(AO$3="","",IFERROR(LEFT(TRIM(INDEX(Forms貼り付け!$A:$AZ,8,AO$3)),1),""))</f>
        <v/>
      </c>
      <c r="AP9" s="8">
        <f>IF(AP$3="","",IFERROR(LEFT(TRIM(INDEX(Forms貼り付け!$A:$AZ,8,AP$3)),1),""))</f>
        <v/>
      </c>
      <c r="AQ9" s="8">
        <f>IF(AQ$3="","",IFERROR(LEFT(TRIM(INDEX(Forms貼り付け!$A:$AZ,8,AQ$3)),1),""))</f>
        <v/>
      </c>
      <c r="AR9" s="8">
        <f>IF(AR$3="","",IFERROR(LEFT(TRIM(INDEX(Forms貼り付け!$A:$AZ,8,AR$3)),1),""))</f>
        <v/>
      </c>
      <c r="AS9" s="8">
        <f>IF(AS$3="","",IFERROR(LEFT(TRIM(INDEX(Forms貼り付け!$A:$AZ,8,AS$3)),1),""))</f>
        <v/>
      </c>
      <c r="AT9" s="8">
        <f>IF(AT$3="","",IFERROR(LEFT(TRIM(INDEX(Forms貼り付け!$A:$AZ,8,AT$3)),1),""))</f>
        <v/>
      </c>
      <c r="AU9" s="8">
        <f>IF(AU$3="","",IFERROR(LEFT(TRIM(INDEX(Forms貼り付け!$A:$AZ,8,AU$3)),1),""))</f>
        <v/>
      </c>
      <c r="AV9" s="8">
        <f>IF(AV$3="","",IFERROR(LEFT(TRIM(INDEX(Forms貼り付け!$A:$AZ,8,AV$3)),1),""))</f>
        <v/>
      </c>
      <c r="AW9" s="8">
        <f>IF(AW$3="","",IFERROR(LEFT(TRIM(INDEX(Forms貼り付け!$A:$AZ,8,AW$3)),1),""))</f>
        <v/>
      </c>
      <c r="AX9" s="8">
        <f>IF(AX$3="","",IFERROR(LEFT(TRIM(INDEX(Forms貼り付け!$A:$AZ,8,AX$3)),1),""))</f>
        <v/>
      </c>
      <c r="AY9" s="8">
        <f>IF(AY$3="","",IFERROR(LEFT(TRIM(INDEX(Forms貼り付け!$A:$AZ,8,AY$3)),1),""))</f>
        <v/>
      </c>
      <c r="AZ9" s="8">
        <f>IF(AZ$3="","",IFERROR(LEFT(TRIM(INDEX(Forms貼り付け!$A:$AZ,8,AZ$3)),1),""))</f>
        <v/>
      </c>
      <c r="BA9" s="8">
        <f>IF(BA$3="","",IFERROR(LEFT(TRIM(INDEX(Forms貼り付け!$A:$AZ,8,BA$3)),1),""))</f>
        <v/>
      </c>
      <c r="BB9" s="8">
        <f>IF(BB$3="","",IFERROR(LEFT(TRIM(INDEX(Forms貼り付け!$A:$AZ,8,BB$3)),1),""))</f>
        <v/>
      </c>
      <c r="BC9" s="8">
        <f>IF(BC$3="","",IFERROR(LEFT(TRIM(INDEX(Forms貼り付け!$A:$AZ,8,BC$3)),1),""))</f>
        <v/>
      </c>
    </row>
    <row r="10">
      <c r="A10" s="8" t="inlineStr">
        <is>
          <t>U006</t>
        </is>
      </c>
      <c r="B10" s="9">
        <f>IF($B$3="","",INDEX(Forms貼り付け!$A:$AZ,9,$B$3))</f>
        <v/>
      </c>
      <c r="C10" s="9">
        <f>IF($C$3="","",INDEX(Forms貼り付け!$A:$AZ,9,$C$3))</f>
        <v/>
      </c>
      <c r="D10" s="8">
        <f>IF($D$3="","",INDEX(Forms貼り付け!$A:$AZ,9,$D$3))</f>
        <v/>
      </c>
      <c r="E10" s="8">
        <f>IF($E$3="","",INDEX(Forms貼り付け!$A:$AZ,9,$E$3))</f>
        <v/>
      </c>
      <c r="F10" s="8">
        <f>IF(F$3="","",IFERROR(LEFT(TRIM(INDEX(Forms貼り付け!$A:$AZ,9,F$3)),1),""))</f>
        <v/>
      </c>
      <c r="G10" s="8">
        <f>IF(G$3="","",IFERROR(LEFT(TRIM(INDEX(Forms貼り付け!$A:$AZ,9,G$3)),1),""))</f>
        <v/>
      </c>
      <c r="H10" s="8">
        <f>IF(H$3="","",IFERROR(LEFT(TRIM(INDEX(Forms貼り付け!$A:$AZ,9,H$3)),1),""))</f>
        <v/>
      </c>
      <c r="I10" s="8">
        <f>IF(I$3="","",IFERROR(LEFT(TRIM(INDEX(Forms貼り付け!$A:$AZ,9,I$3)),1),""))</f>
        <v/>
      </c>
      <c r="J10" s="8">
        <f>IF(J$3="","",IFERROR(LEFT(TRIM(INDEX(Forms貼り付け!$A:$AZ,9,J$3)),1),""))</f>
        <v/>
      </c>
      <c r="K10" s="8">
        <f>IF(K$3="","",IFERROR(LEFT(TRIM(INDEX(Forms貼り付け!$A:$AZ,9,K$3)),1),""))</f>
        <v/>
      </c>
      <c r="L10" s="8">
        <f>IF(L$3="","",IFERROR(LEFT(TRIM(INDEX(Forms貼り付け!$A:$AZ,9,L$3)),1),""))</f>
        <v/>
      </c>
      <c r="M10" s="8">
        <f>IF(M$3="","",IFERROR(LEFT(TRIM(INDEX(Forms貼り付け!$A:$AZ,9,M$3)),1),""))</f>
        <v/>
      </c>
      <c r="N10" s="8">
        <f>IF(N$3="","",IFERROR(LEFT(TRIM(INDEX(Forms貼り付け!$A:$AZ,9,N$3)),1),""))</f>
        <v/>
      </c>
      <c r="O10" s="8">
        <f>IF(O$3="","",IFERROR(LEFT(TRIM(INDEX(Forms貼り付け!$A:$AZ,9,O$3)),1),""))</f>
        <v/>
      </c>
      <c r="P10" s="8">
        <f>IF(P$3="","",IFERROR(LEFT(TRIM(INDEX(Forms貼り付け!$A:$AZ,9,P$3)),1),""))</f>
        <v/>
      </c>
      <c r="Q10" s="8">
        <f>IF(Q$3="","",IFERROR(LEFT(TRIM(INDEX(Forms貼り付け!$A:$AZ,9,Q$3)),1),""))</f>
        <v/>
      </c>
      <c r="R10" s="8">
        <f>IF(R$3="","",IFERROR(LEFT(TRIM(INDEX(Forms貼り付け!$A:$AZ,9,R$3)),1),""))</f>
        <v/>
      </c>
      <c r="S10" s="8">
        <f>IF(S$3="","",IFERROR(LEFT(TRIM(INDEX(Forms貼り付け!$A:$AZ,9,S$3)),1),""))</f>
        <v/>
      </c>
      <c r="T10" s="8">
        <f>IF(T$3="","",IFERROR(LEFT(TRIM(INDEX(Forms貼り付け!$A:$AZ,9,T$3)),1),""))</f>
        <v/>
      </c>
      <c r="U10" s="8">
        <f>IF(U$3="","",IFERROR(LEFT(TRIM(INDEX(Forms貼り付け!$A:$AZ,9,U$3)),1),""))</f>
        <v/>
      </c>
      <c r="V10" s="8">
        <f>IF(V$3="","",IFERROR(LEFT(TRIM(INDEX(Forms貼り付け!$A:$AZ,9,V$3)),1),""))</f>
        <v/>
      </c>
      <c r="W10" s="8">
        <f>IF(W$3="","",IFERROR(LEFT(TRIM(INDEX(Forms貼り付け!$A:$AZ,9,W$3)),1),""))</f>
        <v/>
      </c>
      <c r="X10" s="8">
        <f>IF(X$3="","",IFERROR(LEFT(TRIM(INDEX(Forms貼り付け!$A:$AZ,9,X$3)),1),""))</f>
        <v/>
      </c>
      <c r="Y10" s="8">
        <f>IF(Y$3="","",IFERROR(LEFT(TRIM(INDEX(Forms貼り付け!$A:$AZ,9,Y$3)),1),""))</f>
        <v/>
      </c>
      <c r="Z10" s="8">
        <f>IF(Z$3="","",IFERROR(LEFT(TRIM(INDEX(Forms貼り付け!$A:$AZ,9,Z$3)),1),""))</f>
        <v/>
      </c>
      <c r="AA10" s="8">
        <f>IF(AA$3="","",IFERROR(LEFT(TRIM(INDEX(Forms貼り付け!$A:$AZ,9,AA$3)),1),""))</f>
        <v/>
      </c>
      <c r="AB10" s="8">
        <f>IF(AB$3="","",IFERROR(LEFT(TRIM(INDEX(Forms貼り付け!$A:$AZ,9,AB$3)),1),""))</f>
        <v/>
      </c>
      <c r="AC10" s="8">
        <f>IF(AC$3="","",IFERROR(LEFT(TRIM(INDEX(Forms貼り付け!$A:$AZ,9,AC$3)),1),""))</f>
        <v/>
      </c>
      <c r="AD10" s="8">
        <f>IF(AD$3="","",IFERROR(LEFT(TRIM(INDEX(Forms貼り付け!$A:$AZ,9,AD$3)),1),""))</f>
        <v/>
      </c>
      <c r="AE10" s="8">
        <f>IF(AE$3="","",IFERROR(LEFT(TRIM(INDEX(Forms貼り付け!$A:$AZ,9,AE$3)),1),""))</f>
        <v/>
      </c>
      <c r="AF10" s="8">
        <f>IF(AF$3="","",IFERROR(LEFT(TRIM(INDEX(Forms貼り付け!$A:$AZ,9,AF$3)),1),""))</f>
        <v/>
      </c>
      <c r="AG10" s="8">
        <f>IF(AG$3="","",IFERROR(LEFT(TRIM(INDEX(Forms貼り付け!$A:$AZ,9,AG$3)),1),""))</f>
        <v/>
      </c>
      <c r="AH10" s="8">
        <f>IF(AH$3="","",IFERROR(LEFT(TRIM(INDEX(Forms貼り付け!$A:$AZ,9,AH$3)),1),""))</f>
        <v/>
      </c>
      <c r="AI10" s="8">
        <f>IF(AI$3="","",IFERROR(LEFT(TRIM(INDEX(Forms貼り付け!$A:$AZ,9,AI$3)),1),""))</f>
        <v/>
      </c>
      <c r="AJ10" s="8">
        <f>IF(AJ$3="","",IFERROR(LEFT(TRIM(INDEX(Forms貼り付け!$A:$AZ,9,AJ$3)),1),""))</f>
        <v/>
      </c>
      <c r="AK10" s="8">
        <f>IF(AK$3="","",IFERROR(LEFT(TRIM(INDEX(Forms貼り付け!$A:$AZ,9,AK$3)),1),""))</f>
        <v/>
      </c>
      <c r="AL10" s="8">
        <f>IF(AL$3="","",IFERROR(LEFT(TRIM(INDEX(Forms貼り付け!$A:$AZ,9,AL$3)),1),""))</f>
        <v/>
      </c>
      <c r="AM10" s="8">
        <f>IF(AM$3="","",IFERROR(LEFT(TRIM(INDEX(Forms貼り付け!$A:$AZ,9,AM$3)),1),""))</f>
        <v/>
      </c>
      <c r="AN10" s="8">
        <f>IF(AN$3="","",IFERROR(LEFT(TRIM(INDEX(Forms貼り付け!$A:$AZ,9,AN$3)),1),""))</f>
        <v/>
      </c>
      <c r="AO10" s="8">
        <f>IF(AO$3="","",IFERROR(LEFT(TRIM(INDEX(Forms貼り付け!$A:$AZ,9,AO$3)),1),""))</f>
        <v/>
      </c>
      <c r="AP10" s="8">
        <f>IF(AP$3="","",IFERROR(LEFT(TRIM(INDEX(Forms貼り付け!$A:$AZ,9,AP$3)),1),""))</f>
        <v/>
      </c>
      <c r="AQ10" s="8">
        <f>IF(AQ$3="","",IFERROR(LEFT(TRIM(INDEX(Forms貼り付け!$A:$AZ,9,AQ$3)),1),""))</f>
        <v/>
      </c>
      <c r="AR10" s="8">
        <f>IF(AR$3="","",IFERROR(LEFT(TRIM(INDEX(Forms貼り付け!$A:$AZ,9,AR$3)),1),""))</f>
        <v/>
      </c>
      <c r="AS10" s="8">
        <f>IF(AS$3="","",IFERROR(LEFT(TRIM(INDEX(Forms貼り付け!$A:$AZ,9,AS$3)),1),""))</f>
        <v/>
      </c>
      <c r="AT10" s="8">
        <f>IF(AT$3="","",IFERROR(LEFT(TRIM(INDEX(Forms貼り付け!$A:$AZ,9,AT$3)),1),""))</f>
        <v/>
      </c>
      <c r="AU10" s="8">
        <f>IF(AU$3="","",IFERROR(LEFT(TRIM(INDEX(Forms貼り付け!$A:$AZ,9,AU$3)),1),""))</f>
        <v/>
      </c>
      <c r="AV10" s="8">
        <f>IF(AV$3="","",IFERROR(LEFT(TRIM(INDEX(Forms貼り付け!$A:$AZ,9,AV$3)),1),""))</f>
        <v/>
      </c>
      <c r="AW10" s="8">
        <f>IF(AW$3="","",IFERROR(LEFT(TRIM(INDEX(Forms貼り付け!$A:$AZ,9,AW$3)),1),""))</f>
        <v/>
      </c>
      <c r="AX10" s="8">
        <f>IF(AX$3="","",IFERROR(LEFT(TRIM(INDEX(Forms貼り付け!$A:$AZ,9,AX$3)),1),""))</f>
        <v/>
      </c>
      <c r="AY10" s="8">
        <f>IF(AY$3="","",IFERROR(LEFT(TRIM(INDEX(Forms貼り付け!$A:$AZ,9,AY$3)),1),""))</f>
        <v/>
      </c>
      <c r="AZ10" s="8">
        <f>IF(AZ$3="","",IFERROR(LEFT(TRIM(INDEX(Forms貼り付け!$A:$AZ,9,AZ$3)),1),""))</f>
        <v/>
      </c>
      <c r="BA10" s="8">
        <f>IF(BA$3="","",IFERROR(LEFT(TRIM(INDEX(Forms貼り付け!$A:$AZ,9,BA$3)),1),""))</f>
        <v/>
      </c>
      <c r="BB10" s="8">
        <f>IF(BB$3="","",IFERROR(LEFT(TRIM(INDEX(Forms貼り付け!$A:$AZ,9,BB$3)),1),""))</f>
        <v/>
      </c>
      <c r="BC10" s="8">
        <f>IF(BC$3="","",IFERROR(LEFT(TRIM(INDEX(Forms貼り付け!$A:$AZ,9,BC$3)),1),""))</f>
        <v/>
      </c>
    </row>
    <row r="11">
      <c r="A11" s="8" t="inlineStr">
        <is>
          <t>U007</t>
        </is>
      </c>
      <c r="B11" s="9">
        <f>IF($B$3="","",INDEX(Forms貼り付け!$A:$AZ,10,$B$3))</f>
        <v/>
      </c>
      <c r="C11" s="9">
        <f>IF($C$3="","",INDEX(Forms貼り付け!$A:$AZ,10,$C$3))</f>
        <v/>
      </c>
      <c r="D11" s="8">
        <f>IF($D$3="","",INDEX(Forms貼り付け!$A:$AZ,10,$D$3))</f>
        <v/>
      </c>
      <c r="E11" s="8">
        <f>IF($E$3="","",INDEX(Forms貼り付け!$A:$AZ,10,$E$3))</f>
        <v/>
      </c>
      <c r="F11" s="8">
        <f>IF(F$3="","",IFERROR(LEFT(TRIM(INDEX(Forms貼り付け!$A:$AZ,10,F$3)),1),""))</f>
        <v/>
      </c>
      <c r="G11" s="8">
        <f>IF(G$3="","",IFERROR(LEFT(TRIM(INDEX(Forms貼り付け!$A:$AZ,10,G$3)),1),""))</f>
        <v/>
      </c>
      <c r="H11" s="8">
        <f>IF(H$3="","",IFERROR(LEFT(TRIM(INDEX(Forms貼り付け!$A:$AZ,10,H$3)),1),""))</f>
        <v/>
      </c>
      <c r="I11" s="8">
        <f>IF(I$3="","",IFERROR(LEFT(TRIM(INDEX(Forms貼り付け!$A:$AZ,10,I$3)),1),""))</f>
        <v/>
      </c>
      <c r="J11" s="8">
        <f>IF(J$3="","",IFERROR(LEFT(TRIM(INDEX(Forms貼り付け!$A:$AZ,10,J$3)),1),""))</f>
        <v/>
      </c>
      <c r="K11" s="8">
        <f>IF(K$3="","",IFERROR(LEFT(TRIM(INDEX(Forms貼り付け!$A:$AZ,10,K$3)),1),""))</f>
        <v/>
      </c>
      <c r="L11" s="8">
        <f>IF(L$3="","",IFERROR(LEFT(TRIM(INDEX(Forms貼り付け!$A:$AZ,10,L$3)),1),""))</f>
        <v/>
      </c>
      <c r="M11" s="8">
        <f>IF(M$3="","",IFERROR(LEFT(TRIM(INDEX(Forms貼り付け!$A:$AZ,10,M$3)),1),""))</f>
        <v/>
      </c>
      <c r="N11" s="8">
        <f>IF(N$3="","",IFERROR(LEFT(TRIM(INDEX(Forms貼り付け!$A:$AZ,10,N$3)),1),""))</f>
        <v/>
      </c>
      <c r="O11" s="8">
        <f>IF(O$3="","",IFERROR(LEFT(TRIM(INDEX(Forms貼り付け!$A:$AZ,10,O$3)),1),""))</f>
        <v/>
      </c>
      <c r="P11" s="8">
        <f>IF(P$3="","",IFERROR(LEFT(TRIM(INDEX(Forms貼り付け!$A:$AZ,10,P$3)),1),""))</f>
        <v/>
      </c>
      <c r="Q11" s="8">
        <f>IF(Q$3="","",IFERROR(LEFT(TRIM(INDEX(Forms貼り付け!$A:$AZ,10,Q$3)),1),""))</f>
        <v/>
      </c>
      <c r="R11" s="8">
        <f>IF(R$3="","",IFERROR(LEFT(TRIM(INDEX(Forms貼り付け!$A:$AZ,10,R$3)),1),""))</f>
        <v/>
      </c>
      <c r="S11" s="8">
        <f>IF(S$3="","",IFERROR(LEFT(TRIM(INDEX(Forms貼り付け!$A:$AZ,10,S$3)),1),""))</f>
        <v/>
      </c>
      <c r="T11" s="8">
        <f>IF(T$3="","",IFERROR(LEFT(TRIM(INDEX(Forms貼り付け!$A:$AZ,10,T$3)),1),""))</f>
        <v/>
      </c>
      <c r="U11" s="8">
        <f>IF(U$3="","",IFERROR(LEFT(TRIM(INDEX(Forms貼り付け!$A:$AZ,10,U$3)),1),""))</f>
        <v/>
      </c>
      <c r="V11" s="8">
        <f>IF(V$3="","",IFERROR(LEFT(TRIM(INDEX(Forms貼り付け!$A:$AZ,10,V$3)),1),""))</f>
        <v/>
      </c>
      <c r="W11" s="8">
        <f>IF(W$3="","",IFERROR(LEFT(TRIM(INDEX(Forms貼り付け!$A:$AZ,10,W$3)),1),""))</f>
        <v/>
      </c>
      <c r="X11" s="8">
        <f>IF(X$3="","",IFERROR(LEFT(TRIM(INDEX(Forms貼り付け!$A:$AZ,10,X$3)),1),""))</f>
        <v/>
      </c>
      <c r="Y11" s="8">
        <f>IF(Y$3="","",IFERROR(LEFT(TRIM(INDEX(Forms貼り付け!$A:$AZ,10,Y$3)),1),""))</f>
        <v/>
      </c>
      <c r="Z11" s="8">
        <f>IF(Z$3="","",IFERROR(LEFT(TRIM(INDEX(Forms貼り付け!$A:$AZ,10,Z$3)),1),""))</f>
        <v/>
      </c>
      <c r="AA11" s="8">
        <f>IF(AA$3="","",IFERROR(LEFT(TRIM(INDEX(Forms貼り付け!$A:$AZ,10,AA$3)),1),""))</f>
        <v/>
      </c>
      <c r="AB11" s="8">
        <f>IF(AB$3="","",IFERROR(LEFT(TRIM(INDEX(Forms貼り付け!$A:$AZ,10,AB$3)),1),""))</f>
        <v/>
      </c>
      <c r="AC11" s="8">
        <f>IF(AC$3="","",IFERROR(LEFT(TRIM(INDEX(Forms貼り付け!$A:$AZ,10,AC$3)),1),""))</f>
        <v/>
      </c>
      <c r="AD11" s="8">
        <f>IF(AD$3="","",IFERROR(LEFT(TRIM(INDEX(Forms貼り付け!$A:$AZ,10,AD$3)),1),""))</f>
        <v/>
      </c>
      <c r="AE11" s="8">
        <f>IF(AE$3="","",IFERROR(LEFT(TRIM(INDEX(Forms貼り付け!$A:$AZ,10,AE$3)),1),""))</f>
        <v/>
      </c>
      <c r="AF11" s="8">
        <f>IF(AF$3="","",IFERROR(LEFT(TRIM(INDEX(Forms貼り付け!$A:$AZ,10,AF$3)),1),""))</f>
        <v/>
      </c>
      <c r="AG11" s="8">
        <f>IF(AG$3="","",IFERROR(LEFT(TRIM(INDEX(Forms貼り付け!$A:$AZ,10,AG$3)),1),""))</f>
        <v/>
      </c>
      <c r="AH11" s="8">
        <f>IF(AH$3="","",IFERROR(LEFT(TRIM(INDEX(Forms貼り付け!$A:$AZ,10,AH$3)),1),""))</f>
        <v/>
      </c>
      <c r="AI11" s="8">
        <f>IF(AI$3="","",IFERROR(LEFT(TRIM(INDEX(Forms貼り付け!$A:$AZ,10,AI$3)),1),""))</f>
        <v/>
      </c>
      <c r="AJ11" s="8">
        <f>IF(AJ$3="","",IFERROR(LEFT(TRIM(INDEX(Forms貼り付け!$A:$AZ,10,AJ$3)),1),""))</f>
        <v/>
      </c>
      <c r="AK11" s="8">
        <f>IF(AK$3="","",IFERROR(LEFT(TRIM(INDEX(Forms貼り付け!$A:$AZ,10,AK$3)),1),""))</f>
        <v/>
      </c>
      <c r="AL11" s="8">
        <f>IF(AL$3="","",IFERROR(LEFT(TRIM(INDEX(Forms貼り付け!$A:$AZ,10,AL$3)),1),""))</f>
        <v/>
      </c>
      <c r="AM11" s="8">
        <f>IF(AM$3="","",IFERROR(LEFT(TRIM(INDEX(Forms貼り付け!$A:$AZ,10,AM$3)),1),""))</f>
        <v/>
      </c>
      <c r="AN11" s="8">
        <f>IF(AN$3="","",IFERROR(LEFT(TRIM(INDEX(Forms貼り付け!$A:$AZ,10,AN$3)),1),""))</f>
        <v/>
      </c>
      <c r="AO11" s="8">
        <f>IF(AO$3="","",IFERROR(LEFT(TRIM(INDEX(Forms貼り付け!$A:$AZ,10,AO$3)),1),""))</f>
        <v/>
      </c>
      <c r="AP11" s="8">
        <f>IF(AP$3="","",IFERROR(LEFT(TRIM(INDEX(Forms貼り付け!$A:$AZ,10,AP$3)),1),""))</f>
        <v/>
      </c>
      <c r="AQ11" s="8">
        <f>IF(AQ$3="","",IFERROR(LEFT(TRIM(INDEX(Forms貼り付け!$A:$AZ,10,AQ$3)),1),""))</f>
        <v/>
      </c>
      <c r="AR11" s="8">
        <f>IF(AR$3="","",IFERROR(LEFT(TRIM(INDEX(Forms貼り付け!$A:$AZ,10,AR$3)),1),""))</f>
        <v/>
      </c>
      <c r="AS11" s="8">
        <f>IF(AS$3="","",IFERROR(LEFT(TRIM(INDEX(Forms貼り付け!$A:$AZ,10,AS$3)),1),""))</f>
        <v/>
      </c>
      <c r="AT11" s="8">
        <f>IF(AT$3="","",IFERROR(LEFT(TRIM(INDEX(Forms貼り付け!$A:$AZ,10,AT$3)),1),""))</f>
        <v/>
      </c>
      <c r="AU11" s="8">
        <f>IF(AU$3="","",IFERROR(LEFT(TRIM(INDEX(Forms貼り付け!$A:$AZ,10,AU$3)),1),""))</f>
        <v/>
      </c>
      <c r="AV11" s="8">
        <f>IF(AV$3="","",IFERROR(LEFT(TRIM(INDEX(Forms貼り付け!$A:$AZ,10,AV$3)),1),""))</f>
        <v/>
      </c>
      <c r="AW11" s="8">
        <f>IF(AW$3="","",IFERROR(LEFT(TRIM(INDEX(Forms貼り付け!$A:$AZ,10,AW$3)),1),""))</f>
        <v/>
      </c>
      <c r="AX11" s="8">
        <f>IF(AX$3="","",IFERROR(LEFT(TRIM(INDEX(Forms貼り付け!$A:$AZ,10,AX$3)),1),""))</f>
        <v/>
      </c>
      <c r="AY11" s="8">
        <f>IF(AY$3="","",IFERROR(LEFT(TRIM(INDEX(Forms貼り付け!$A:$AZ,10,AY$3)),1),""))</f>
        <v/>
      </c>
      <c r="AZ11" s="8">
        <f>IF(AZ$3="","",IFERROR(LEFT(TRIM(INDEX(Forms貼り付け!$A:$AZ,10,AZ$3)),1),""))</f>
        <v/>
      </c>
      <c r="BA11" s="8">
        <f>IF(BA$3="","",IFERROR(LEFT(TRIM(INDEX(Forms貼り付け!$A:$AZ,10,BA$3)),1),""))</f>
        <v/>
      </c>
      <c r="BB11" s="8">
        <f>IF(BB$3="","",IFERROR(LEFT(TRIM(INDEX(Forms貼り付け!$A:$AZ,10,BB$3)),1),""))</f>
        <v/>
      </c>
      <c r="BC11" s="8">
        <f>IF(BC$3="","",IFERROR(LEFT(TRIM(INDEX(Forms貼り付け!$A:$AZ,10,BC$3)),1),""))</f>
        <v/>
      </c>
    </row>
    <row r="12">
      <c r="A12" s="8" t="inlineStr">
        <is>
          <t>U008</t>
        </is>
      </c>
      <c r="B12" s="9">
        <f>IF($B$3="","",INDEX(Forms貼り付け!$A:$AZ,11,$B$3))</f>
        <v/>
      </c>
      <c r="C12" s="9">
        <f>IF($C$3="","",INDEX(Forms貼り付け!$A:$AZ,11,$C$3))</f>
        <v/>
      </c>
      <c r="D12" s="8">
        <f>IF($D$3="","",INDEX(Forms貼り付け!$A:$AZ,11,$D$3))</f>
        <v/>
      </c>
      <c r="E12" s="8">
        <f>IF($E$3="","",INDEX(Forms貼り付け!$A:$AZ,11,$E$3))</f>
        <v/>
      </c>
      <c r="F12" s="8">
        <f>IF(F$3="","",IFERROR(LEFT(TRIM(INDEX(Forms貼り付け!$A:$AZ,11,F$3)),1),""))</f>
        <v/>
      </c>
      <c r="G12" s="8">
        <f>IF(G$3="","",IFERROR(LEFT(TRIM(INDEX(Forms貼り付け!$A:$AZ,11,G$3)),1),""))</f>
        <v/>
      </c>
      <c r="H12" s="8">
        <f>IF(H$3="","",IFERROR(LEFT(TRIM(INDEX(Forms貼り付け!$A:$AZ,11,H$3)),1),""))</f>
        <v/>
      </c>
      <c r="I12" s="8">
        <f>IF(I$3="","",IFERROR(LEFT(TRIM(INDEX(Forms貼り付け!$A:$AZ,11,I$3)),1),""))</f>
        <v/>
      </c>
      <c r="J12" s="8">
        <f>IF(J$3="","",IFERROR(LEFT(TRIM(INDEX(Forms貼り付け!$A:$AZ,11,J$3)),1),""))</f>
        <v/>
      </c>
      <c r="K12" s="8">
        <f>IF(K$3="","",IFERROR(LEFT(TRIM(INDEX(Forms貼り付け!$A:$AZ,11,K$3)),1),""))</f>
        <v/>
      </c>
      <c r="L12" s="8">
        <f>IF(L$3="","",IFERROR(LEFT(TRIM(INDEX(Forms貼り付け!$A:$AZ,11,L$3)),1),""))</f>
        <v/>
      </c>
      <c r="M12" s="8">
        <f>IF(M$3="","",IFERROR(LEFT(TRIM(INDEX(Forms貼り付け!$A:$AZ,11,M$3)),1),""))</f>
        <v/>
      </c>
      <c r="N12" s="8">
        <f>IF(N$3="","",IFERROR(LEFT(TRIM(INDEX(Forms貼り付け!$A:$AZ,11,N$3)),1),""))</f>
        <v/>
      </c>
      <c r="O12" s="8">
        <f>IF(O$3="","",IFERROR(LEFT(TRIM(INDEX(Forms貼り付け!$A:$AZ,11,O$3)),1),""))</f>
        <v/>
      </c>
      <c r="P12" s="8">
        <f>IF(P$3="","",IFERROR(LEFT(TRIM(INDEX(Forms貼り付け!$A:$AZ,11,P$3)),1),""))</f>
        <v/>
      </c>
      <c r="Q12" s="8">
        <f>IF(Q$3="","",IFERROR(LEFT(TRIM(INDEX(Forms貼り付け!$A:$AZ,11,Q$3)),1),""))</f>
        <v/>
      </c>
      <c r="R12" s="8">
        <f>IF(R$3="","",IFERROR(LEFT(TRIM(INDEX(Forms貼り付け!$A:$AZ,11,R$3)),1),""))</f>
        <v/>
      </c>
      <c r="S12" s="8">
        <f>IF(S$3="","",IFERROR(LEFT(TRIM(INDEX(Forms貼り付け!$A:$AZ,11,S$3)),1),""))</f>
        <v/>
      </c>
      <c r="T12" s="8">
        <f>IF(T$3="","",IFERROR(LEFT(TRIM(INDEX(Forms貼り付け!$A:$AZ,11,T$3)),1),""))</f>
        <v/>
      </c>
      <c r="U12" s="8">
        <f>IF(U$3="","",IFERROR(LEFT(TRIM(INDEX(Forms貼り付け!$A:$AZ,11,U$3)),1),""))</f>
        <v/>
      </c>
      <c r="V12" s="8">
        <f>IF(V$3="","",IFERROR(LEFT(TRIM(INDEX(Forms貼り付け!$A:$AZ,11,V$3)),1),""))</f>
        <v/>
      </c>
      <c r="W12" s="8">
        <f>IF(W$3="","",IFERROR(LEFT(TRIM(INDEX(Forms貼り付け!$A:$AZ,11,W$3)),1),""))</f>
        <v/>
      </c>
      <c r="X12" s="8">
        <f>IF(X$3="","",IFERROR(LEFT(TRIM(INDEX(Forms貼り付け!$A:$AZ,11,X$3)),1),""))</f>
        <v/>
      </c>
      <c r="Y12" s="8">
        <f>IF(Y$3="","",IFERROR(LEFT(TRIM(INDEX(Forms貼り付け!$A:$AZ,11,Y$3)),1),""))</f>
        <v/>
      </c>
      <c r="Z12" s="8">
        <f>IF(Z$3="","",IFERROR(LEFT(TRIM(INDEX(Forms貼り付け!$A:$AZ,11,Z$3)),1),""))</f>
        <v/>
      </c>
      <c r="AA12" s="8">
        <f>IF(AA$3="","",IFERROR(LEFT(TRIM(INDEX(Forms貼り付け!$A:$AZ,11,AA$3)),1),""))</f>
        <v/>
      </c>
      <c r="AB12" s="8">
        <f>IF(AB$3="","",IFERROR(LEFT(TRIM(INDEX(Forms貼り付け!$A:$AZ,11,AB$3)),1),""))</f>
        <v/>
      </c>
      <c r="AC12" s="8">
        <f>IF(AC$3="","",IFERROR(LEFT(TRIM(INDEX(Forms貼り付け!$A:$AZ,11,AC$3)),1),""))</f>
        <v/>
      </c>
      <c r="AD12" s="8">
        <f>IF(AD$3="","",IFERROR(LEFT(TRIM(INDEX(Forms貼り付け!$A:$AZ,11,AD$3)),1),""))</f>
        <v/>
      </c>
      <c r="AE12" s="8">
        <f>IF(AE$3="","",IFERROR(LEFT(TRIM(INDEX(Forms貼り付け!$A:$AZ,11,AE$3)),1),""))</f>
        <v/>
      </c>
      <c r="AF12" s="8">
        <f>IF(AF$3="","",IFERROR(LEFT(TRIM(INDEX(Forms貼り付け!$A:$AZ,11,AF$3)),1),""))</f>
        <v/>
      </c>
      <c r="AG12" s="8">
        <f>IF(AG$3="","",IFERROR(LEFT(TRIM(INDEX(Forms貼り付け!$A:$AZ,11,AG$3)),1),""))</f>
        <v/>
      </c>
      <c r="AH12" s="8">
        <f>IF(AH$3="","",IFERROR(LEFT(TRIM(INDEX(Forms貼り付け!$A:$AZ,11,AH$3)),1),""))</f>
        <v/>
      </c>
      <c r="AI12" s="8">
        <f>IF(AI$3="","",IFERROR(LEFT(TRIM(INDEX(Forms貼り付け!$A:$AZ,11,AI$3)),1),""))</f>
        <v/>
      </c>
      <c r="AJ12" s="8">
        <f>IF(AJ$3="","",IFERROR(LEFT(TRIM(INDEX(Forms貼り付け!$A:$AZ,11,AJ$3)),1),""))</f>
        <v/>
      </c>
      <c r="AK12" s="8">
        <f>IF(AK$3="","",IFERROR(LEFT(TRIM(INDEX(Forms貼り付け!$A:$AZ,11,AK$3)),1),""))</f>
        <v/>
      </c>
      <c r="AL12" s="8">
        <f>IF(AL$3="","",IFERROR(LEFT(TRIM(INDEX(Forms貼り付け!$A:$AZ,11,AL$3)),1),""))</f>
        <v/>
      </c>
      <c r="AM12" s="8">
        <f>IF(AM$3="","",IFERROR(LEFT(TRIM(INDEX(Forms貼り付け!$A:$AZ,11,AM$3)),1),""))</f>
        <v/>
      </c>
      <c r="AN12" s="8">
        <f>IF(AN$3="","",IFERROR(LEFT(TRIM(INDEX(Forms貼り付け!$A:$AZ,11,AN$3)),1),""))</f>
        <v/>
      </c>
      <c r="AO12" s="8">
        <f>IF(AO$3="","",IFERROR(LEFT(TRIM(INDEX(Forms貼り付け!$A:$AZ,11,AO$3)),1),""))</f>
        <v/>
      </c>
      <c r="AP12" s="8">
        <f>IF(AP$3="","",IFERROR(LEFT(TRIM(INDEX(Forms貼り付け!$A:$AZ,11,AP$3)),1),""))</f>
        <v/>
      </c>
      <c r="AQ12" s="8">
        <f>IF(AQ$3="","",IFERROR(LEFT(TRIM(INDEX(Forms貼り付け!$A:$AZ,11,AQ$3)),1),""))</f>
        <v/>
      </c>
      <c r="AR12" s="8">
        <f>IF(AR$3="","",IFERROR(LEFT(TRIM(INDEX(Forms貼り付け!$A:$AZ,11,AR$3)),1),""))</f>
        <v/>
      </c>
      <c r="AS12" s="8">
        <f>IF(AS$3="","",IFERROR(LEFT(TRIM(INDEX(Forms貼り付け!$A:$AZ,11,AS$3)),1),""))</f>
        <v/>
      </c>
      <c r="AT12" s="8">
        <f>IF(AT$3="","",IFERROR(LEFT(TRIM(INDEX(Forms貼り付け!$A:$AZ,11,AT$3)),1),""))</f>
        <v/>
      </c>
      <c r="AU12" s="8">
        <f>IF(AU$3="","",IFERROR(LEFT(TRIM(INDEX(Forms貼り付け!$A:$AZ,11,AU$3)),1),""))</f>
        <v/>
      </c>
      <c r="AV12" s="8">
        <f>IF(AV$3="","",IFERROR(LEFT(TRIM(INDEX(Forms貼り付け!$A:$AZ,11,AV$3)),1),""))</f>
        <v/>
      </c>
      <c r="AW12" s="8">
        <f>IF(AW$3="","",IFERROR(LEFT(TRIM(INDEX(Forms貼り付け!$A:$AZ,11,AW$3)),1),""))</f>
        <v/>
      </c>
      <c r="AX12" s="8">
        <f>IF(AX$3="","",IFERROR(LEFT(TRIM(INDEX(Forms貼り付け!$A:$AZ,11,AX$3)),1),""))</f>
        <v/>
      </c>
      <c r="AY12" s="8">
        <f>IF(AY$3="","",IFERROR(LEFT(TRIM(INDEX(Forms貼り付け!$A:$AZ,11,AY$3)),1),""))</f>
        <v/>
      </c>
      <c r="AZ12" s="8">
        <f>IF(AZ$3="","",IFERROR(LEFT(TRIM(INDEX(Forms貼り付け!$A:$AZ,11,AZ$3)),1),""))</f>
        <v/>
      </c>
      <c r="BA12" s="8">
        <f>IF(BA$3="","",IFERROR(LEFT(TRIM(INDEX(Forms貼り付け!$A:$AZ,11,BA$3)),1),""))</f>
        <v/>
      </c>
      <c r="BB12" s="8">
        <f>IF(BB$3="","",IFERROR(LEFT(TRIM(INDEX(Forms貼り付け!$A:$AZ,11,BB$3)),1),""))</f>
        <v/>
      </c>
      <c r="BC12" s="8">
        <f>IF(BC$3="","",IFERROR(LEFT(TRIM(INDEX(Forms貼り付け!$A:$AZ,11,BC$3)),1),""))</f>
        <v/>
      </c>
    </row>
    <row r="13">
      <c r="A13" s="8" t="inlineStr">
        <is>
          <t>U009</t>
        </is>
      </c>
      <c r="B13" s="9">
        <f>IF($B$3="","",INDEX(Forms貼り付け!$A:$AZ,12,$B$3))</f>
        <v/>
      </c>
      <c r="C13" s="9">
        <f>IF($C$3="","",INDEX(Forms貼り付け!$A:$AZ,12,$C$3))</f>
        <v/>
      </c>
      <c r="D13" s="8">
        <f>IF($D$3="","",INDEX(Forms貼り付け!$A:$AZ,12,$D$3))</f>
        <v/>
      </c>
      <c r="E13" s="8">
        <f>IF($E$3="","",INDEX(Forms貼り付け!$A:$AZ,12,$E$3))</f>
        <v/>
      </c>
      <c r="F13" s="8">
        <f>IF(F$3="","",IFERROR(LEFT(TRIM(INDEX(Forms貼り付け!$A:$AZ,12,F$3)),1),""))</f>
        <v/>
      </c>
      <c r="G13" s="8">
        <f>IF(G$3="","",IFERROR(LEFT(TRIM(INDEX(Forms貼り付け!$A:$AZ,12,G$3)),1),""))</f>
        <v/>
      </c>
      <c r="H13" s="8">
        <f>IF(H$3="","",IFERROR(LEFT(TRIM(INDEX(Forms貼り付け!$A:$AZ,12,H$3)),1),""))</f>
        <v/>
      </c>
      <c r="I13" s="8">
        <f>IF(I$3="","",IFERROR(LEFT(TRIM(INDEX(Forms貼り付け!$A:$AZ,12,I$3)),1),""))</f>
        <v/>
      </c>
      <c r="J13" s="8">
        <f>IF(J$3="","",IFERROR(LEFT(TRIM(INDEX(Forms貼り付け!$A:$AZ,12,J$3)),1),""))</f>
        <v/>
      </c>
      <c r="K13" s="8">
        <f>IF(K$3="","",IFERROR(LEFT(TRIM(INDEX(Forms貼り付け!$A:$AZ,12,K$3)),1),""))</f>
        <v/>
      </c>
      <c r="L13" s="8">
        <f>IF(L$3="","",IFERROR(LEFT(TRIM(INDEX(Forms貼り付け!$A:$AZ,12,L$3)),1),""))</f>
        <v/>
      </c>
      <c r="M13" s="8">
        <f>IF(M$3="","",IFERROR(LEFT(TRIM(INDEX(Forms貼り付け!$A:$AZ,12,M$3)),1),""))</f>
        <v/>
      </c>
      <c r="N13" s="8">
        <f>IF(N$3="","",IFERROR(LEFT(TRIM(INDEX(Forms貼り付け!$A:$AZ,12,N$3)),1),""))</f>
        <v/>
      </c>
      <c r="O13" s="8">
        <f>IF(O$3="","",IFERROR(LEFT(TRIM(INDEX(Forms貼り付け!$A:$AZ,12,O$3)),1),""))</f>
        <v/>
      </c>
      <c r="P13" s="8">
        <f>IF(P$3="","",IFERROR(LEFT(TRIM(INDEX(Forms貼り付け!$A:$AZ,12,P$3)),1),""))</f>
        <v/>
      </c>
      <c r="Q13" s="8">
        <f>IF(Q$3="","",IFERROR(LEFT(TRIM(INDEX(Forms貼り付け!$A:$AZ,12,Q$3)),1),""))</f>
        <v/>
      </c>
      <c r="R13" s="8">
        <f>IF(R$3="","",IFERROR(LEFT(TRIM(INDEX(Forms貼り付け!$A:$AZ,12,R$3)),1),""))</f>
        <v/>
      </c>
      <c r="S13" s="8">
        <f>IF(S$3="","",IFERROR(LEFT(TRIM(INDEX(Forms貼り付け!$A:$AZ,12,S$3)),1),""))</f>
        <v/>
      </c>
      <c r="T13" s="8">
        <f>IF(T$3="","",IFERROR(LEFT(TRIM(INDEX(Forms貼り付け!$A:$AZ,12,T$3)),1),""))</f>
        <v/>
      </c>
      <c r="U13" s="8">
        <f>IF(U$3="","",IFERROR(LEFT(TRIM(INDEX(Forms貼り付け!$A:$AZ,12,U$3)),1),""))</f>
        <v/>
      </c>
      <c r="V13" s="8">
        <f>IF(V$3="","",IFERROR(LEFT(TRIM(INDEX(Forms貼り付け!$A:$AZ,12,V$3)),1),""))</f>
        <v/>
      </c>
      <c r="W13" s="8">
        <f>IF(W$3="","",IFERROR(LEFT(TRIM(INDEX(Forms貼り付け!$A:$AZ,12,W$3)),1),""))</f>
        <v/>
      </c>
      <c r="X13" s="8">
        <f>IF(X$3="","",IFERROR(LEFT(TRIM(INDEX(Forms貼り付け!$A:$AZ,12,X$3)),1),""))</f>
        <v/>
      </c>
      <c r="Y13" s="8">
        <f>IF(Y$3="","",IFERROR(LEFT(TRIM(INDEX(Forms貼り付け!$A:$AZ,12,Y$3)),1),""))</f>
        <v/>
      </c>
      <c r="Z13" s="8">
        <f>IF(Z$3="","",IFERROR(LEFT(TRIM(INDEX(Forms貼り付け!$A:$AZ,12,Z$3)),1),""))</f>
        <v/>
      </c>
      <c r="AA13" s="8">
        <f>IF(AA$3="","",IFERROR(LEFT(TRIM(INDEX(Forms貼り付け!$A:$AZ,12,AA$3)),1),""))</f>
        <v/>
      </c>
      <c r="AB13" s="8">
        <f>IF(AB$3="","",IFERROR(LEFT(TRIM(INDEX(Forms貼り付け!$A:$AZ,12,AB$3)),1),""))</f>
        <v/>
      </c>
      <c r="AC13" s="8">
        <f>IF(AC$3="","",IFERROR(LEFT(TRIM(INDEX(Forms貼り付け!$A:$AZ,12,AC$3)),1),""))</f>
        <v/>
      </c>
      <c r="AD13" s="8">
        <f>IF(AD$3="","",IFERROR(LEFT(TRIM(INDEX(Forms貼り付け!$A:$AZ,12,AD$3)),1),""))</f>
        <v/>
      </c>
      <c r="AE13" s="8">
        <f>IF(AE$3="","",IFERROR(LEFT(TRIM(INDEX(Forms貼り付け!$A:$AZ,12,AE$3)),1),""))</f>
        <v/>
      </c>
      <c r="AF13" s="8">
        <f>IF(AF$3="","",IFERROR(LEFT(TRIM(INDEX(Forms貼り付け!$A:$AZ,12,AF$3)),1),""))</f>
        <v/>
      </c>
      <c r="AG13" s="8">
        <f>IF(AG$3="","",IFERROR(LEFT(TRIM(INDEX(Forms貼り付け!$A:$AZ,12,AG$3)),1),""))</f>
        <v/>
      </c>
      <c r="AH13" s="8">
        <f>IF(AH$3="","",IFERROR(LEFT(TRIM(INDEX(Forms貼り付け!$A:$AZ,12,AH$3)),1),""))</f>
        <v/>
      </c>
      <c r="AI13" s="8">
        <f>IF(AI$3="","",IFERROR(LEFT(TRIM(INDEX(Forms貼り付け!$A:$AZ,12,AI$3)),1),""))</f>
        <v/>
      </c>
      <c r="AJ13" s="8">
        <f>IF(AJ$3="","",IFERROR(LEFT(TRIM(INDEX(Forms貼り付け!$A:$AZ,12,AJ$3)),1),""))</f>
        <v/>
      </c>
      <c r="AK13" s="8">
        <f>IF(AK$3="","",IFERROR(LEFT(TRIM(INDEX(Forms貼り付け!$A:$AZ,12,AK$3)),1),""))</f>
        <v/>
      </c>
      <c r="AL13" s="8">
        <f>IF(AL$3="","",IFERROR(LEFT(TRIM(INDEX(Forms貼り付け!$A:$AZ,12,AL$3)),1),""))</f>
        <v/>
      </c>
      <c r="AM13" s="8">
        <f>IF(AM$3="","",IFERROR(LEFT(TRIM(INDEX(Forms貼り付け!$A:$AZ,12,AM$3)),1),""))</f>
        <v/>
      </c>
      <c r="AN13" s="8">
        <f>IF(AN$3="","",IFERROR(LEFT(TRIM(INDEX(Forms貼り付け!$A:$AZ,12,AN$3)),1),""))</f>
        <v/>
      </c>
      <c r="AO13" s="8">
        <f>IF(AO$3="","",IFERROR(LEFT(TRIM(INDEX(Forms貼り付け!$A:$AZ,12,AO$3)),1),""))</f>
        <v/>
      </c>
      <c r="AP13" s="8">
        <f>IF(AP$3="","",IFERROR(LEFT(TRIM(INDEX(Forms貼り付け!$A:$AZ,12,AP$3)),1),""))</f>
        <v/>
      </c>
      <c r="AQ13" s="8">
        <f>IF(AQ$3="","",IFERROR(LEFT(TRIM(INDEX(Forms貼り付け!$A:$AZ,12,AQ$3)),1),""))</f>
        <v/>
      </c>
      <c r="AR13" s="8">
        <f>IF(AR$3="","",IFERROR(LEFT(TRIM(INDEX(Forms貼り付け!$A:$AZ,12,AR$3)),1),""))</f>
        <v/>
      </c>
      <c r="AS13" s="8">
        <f>IF(AS$3="","",IFERROR(LEFT(TRIM(INDEX(Forms貼り付け!$A:$AZ,12,AS$3)),1),""))</f>
        <v/>
      </c>
      <c r="AT13" s="8">
        <f>IF(AT$3="","",IFERROR(LEFT(TRIM(INDEX(Forms貼り付け!$A:$AZ,12,AT$3)),1),""))</f>
        <v/>
      </c>
      <c r="AU13" s="8">
        <f>IF(AU$3="","",IFERROR(LEFT(TRIM(INDEX(Forms貼り付け!$A:$AZ,12,AU$3)),1),""))</f>
        <v/>
      </c>
      <c r="AV13" s="8">
        <f>IF(AV$3="","",IFERROR(LEFT(TRIM(INDEX(Forms貼り付け!$A:$AZ,12,AV$3)),1),""))</f>
        <v/>
      </c>
      <c r="AW13" s="8">
        <f>IF(AW$3="","",IFERROR(LEFT(TRIM(INDEX(Forms貼り付け!$A:$AZ,12,AW$3)),1),""))</f>
        <v/>
      </c>
      <c r="AX13" s="8">
        <f>IF(AX$3="","",IFERROR(LEFT(TRIM(INDEX(Forms貼り付け!$A:$AZ,12,AX$3)),1),""))</f>
        <v/>
      </c>
      <c r="AY13" s="8">
        <f>IF(AY$3="","",IFERROR(LEFT(TRIM(INDEX(Forms貼り付け!$A:$AZ,12,AY$3)),1),""))</f>
        <v/>
      </c>
      <c r="AZ13" s="8">
        <f>IF(AZ$3="","",IFERROR(LEFT(TRIM(INDEX(Forms貼り付け!$A:$AZ,12,AZ$3)),1),""))</f>
        <v/>
      </c>
      <c r="BA13" s="8">
        <f>IF(BA$3="","",IFERROR(LEFT(TRIM(INDEX(Forms貼り付け!$A:$AZ,12,BA$3)),1),""))</f>
        <v/>
      </c>
      <c r="BB13" s="8">
        <f>IF(BB$3="","",IFERROR(LEFT(TRIM(INDEX(Forms貼り付け!$A:$AZ,12,BB$3)),1),""))</f>
        <v/>
      </c>
      <c r="BC13" s="8">
        <f>IF(BC$3="","",IFERROR(LEFT(TRIM(INDEX(Forms貼り付け!$A:$AZ,12,BC$3)),1),""))</f>
        <v/>
      </c>
    </row>
    <row r="14">
      <c r="A14" s="8" t="inlineStr">
        <is>
          <t>U010</t>
        </is>
      </c>
      <c r="B14" s="9">
        <f>IF($B$3="","",INDEX(Forms貼り付け!$A:$AZ,13,$B$3))</f>
        <v/>
      </c>
      <c r="C14" s="9">
        <f>IF($C$3="","",INDEX(Forms貼り付け!$A:$AZ,13,$C$3))</f>
        <v/>
      </c>
      <c r="D14" s="8">
        <f>IF($D$3="","",INDEX(Forms貼り付け!$A:$AZ,13,$D$3))</f>
        <v/>
      </c>
      <c r="E14" s="8">
        <f>IF($E$3="","",INDEX(Forms貼り付け!$A:$AZ,13,$E$3))</f>
        <v/>
      </c>
      <c r="F14" s="8">
        <f>IF(F$3="","",IFERROR(LEFT(TRIM(INDEX(Forms貼り付け!$A:$AZ,13,F$3)),1),""))</f>
        <v/>
      </c>
      <c r="G14" s="8">
        <f>IF(G$3="","",IFERROR(LEFT(TRIM(INDEX(Forms貼り付け!$A:$AZ,13,G$3)),1),""))</f>
        <v/>
      </c>
      <c r="H14" s="8">
        <f>IF(H$3="","",IFERROR(LEFT(TRIM(INDEX(Forms貼り付け!$A:$AZ,13,H$3)),1),""))</f>
        <v/>
      </c>
      <c r="I14" s="8">
        <f>IF(I$3="","",IFERROR(LEFT(TRIM(INDEX(Forms貼り付け!$A:$AZ,13,I$3)),1),""))</f>
        <v/>
      </c>
      <c r="J14" s="8">
        <f>IF(J$3="","",IFERROR(LEFT(TRIM(INDEX(Forms貼り付け!$A:$AZ,13,J$3)),1),""))</f>
        <v/>
      </c>
      <c r="K14" s="8">
        <f>IF(K$3="","",IFERROR(LEFT(TRIM(INDEX(Forms貼り付け!$A:$AZ,13,K$3)),1),""))</f>
        <v/>
      </c>
      <c r="L14" s="8">
        <f>IF(L$3="","",IFERROR(LEFT(TRIM(INDEX(Forms貼り付け!$A:$AZ,13,L$3)),1),""))</f>
        <v/>
      </c>
      <c r="M14" s="8">
        <f>IF(M$3="","",IFERROR(LEFT(TRIM(INDEX(Forms貼り付け!$A:$AZ,13,M$3)),1),""))</f>
        <v/>
      </c>
      <c r="N14" s="8">
        <f>IF(N$3="","",IFERROR(LEFT(TRIM(INDEX(Forms貼り付け!$A:$AZ,13,N$3)),1),""))</f>
        <v/>
      </c>
      <c r="O14" s="8">
        <f>IF(O$3="","",IFERROR(LEFT(TRIM(INDEX(Forms貼り付け!$A:$AZ,13,O$3)),1),""))</f>
        <v/>
      </c>
      <c r="P14" s="8">
        <f>IF(P$3="","",IFERROR(LEFT(TRIM(INDEX(Forms貼り付け!$A:$AZ,13,P$3)),1),""))</f>
        <v/>
      </c>
      <c r="Q14" s="8">
        <f>IF(Q$3="","",IFERROR(LEFT(TRIM(INDEX(Forms貼り付け!$A:$AZ,13,Q$3)),1),""))</f>
        <v/>
      </c>
      <c r="R14" s="8">
        <f>IF(R$3="","",IFERROR(LEFT(TRIM(INDEX(Forms貼り付け!$A:$AZ,13,R$3)),1),""))</f>
        <v/>
      </c>
      <c r="S14" s="8">
        <f>IF(S$3="","",IFERROR(LEFT(TRIM(INDEX(Forms貼り付け!$A:$AZ,13,S$3)),1),""))</f>
        <v/>
      </c>
      <c r="T14" s="8">
        <f>IF(T$3="","",IFERROR(LEFT(TRIM(INDEX(Forms貼り付け!$A:$AZ,13,T$3)),1),""))</f>
        <v/>
      </c>
      <c r="U14" s="8">
        <f>IF(U$3="","",IFERROR(LEFT(TRIM(INDEX(Forms貼り付け!$A:$AZ,13,U$3)),1),""))</f>
        <v/>
      </c>
      <c r="V14" s="8">
        <f>IF(V$3="","",IFERROR(LEFT(TRIM(INDEX(Forms貼り付け!$A:$AZ,13,V$3)),1),""))</f>
        <v/>
      </c>
      <c r="W14" s="8">
        <f>IF(W$3="","",IFERROR(LEFT(TRIM(INDEX(Forms貼り付け!$A:$AZ,13,W$3)),1),""))</f>
        <v/>
      </c>
      <c r="X14" s="8">
        <f>IF(X$3="","",IFERROR(LEFT(TRIM(INDEX(Forms貼り付け!$A:$AZ,13,X$3)),1),""))</f>
        <v/>
      </c>
      <c r="Y14" s="8">
        <f>IF(Y$3="","",IFERROR(LEFT(TRIM(INDEX(Forms貼り付け!$A:$AZ,13,Y$3)),1),""))</f>
        <v/>
      </c>
      <c r="Z14" s="8">
        <f>IF(Z$3="","",IFERROR(LEFT(TRIM(INDEX(Forms貼り付け!$A:$AZ,13,Z$3)),1),""))</f>
        <v/>
      </c>
      <c r="AA14" s="8">
        <f>IF(AA$3="","",IFERROR(LEFT(TRIM(INDEX(Forms貼り付け!$A:$AZ,13,AA$3)),1),""))</f>
        <v/>
      </c>
      <c r="AB14" s="8">
        <f>IF(AB$3="","",IFERROR(LEFT(TRIM(INDEX(Forms貼り付け!$A:$AZ,13,AB$3)),1),""))</f>
        <v/>
      </c>
      <c r="AC14" s="8">
        <f>IF(AC$3="","",IFERROR(LEFT(TRIM(INDEX(Forms貼り付け!$A:$AZ,13,AC$3)),1),""))</f>
        <v/>
      </c>
      <c r="AD14" s="8">
        <f>IF(AD$3="","",IFERROR(LEFT(TRIM(INDEX(Forms貼り付け!$A:$AZ,13,AD$3)),1),""))</f>
        <v/>
      </c>
      <c r="AE14" s="8">
        <f>IF(AE$3="","",IFERROR(LEFT(TRIM(INDEX(Forms貼り付け!$A:$AZ,13,AE$3)),1),""))</f>
        <v/>
      </c>
      <c r="AF14" s="8">
        <f>IF(AF$3="","",IFERROR(LEFT(TRIM(INDEX(Forms貼り付け!$A:$AZ,13,AF$3)),1),""))</f>
        <v/>
      </c>
      <c r="AG14" s="8">
        <f>IF(AG$3="","",IFERROR(LEFT(TRIM(INDEX(Forms貼り付け!$A:$AZ,13,AG$3)),1),""))</f>
        <v/>
      </c>
      <c r="AH14" s="8">
        <f>IF(AH$3="","",IFERROR(LEFT(TRIM(INDEX(Forms貼り付け!$A:$AZ,13,AH$3)),1),""))</f>
        <v/>
      </c>
      <c r="AI14" s="8">
        <f>IF(AI$3="","",IFERROR(LEFT(TRIM(INDEX(Forms貼り付け!$A:$AZ,13,AI$3)),1),""))</f>
        <v/>
      </c>
      <c r="AJ14" s="8">
        <f>IF(AJ$3="","",IFERROR(LEFT(TRIM(INDEX(Forms貼り付け!$A:$AZ,13,AJ$3)),1),""))</f>
        <v/>
      </c>
      <c r="AK14" s="8">
        <f>IF(AK$3="","",IFERROR(LEFT(TRIM(INDEX(Forms貼り付け!$A:$AZ,13,AK$3)),1),""))</f>
        <v/>
      </c>
      <c r="AL14" s="8">
        <f>IF(AL$3="","",IFERROR(LEFT(TRIM(INDEX(Forms貼り付け!$A:$AZ,13,AL$3)),1),""))</f>
        <v/>
      </c>
      <c r="AM14" s="8">
        <f>IF(AM$3="","",IFERROR(LEFT(TRIM(INDEX(Forms貼り付け!$A:$AZ,13,AM$3)),1),""))</f>
        <v/>
      </c>
      <c r="AN14" s="8">
        <f>IF(AN$3="","",IFERROR(LEFT(TRIM(INDEX(Forms貼り付け!$A:$AZ,13,AN$3)),1),""))</f>
        <v/>
      </c>
      <c r="AO14" s="8">
        <f>IF(AO$3="","",IFERROR(LEFT(TRIM(INDEX(Forms貼り付け!$A:$AZ,13,AO$3)),1),""))</f>
        <v/>
      </c>
      <c r="AP14" s="8">
        <f>IF(AP$3="","",IFERROR(LEFT(TRIM(INDEX(Forms貼り付け!$A:$AZ,13,AP$3)),1),""))</f>
        <v/>
      </c>
      <c r="AQ14" s="8">
        <f>IF(AQ$3="","",IFERROR(LEFT(TRIM(INDEX(Forms貼り付け!$A:$AZ,13,AQ$3)),1),""))</f>
        <v/>
      </c>
      <c r="AR14" s="8">
        <f>IF(AR$3="","",IFERROR(LEFT(TRIM(INDEX(Forms貼り付け!$A:$AZ,13,AR$3)),1),""))</f>
        <v/>
      </c>
      <c r="AS14" s="8">
        <f>IF(AS$3="","",IFERROR(LEFT(TRIM(INDEX(Forms貼り付け!$A:$AZ,13,AS$3)),1),""))</f>
        <v/>
      </c>
      <c r="AT14" s="8">
        <f>IF(AT$3="","",IFERROR(LEFT(TRIM(INDEX(Forms貼り付け!$A:$AZ,13,AT$3)),1),""))</f>
        <v/>
      </c>
      <c r="AU14" s="8">
        <f>IF(AU$3="","",IFERROR(LEFT(TRIM(INDEX(Forms貼り付け!$A:$AZ,13,AU$3)),1),""))</f>
        <v/>
      </c>
      <c r="AV14" s="8">
        <f>IF(AV$3="","",IFERROR(LEFT(TRIM(INDEX(Forms貼り付け!$A:$AZ,13,AV$3)),1),""))</f>
        <v/>
      </c>
      <c r="AW14" s="8">
        <f>IF(AW$3="","",IFERROR(LEFT(TRIM(INDEX(Forms貼り付け!$A:$AZ,13,AW$3)),1),""))</f>
        <v/>
      </c>
      <c r="AX14" s="8">
        <f>IF(AX$3="","",IFERROR(LEFT(TRIM(INDEX(Forms貼り付け!$A:$AZ,13,AX$3)),1),""))</f>
        <v/>
      </c>
      <c r="AY14" s="8">
        <f>IF(AY$3="","",IFERROR(LEFT(TRIM(INDEX(Forms貼り付け!$A:$AZ,13,AY$3)),1),""))</f>
        <v/>
      </c>
      <c r="AZ14" s="8">
        <f>IF(AZ$3="","",IFERROR(LEFT(TRIM(INDEX(Forms貼り付け!$A:$AZ,13,AZ$3)),1),""))</f>
        <v/>
      </c>
      <c r="BA14" s="8">
        <f>IF(BA$3="","",IFERROR(LEFT(TRIM(INDEX(Forms貼り付け!$A:$AZ,13,BA$3)),1),""))</f>
        <v/>
      </c>
      <c r="BB14" s="8">
        <f>IF(BB$3="","",IFERROR(LEFT(TRIM(INDEX(Forms貼り付け!$A:$AZ,13,BB$3)),1),""))</f>
        <v/>
      </c>
      <c r="BC14" s="8">
        <f>IF(BC$3="","",IFERROR(LEFT(TRIM(INDEX(Forms貼り付け!$A:$AZ,13,BC$3)),1),""))</f>
        <v/>
      </c>
    </row>
    <row r="15">
      <c r="A15" s="8" t="inlineStr">
        <is>
          <t>U011</t>
        </is>
      </c>
      <c r="B15" s="9">
        <f>IF($B$3="","",INDEX(Forms貼り付け!$A:$AZ,14,$B$3))</f>
        <v/>
      </c>
      <c r="C15" s="9">
        <f>IF($C$3="","",INDEX(Forms貼り付け!$A:$AZ,14,$C$3))</f>
        <v/>
      </c>
      <c r="D15" s="8">
        <f>IF($D$3="","",INDEX(Forms貼り付け!$A:$AZ,14,$D$3))</f>
        <v/>
      </c>
      <c r="E15" s="8">
        <f>IF($E$3="","",INDEX(Forms貼り付け!$A:$AZ,14,$E$3))</f>
        <v/>
      </c>
      <c r="F15" s="8">
        <f>IF(F$3="","",IFERROR(LEFT(TRIM(INDEX(Forms貼り付け!$A:$AZ,14,F$3)),1),""))</f>
        <v/>
      </c>
      <c r="G15" s="8">
        <f>IF(G$3="","",IFERROR(LEFT(TRIM(INDEX(Forms貼り付け!$A:$AZ,14,G$3)),1),""))</f>
        <v/>
      </c>
      <c r="H15" s="8">
        <f>IF(H$3="","",IFERROR(LEFT(TRIM(INDEX(Forms貼り付け!$A:$AZ,14,H$3)),1),""))</f>
        <v/>
      </c>
      <c r="I15" s="8">
        <f>IF(I$3="","",IFERROR(LEFT(TRIM(INDEX(Forms貼り付け!$A:$AZ,14,I$3)),1),""))</f>
        <v/>
      </c>
      <c r="J15" s="8">
        <f>IF(J$3="","",IFERROR(LEFT(TRIM(INDEX(Forms貼り付け!$A:$AZ,14,J$3)),1),""))</f>
        <v/>
      </c>
      <c r="K15" s="8">
        <f>IF(K$3="","",IFERROR(LEFT(TRIM(INDEX(Forms貼り付け!$A:$AZ,14,K$3)),1),""))</f>
        <v/>
      </c>
      <c r="L15" s="8">
        <f>IF(L$3="","",IFERROR(LEFT(TRIM(INDEX(Forms貼り付け!$A:$AZ,14,L$3)),1),""))</f>
        <v/>
      </c>
      <c r="M15" s="8">
        <f>IF(M$3="","",IFERROR(LEFT(TRIM(INDEX(Forms貼り付け!$A:$AZ,14,M$3)),1),""))</f>
        <v/>
      </c>
      <c r="N15" s="8">
        <f>IF(N$3="","",IFERROR(LEFT(TRIM(INDEX(Forms貼り付け!$A:$AZ,14,N$3)),1),""))</f>
        <v/>
      </c>
      <c r="O15" s="8">
        <f>IF(O$3="","",IFERROR(LEFT(TRIM(INDEX(Forms貼り付け!$A:$AZ,14,O$3)),1),""))</f>
        <v/>
      </c>
      <c r="P15" s="8">
        <f>IF(P$3="","",IFERROR(LEFT(TRIM(INDEX(Forms貼り付け!$A:$AZ,14,P$3)),1),""))</f>
        <v/>
      </c>
      <c r="Q15" s="8">
        <f>IF(Q$3="","",IFERROR(LEFT(TRIM(INDEX(Forms貼り付け!$A:$AZ,14,Q$3)),1),""))</f>
        <v/>
      </c>
      <c r="R15" s="8">
        <f>IF(R$3="","",IFERROR(LEFT(TRIM(INDEX(Forms貼り付け!$A:$AZ,14,R$3)),1),""))</f>
        <v/>
      </c>
      <c r="S15" s="8">
        <f>IF(S$3="","",IFERROR(LEFT(TRIM(INDEX(Forms貼り付け!$A:$AZ,14,S$3)),1),""))</f>
        <v/>
      </c>
      <c r="T15" s="8">
        <f>IF(T$3="","",IFERROR(LEFT(TRIM(INDEX(Forms貼り付け!$A:$AZ,14,T$3)),1),""))</f>
        <v/>
      </c>
      <c r="U15" s="8">
        <f>IF(U$3="","",IFERROR(LEFT(TRIM(INDEX(Forms貼り付け!$A:$AZ,14,U$3)),1),""))</f>
        <v/>
      </c>
      <c r="V15" s="8">
        <f>IF(V$3="","",IFERROR(LEFT(TRIM(INDEX(Forms貼り付け!$A:$AZ,14,V$3)),1),""))</f>
        <v/>
      </c>
      <c r="W15" s="8">
        <f>IF(W$3="","",IFERROR(LEFT(TRIM(INDEX(Forms貼り付け!$A:$AZ,14,W$3)),1),""))</f>
        <v/>
      </c>
      <c r="X15" s="8">
        <f>IF(X$3="","",IFERROR(LEFT(TRIM(INDEX(Forms貼り付け!$A:$AZ,14,X$3)),1),""))</f>
        <v/>
      </c>
      <c r="Y15" s="8">
        <f>IF(Y$3="","",IFERROR(LEFT(TRIM(INDEX(Forms貼り付け!$A:$AZ,14,Y$3)),1),""))</f>
        <v/>
      </c>
      <c r="Z15" s="8">
        <f>IF(Z$3="","",IFERROR(LEFT(TRIM(INDEX(Forms貼り付け!$A:$AZ,14,Z$3)),1),""))</f>
        <v/>
      </c>
      <c r="AA15" s="8">
        <f>IF(AA$3="","",IFERROR(LEFT(TRIM(INDEX(Forms貼り付け!$A:$AZ,14,AA$3)),1),""))</f>
        <v/>
      </c>
      <c r="AB15" s="8">
        <f>IF(AB$3="","",IFERROR(LEFT(TRIM(INDEX(Forms貼り付け!$A:$AZ,14,AB$3)),1),""))</f>
        <v/>
      </c>
      <c r="AC15" s="8">
        <f>IF(AC$3="","",IFERROR(LEFT(TRIM(INDEX(Forms貼り付け!$A:$AZ,14,AC$3)),1),""))</f>
        <v/>
      </c>
      <c r="AD15" s="8">
        <f>IF(AD$3="","",IFERROR(LEFT(TRIM(INDEX(Forms貼り付け!$A:$AZ,14,AD$3)),1),""))</f>
        <v/>
      </c>
      <c r="AE15" s="8">
        <f>IF(AE$3="","",IFERROR(LEFT(TRIM(INDEX(Forms貼り付け!$A:$AZ,14,AE$3)),1),""))</f>
        <v/>
      </c>
      <c r="AF15" s="8">
        <f>IF(AF$3="","",IFERROR(LEFT(TRIM(INDEX(Forms貼り付け!$A:$AZ,14,AF$3)),1),""))</f>
        <v/>
      </c>
      <c r="AG15" s="8">
        <f>IF(AG$3="","",IFERROR(LEFT(TRIM(INDEX(Forms貼り付け!$A:$AZ,14,AG$3)),1),""))</f>
        <v/>
      </c>
      <c r="AH15" s="8">
        <f>IF(AH$3="","",IFERROR(LEFT(TRIM(INDEX(Forms貼り付け!$A:$AZ,14,AH$3)),1),""))</f>
        <v/>
      </c>
      <c r="AI15" s="8">
        <f>IF(AI$3="","",IFERROR(LEFT(TRIM(INDEX(Forms貼り付け!$A:$AZ,14,AI$3)),1),""))</f>
        <v/>
      </c>
      <c r="AJ15" s="8">
        <f>IF(AJ$3="","",IFERROR(LEFT(TRIM(INDEX(Forms貼り付け!$A:$AZ,14,AJ$3)),1),""))</f>
        <v/>
      </c>
      <c r="AK15" s="8">
        <f>IF(AK$3="","",IFERROR(LEFT(TRIM(INDEX(Forms貼り付け!$A:$AZ,14,AK$3)),1),""))</f>
        <v/>
      </c>
      <c r="AL15" s="8">
        <f>IF(AL$3="","",IFERROR(LEFT(TRIM(INDEX(Forms貼り付け!$A:$AZ,14,AL$3)),1),""))</f>
        <v/>
      </c>
      <c r="AM15" s="8">
        <f>IF(AM$3="","",IFERROR(LEFT(TRIM(INDEX(Forms貼り付け!$A:$AZ,14,AM$3)),1),""))</f>
        <v/>
      </c>
      <c r="AN15" s="8">
        <f>IF(AN$3="","",IFERROR(LEFT(TRIM(INDEX(Forms貼り付け!$A:$AZ,14,AN$3)),1),""))</f>
        <v/>
      </c>
      <c r="AO15" s="8">
        <f>IF(AO$3="","",IFERROR(LEFT(TRIM(INDEX(Forms貼り付け!$A:$AZ,14,AO$3)),1),""))</f>
        <v/>
      </c>
      <c r="AP15" s="8">
        <f>IF(AP$3="","",IFERROR(LEFT(TRIM(INDEX(Forms貼り付け!$A:$AZ,14,AP$3)),1),""))</f>
        <v/>
      </c>
      <c r="AQ15" s="8">
        <f>IF(AQ$3="","",IFERROR(LEFT(TRIM(INDEX(Forms貼り付け!$A:$AZ,14,AQ$3)),1),""))</f>
        <v/>
      </c>
      <c r="AR15" s="8">
        <f>IF(AR$3="","",IFERROR(LEFT(TRIM(INDEX(Forms貼り付け!$A:$AZ,14,AR$3)),1),""))</f>
        <v/>
      </c>
      <c r="AS15" s="8">
        <f>IF(AS$3="","",IFERROR(LEFT(TRIM(INDEX(Forms貼り付け!$A:$AZ,14,AS$3)),1),""))</f>
        <v/>
      </c>
      <c r="AT15" s="8">
        <f>IF(AT$3="","",IFERROR(LEFT(TRIM(INDEX(Forms貼り付け!$A:$AZ,14,AT$3)),1),""))</f>
        <v/>
      </c>
      <c r="AU15" s="8">
        <f>IF(AU$3="","",IFERROR(LEFT(TRIM(INDEX(Forms貼り付け!$A:$AZ,14,AU$3)),1),""))</f>
        <v/>
      </c>
      <c r="AV15" s="8">
        <f>IF(AV$3="","",IFERROR(LEFT(TRIM(INDEX(Forms貼り付け!$A:$AZ,14,AV$3)),1),""))</f>
        <v/>
      </c>
      <c r="AW15" s="8">
        <f>IF(AW$3="","",IFERROR(LEFT(TRIM(INDEX(Forms貼り付け!$A:$AZ,14,AW$3)),1),""))</f>
        <v/>
      </c>
      <c r="AX15" s="8">
        <f>IF(AX$3="","",IFERROR(LEFT(TRIM(INDEX(Forms貼り付け!$A:$AZ,14,AX$3)),1),""))</f>
        <v/>
      </c>
      <c r="AY15" s="8">
        <f>IF(AY$3="","",IFERROR(LEFT(TRIM(INDEX(Forms貼り付け!$A:$AZ,14,AY$3)),1),""))</f>
        <v/>
      </c>
      <c r="AZ15" s="8">
        <f>IF(AZ$3="","",IFERROR(LEFT(TRIM(INDEX(Forms貼り付け!$A:$AZ,14,AZ$3)),1),""))</f>
        <v/>
      </c>
      <c r="BA15" s="8">
        <f>IF(BA$3="","",IFERROR(LEFT(TRIM(INDEX(Forms貼り付け!$A:$AZ,14,BA$3)),1),""))</f>
        <v/>
      </c>
      <c r="BB15" s="8">
        <f>IF(BB$3="","",IFERROR(LEFT(TRIM(INDEX(Forms貼り付け!$A:$AZ,14,BB$3)),1),""))</f>
        <v/>
      </c>
      <c r="BC15" s="8">
        <f>IF(BC$3="","",IFERROR(LEFT(TRIM(INDEX(Forms貼り付け!$A:$AZ,14,BC$3)),1),""))</f>
        <v/>
      </c>
    </row>
    <row r="16">
      <c r="A16" s="8" t="inlineStr">
        <is>
          <t>U012</t>
        </is>
      </c>
      <c r="B16" s="9">
        <f>IF($B$3="","",INDEX(Forms貼り付け!$A:$AZ,15,$B$3))</f>
        <v/>
      </c>
      <c r="C16" s="9">
        <f>IF($C$3="","",INDEX(Forms貼り付け!$A:$AZ,15,$C$3))</f>
        <v/>
      </c>
      <c r="D16" s="8">
        <f>IF($D$3="","",INDEX(Forms貼り付け!$A:$AZ,15,$D$3))</f>
        <v/>
      </c>
      <c r="E16" s="8">
        <f>IF($E$3="","",INDEX(Forms貼り付け!$A:$AZ,15,$E$3))</f>
        <v/>
      </c>
      <c r="F16" s="8">
        <f>IF(F$3="","",IFERROR(LEFT(TRIM(INDEX(Forms貼り付け!$A:$AZ,15,F$3)),1),""))</f>
        <v/>
      </c>
      <c r="G16" s="8">
        <f>IF(G$3="","",IFERROR(LEFT(TRIM(INDEX(Forms貼り付け!$A:$AZ,15,G$3)),1),""))</f>
        <v/>
      </c>
      <c r="H16" s="8">
        <f>IF(H$3="","",IFERROR(LEFT(TRIM(INDEX(Forms貼り付け!$A:$AZ,15,H$3)),1),""))</f>
        <v/>
      </c>
      <c r="I16" s="8">
        <f>IF(I$3="","",IFERROR(LEFT(TRIM(INDEX(Forms貼り付け!$A:$AZ,15,I$3)),1),""))</f>
        <v/>
      </c>
      <c r="J16" s="8">
        <f>IF(J$3="","",IFERROR(LEFT(TRIM(INDEX(Forms貼り付け!$A:$AZ,15,J$3)),1),""))</f>
        <v/>
      </c>
      <c r="K16" s="8">
        <f>IF(K$3="","",IFERROR(LEFT(TRIM(INDEX(Forms貼り付け!$A:$AZ,15,K$3)),1),""))</f>
        <v/>
      </c>
      <c r="L16" s="8">
        <f>IF(L$3="","",IFERROR(LEFT(TRIM(INDEX(Forms貼り付け!$A:$AZ,15,L$3)),1),""))</f>
        <v/>
      </c>
      <c r="M16" s="8">
        <f>IF(M$3="","",IFERROR(LEFT(TRIM(INDEX(Forms貼り付け!$A:$AZ,15,M$3)),1),""))</f>
        <v/>
      </c>
      <c r="N16" s="8">
        <f>IF(N$3="","",IFERROR(LEFT(TRIM(INDEX(Forms貼り付け!$A:$AZ,15,N$3)),1),""))</f>
        <v/>
      </c>
      <c r="O16" s="8">
        <f>IF(O$3="","",IFERROR(LEFT(TRIM(INDEX(Forms貼り付け!$A:$AZ,15,O$3)),1),""))</f>
        <v/>
      </c>
      <c r="P16" s="8">
        <f>IF(P$3="","",IFERROR(LEFT(TRIM(INDEX(Forms貼り付け!$A:$AZ,15,P$3)),1),""))</f>
        <v/>
      </c>
      <c r="Q16" s="8">
        <f>IF(Q$3="","",IFERROR(LEFT(TRIM(INDEX(Forms貼り付け!$A:$AZ,15,Q$3)),1),""))</f>
        <v/>
      </c>
      <c r="R16" s="8">
        <f>IF(R$3="","",IFERROR(LEFT(TRIM(INDEX(Forms貼り付け!$A:$AZ,15,R$3)),1),""))</f>
        <v/>
      </c>
      <c r="S16" s="8">
        <f>IF(S$3="","",IFERROR(LEFT(TRIM(INDEX(Forms貼り付け!$A:$AZ,15,S$3)),1),""))</f>
        <v/>
      </c>
      <c r="T16" s="8">
        <f>IF(T$3="","",IFERROR(LEFT(TRIM(INDEX(Forms貼り付け!$A:$AZ,15,T$3)),1),""))</f>
        <v/>
      </c>
      <c r="U16" s="8">
        <f>IF(U$3="","",IFERROR(LEFT(TRIM(INDEX(Forms貼り付け!$A:$AZ,15,U$3)),1),""))</f>
        <v/>
      </c>
      <c r="V16" s="8">
        <f>IF(V$3="","",IFERROR(LEFT(TRIM(INDEX(Forms貼り付け!$A:$AZ,15,V$3)),1),""))</f>
        <v/>
      </c>
      <c r="W16" s="8">
        <f>IF(W$3="","",IFERROR(LEFT(TRIM(INDEX(Forms貼り付け!$A:$AZ,15,W$3)),1),""))</f>
        <v/>
      </c>
      <c r="X16" s="8">
        <f>IF(X$3="","",IFERROR(LEFT(TRIM(INDEX(Forms貼り付け!$A:$AZ,15,X$3)),1),""))</f>
        <v/>
      </c>
      <c r="Y16" s="8">
        <f>IF(Y$3="","",IFERROR(LEFT(TRIM(INDEX(Forms貼り付け!$A:$AZ,15,Y$3)),1),""))</f>
        <v/>
      </c>
      <c r="Z16" s="8">
        <f>IF(Z$3="","",IFERROR(LEFT(TRIM(INDEX(Forms貼り付け!$A:$AZ,15,Z$3)),1),""))</f>
        <v/>
      </c>
      <c r="AA16" s="8">
        <f>IF(AA$3="","",IFERROR(LEFT(TRIM(INDEX(Forms貼り付け!$A:$AZ,15,AA$3)),1),""))</f>
        <v/>
      </c>
      <c r="AB16" s="8">
        <f>IF(AB$3="","",IFERROR(LEFT(TRIM(INDEX(Forms貼り付け!$A:$AZ,15,AB$3)),1),""))</f>
        <v/>
      </c>
      <c r="AC16" s="8">
        <f>IF(AC$3="","",IFERROR(LEFT(TRIM(INDEX(Forms貼り付け!$A:$AZ,15,AC$3)),1),""))</f>
        <v/>
      </c>
      <c r="AD16" s="8">
        <f>IF(AD$3="","",IFERROR(LEFT(TRIM(INDEX(Forms貼り付け!$A:$AZ,15,AD$3)),1),""))</f>
        <v/>
      </c>
      <c r="AE16" s="8">
        <f>IF(AE$3="","",IFERROR(LEFT(TRIM(INDEX(Forms貼り付け!$A:$AZ,15,AE$3)),1),""))</f>
        <v/>
      </c>
      <c r="AF16" s="8">
        <f>IF(AF$3="","",IFERROR(LEFT(TRIM(INDEX(Forms貼り付け!$A:$AZ,15,AF$3)),1),""))</f>
        <v/>
      </c>
      <c r="AG16" s="8">
        <f>IF(AG$3="","",IFERROR(LEFT(TRIM(INDEX(Forms貼り付け!$A:$AZ,15,AG$3)),1),""))</f>
        <v/>
      </c>
      <c r="AH16" s="8">
        <f>IF(AH$3="","",IFERROR(LEFT(TRIM(INDEX(Forms貼り付け!$A:$AZ,15,AH$3)),1),""))</f>
        <v/>
      </c>
      <c r="AI16" s="8">
        <f>IF(AI$3="","",IFERROR(LEFT(TRIM(INDEX(Forms貼り付け!$A:$AZ,15,AI$3)),1),""))</f>
        <v/>
      </c>
      <c r="AJ16" s="8">
        <f>IF(AJ$3="","",IFERROR(LEFT(TRIM(INDEX(Forms貼り付け!$A:$AZ,15,AJ$3)),1),""))</f>
        <v/>
      </c>
      <c r="AK16" s="8">
        <f>IF(AK$3="","",IFERROR(LEFT(TRIM(INDEX(Forms貼り付け!$A:$AZ,15,AK$3)),1),""))</f>
        <v/>
      </c>
      <c r="AL16" s="8">
        <f>IF(AL$3="","",IFERROR(LEFT(TRIM(INDEX(Forms貼り付け!$A:$AZ,15,AL$3)),1),""))</f>
        <v/>
      </c>
      <c r="AM16" s="8">
        <f>IF(AM$3="","",IFERROR(LEFT(TRIM(INDEX(Forms貼り付け!$A:$AZ,15,AM$3)),1),""))</f>
        <v/>
      </c>
      <c r="AN16" s="8">
        <f>IF(AN$3="","",IFERROR(LEFT(TRIM(INDEX(Forms貼り付け!$A:$AZ,15,AN$3)),1),""))</f>
        <v/>
      </c>
      <c r="AO16" s="8">
        <f>IF(AO$3="","",IFERROR(LEFT(TRIM(INDEX(Forms貼り付け!$A:$AZ,15,AO$3)),1),""))</f>
        <v/>
      </c>
      <c r="AP16" s="8">
        <f>IF(AP$3="","",IFERROR(LEFT(TRIM(INDEX(Forms貼り付け!$A:$AZ,15,AP$3)),1),""))</f>
        <v/>
      </c>
      <c r="AQ16" s="8">
        <f>IF(AQ$3="","",IFERROR(LEFT(TRIM(INDEX(Forms貼り付け!$A:$AZ,15,AQ$3)),1),""))</f>
        <v/>
      </c>
      <c r="AR16" s="8">
        <f>IF(AR$3="","",IFERROR(LEFT(TRIM(INDEX(Forms貼り付け!$A:$AZ,15,AR$3)),1),""))</f>
        <v/>
      </c>
      <c r="AS16" s="8">
        <f>IF(AS$3="","",IFERROR(LEFT(TRIM(INDEX(Forms貼り付け!$A:$AZ,15,AS$3)),1),""))</f>
        <v/>
      </c>
      <c r="AT16" s="8">
        <f>IF(AT$3="","",IFERROR(LEFT(TRIM(INDEX(Forms貼り付け!$A:$AZ,15,AT$3)),1),""))</f>
        <v/>
      </c>
      <c r="AU16" s="8">
        <f>IF(AU$3="","",IFERROR(LEFT(TRIM(INDEX(Forms貼り付け!$A:$AZ,15,AU$3)),1),""))</f>
        <v/>
      </c>
      <c r="AV16" s="8">
        <f>IF(AV$3="","",IFERROR(LEFT(TRIM(INDEX(Forms貼り付け!$A:$AZ,15,AV$3)),1),""))</f>
        <v/>
      </c>
      <c r="AW16" s="8">
        <f>IF(AW$3="","",IFERROR(LEFT(TRIM(INDEX(Forms貼り付け!$A:$AZ,15,AW$3)),1),""))</f>
        <v/>
      </c>
      <c r="AX16" s="8">
        <f>IF(AX$3="","",IFERROR(LEFT(TRIM(INDEX(Forms貼り付け!$A:$AZ,15,AX$3)),1),""))</f>
        <v/>
      </c>
      <c r="AY16" s="8">
        <f>IF(AY$3="","",IFERROR(LEFT(TRIM(INDEX(Forms貼り付け!$A:$AZ,15,AY$3)),1),""))</f>
        <v/>
      </c>
      <c r="AZ16" s="8">
        <f>IF(AZ$3="","",IFERROR(LEFT(TRIM(INDEX(Forms貼り付け!$A:$AZ,15,AZ$3)),1),""))</f>
        <v/>
      </c>
      <c r="BA16" s="8">
        <f>IF(BA$3="","",IFERROR(LEFT(TRIM(INDEX(Forms貼り付け!$A:$AZ,15,BA$3)),1),""))</f>
        <v/>
      </c>
      <c r="BB16" s="8">
        <f>IF(BB$3="","",IFERROR(LEFT(TRIM(INDEX(Forms貼り付け!$A:$AZ,15,BB$3)),1),""))</f>
        <v/>
      </c>
      <c r="BC16" s="8">
        <f>IF(BC$3="","",IFERROR(LEFT(TRIM(INDEX(Forms貼り付け!$A:$AZ,15,BC$3)),1),""))</f>
        <v/>
      </c>
    </row>
    <row r="17">
      <c r="A17" s="8" t="inlineStr">
        <is>
          <t>U013</t>
        </is>
      </c>
      <c r="B17" s="9">
        <f>IF($B$3="","",INDEX(Forms貼り付け!$A:$AZ,16,$B$3))</f>
        <v/>
      </c>
      <c r="C17" s="9">
        <f>IF($C$3="","",INDEX(Forms貼り付け!$A:$AZ,16,$C$3))</f>
        <v/>
      </c>
      <c r="D17" s="8">
        <f>IF($D$3="","",INDEX(Forms貼り付け!$A:$AZ,16,$D$3))</f>
        <v/>
      </c>
      <c r="E17" s="8">
        <f>IF($E$3="","",INDEX(Forms貼り付け!$A:$AZ,16,$E$3))</f>
        <v/>
      </c>
      <c r="F17" s="8">
        <f>IF(F$3="","",IFERROR(LEFT(TRIM(INDEX(Forms貼り付け!$A:$AZ,16,F$3)),1),""))</f>
        <v/>
      </c>
      <c r="G17" s="8">
        <f>IF(G$3="","",IFERROR(LEFT(TRIM(INDEX(Forms貼り付け!$A:$AZ,16,G$3)),1),""))</f>
        <v/>
      </c>
      <c r="H17" s="8">
        <f>IF(H$3="","",IFERROR(LEFT(TRIM(INDEX(Forms貼り付け!$A:$AZ,16,H$3)),1),""))</f>
        <v/>
      </c>
      <c r="I17" s="8">
        <f>IF(I$3="","",IFERROR(LEFT(TRIM(INDEX(Forms貼り付け!$A:$AZ,16,I$3)),1),""))</f>
        <v/>
      </c>
      <c r="J17" s="8">
        <f>IF(J$3="","",IFERROR(LEFT(TRIM(INDEX(Forms貼り付け!$A:$AZ,16,J$3)),1),""))</f>
        <v/>
      </c>
      <c r="K17" s="8">
        <f>IF(K$3="","",IFERROR(LEFT(TRIM(INDEX(Forms貼り付け!$A:$AZ,16,K$3)),1),""))</f>
        <v/>
      </c>
      <c r="L17" s="8">
        <f>IF(L$3="","",IFERROR(LEFT(TRIM(INDEX(Forms貼り付け!$A:$AZ,16,L$3)),1),""))</f>
        <v/>
      </c>
      <c r="M17" s="8">
        <f>IF(M$3="","",IFERROR(LEFT(TRIM(INDEX(Forms貼り付け!$A:$AZ,16,M$3)),1),""))</f>
        <v/>
      </c>
      <c r="N17" s="8">
        <f>IF(N$3="","",IFERROR(LEFT(TRIM(INDEX(Forms貼り付け!$A:$AZ,16,N$3)),1),""))</f>
        <v/>
      </c>
      <c r="O17" s="8">
        <f>IF(O$3="","",IFERROR(LEFT(TRIM(INDEX(Forms貼り付け!$A:$AZ,16,O$3)),1),""))</f>
        <v/>
      </c>
      <c r="P17" s="8">
        <f>IF(P$3="","",IFERROR(LEFT(TRIM(INDEX(Forms貼り付け!$A:$AZ,16,P$3)),1),""))</f>
        <v/>
      </c>
      <c r="Q17" s="8">
        <f>IF(Q$3="","",IFERROR(LEFT(TRIM(INDEX(Forms貼り付け!$A:$AZ,16,Q$3)),1),""))</f>
        <v/>
      </c>
      <c r="R17" s="8">
        <f>IF(R$3="","",IFERROR(LEFT(TRIM(INDEX(Forms貼り付け!$A:$AZ,16,R$3)),1),""))</f>
        <v/>
      </c>
      <c r="S17" s="8">
        <f>IF(S$3="","",IFERROR(LEFT(TRIM(INDEX(Forms貼り付け!$A:$AZ,16,S$3)),1),""))</f>
        <v/>
      </c>
      <c r="T17" s="8">
        <f>IF(T$3="","",IFERROR(LEFT(TRIM(INDEX(Forms貼り付け!$A:$AZ,16,T$3)),1),""))</f>
        <v/>
      </c>
      <c r="U17" s="8">
        <f>IF(U$3="","",IFERROR(LEFT(TRIM(INDEX(Forms貼り付け!$A:$AZ,16,U$3)),1),""))</f>
        <v/>
      </c>
      <c r="V17" s="8">
        <f>IF(V$3="","",IFERROR(LEFT(TRIM(INDEX(Forms貼り付け!$A:$AZ,16,V$3)),1),""))</f>
        <v/>
      </c>
      <c r="W17" s="8">
        <f>IF(W$3="","",IFERROR(LEFT(TRIM(INDEX(Forms貼り付け!$A:$AZ,16,W$3)),1),""))</f>
        <v/>
      </c>
      <c r="X17" s="8">
        <f>IF(X$3="","",IFERROR(LEFT(TRIM(INDEX(Forms貼り付け!$A:$AZ,16,X$3)),1),""))</f>
        <v/>
      </c>
      <c r="Y17" s="8">
        <f>IF(Y$3="","",IFERROR(LEFT(TRIM(INDEX(Forms貼り付け!$A:$AZ,16,Y$3)),1),""))</f>
        <v/>
      </c>
      <c r="Z17" s="8">
        <f>IF(Z$3="","",IFERROR(LEFT(TRIM(INDEX(Forms貼り付け!$A:$AZ,16,Z$3)),1),""))</f>
        <v/>
      </c>
      <c r="AA17" s="8">
        <f>IF(AA$3="","",IFERROR(LEFT(TRIM(INDEX(Forms貼り付け!$A:$AZ,16,AA$3)),1),""))</f>
        <v/>
      </c>
      <c r="AB17" s="8">
        <f>IF(AB$3="","",IFERROR(LEFT(TRIM(INDEX(Forms貼り付け!$A:$AZ,16,AB$3)),1),""))</f>
        <v/>
      </c>
      <c r="AC17" s="8">
        <f>IF(AC$3="","",IFERROR(LEFT(TRIM(INDEX(Forms貼り付け!$A:$AZ,16,AC$3)),1),""))</f>
        <v/>
      </c>
      <c r="AD17" s="8">
        <f>IF(AD$3="","",IFERROR(LEFT(TRIM(INDEX(Forms貼り付け!$A:$AZ,16,AD$3)),1),""))</f>
        <v/>
      </c>
      <c r="AE17" s="8">
        <f>IF(AE$3="","",IFERROR(LEFT(TRIM(INDEX(Forms貼り付け!$A:$AZ,16,AE$3)),1),""))</f>
        <v/>
      </c>
      <c r="AF17" s="8">
        <f>IF(AF$3="","",IFERROR(LEFT(TRIM(INDEX(Forms貼り付け!$A:$AZ,16,AF$3)),1),""))</f>
        <v/>
      </c>
      <c r="AG17" s="8">
        <f>IF(AG$3="","",IFERROR(LEFT(TRIM(INDEX(Forms貼り付け!$A:$AZ,16,AG$3)),1),""))</f>
        <v/>
      </c>
      <c r="AH17" s="8">
        <f>IF(AH$3="","",IFERROR(LEFT(TRIM(INDEX(Forms貼り付け!$A:$AZ,16,AH$3)),1),""))</f>
        <v/>
      </c>
      <c r="AI17" s="8">
        <f>IF(AI$3="","",IFERROR(LEFT(TRIM(INDEX(Forms貼り付け!$A:$AZ,16,AI$3)),1),""))</f>
        <v/>
      </c>
      <c r="AJ17" s="8">
        <f>IF(AJ$3="","",IFERROR(LEFT(TRIM(INDEX(Forms貼り付け!$A:$AZ,16,AJ$3)),1),""))</f>
        <v/>
      </c>
      <c r="AK17" s="8">
        <f>IF(AK$3="","",IFERROR(LEFT(TRIM(INDEX(Forms貼り付け!$A:$AZ,16,AK$3)),1),""))</f>
        <v/>
      </c>
      <c r="AL17" s="8">
        <f>IF(AL$3="","",IFERROR(LEFT(TRIM(INDEX(Forms貼り付け!$A:$AZ,16,AL$3)),1),""))</f>
        <v/>
      </c>
      <c r="AM17" s="8">
        <f>IF(AM$3="","",IFERROR(LEFT(TRIM(INDEX(Forms貼り付け!$A:$AZ,16,AM$3)),1),""))</f>
        <v/>
      </c>
      <c r="AN17" s="8">
        <f>IF(AN$3="","",IFERROR(LEFT(TRIM(INDEX(Forms貼り付け!$A:$AZ,16,AN$3)),1),""))</f>
        <v/>
      </c>
      <c r="AO17" s="8">
        <f>IF(AO$3="","",IFERROR(LEFT(TRIM(INDEX(Forms貼り付け!$A:$AZ,16,AO$3)),1),""))</f>
        <v/>
      </c>
      <c r="AP17" s="8">
        <f>IF(AP$3="","",IFERROR(LEFT(TRIM(INDEX(Forms貼り付け!$A:$AZ,16,AP$3)),1),""))</f>
        <v/>
      </c>
      <c r="AQ17" s="8">
        <f>IF(AQ$3="","",IFERROR(LEFT(TRIM(INDEX(Forms貼り付け!$A:$AZ,16,AQ$3)),1),""))</f>
        <v/>
      </c>
      <c r="AR17" s="8">
        <f>IF(AR$3="","",IFERROR(LEFT(TRIM(INDEX(Forms貼り付け!$A:$AZ,16,AR$3)),1),""))</f>
        <v/>
      </c>
      <c r="AS17" s="8">
        <f>IF(AS$3="","",IFERROR(LEFT(TRIM(INDEX(Forms貼り付け!$A:$AZ,16,AS$3)),1),""))</f>
        <v/>
      </c>
      <c r="AT17" s="8">
        <f>IF(AT$3="","",IFERROR(LEFT(TRIM(INDEX(Forms貼り付け!$A:$AZ,16,AT$3)),1),""))</f>
        <v/>
      </c>
      <c r="AU17" s="8">
        <f>IF(AU$3="","",IFERROR(LEFT(TRIM(INDEX(Forms貼り付け!$A:$AZ,16,AU$3)),1),""))</f>
        <v/>
      </c>
      <c r="AV17" s="8">
        <f>IF(AV$3="","",IFERROR(LEFT(TRIM(INDEX(Forms貼り付け!$A:$AZ,16,AV$3)),1),""))</f>
        <v/>
      </c>
      <c r="AW17" s="8">
        <f>IF(AW$3="","",IFERROR(LEFT(TRIM(INDEX(Forms貼り付け!$A:$AZ,16,AW$3)),1),""))</f>
        <v/>
      </c>
      <c r="AX17" s="8">
        <f>IF(AX$3="","",IFERROR(LEFT(TRIM(INDEX(Forms貼り付け!$A:$AZ,16,AX$3)),1),""))</f>
        <v/>
      </c>
      <c r="AY17" s="8">
        <f>IF(AY$3="","",IFERROR(LEFT(TRIM(INDEX(Forms貼り付け!$A:$AZ,16,AY$3)),1),""))</f>
        <v/>
      </c>
      <c r="AZ17" s="8">
        <f>IF(AZ$3="","",IFERROR(LEFT(TRIM(INDEX(Forms貼り付け!$A:$AZ,16,AZ$3)),1),""))</f>
        <v/>
      </c>
      <c r="BA17" s="8">
        <f>IF(BA$3="","",IFERROR(LEFT(TRIM(INDEX(Forms貼り付け!$A:$AZ,16,BA$3)),1),""))</f>
        <v/>
      </c>
      <c r="BB17" s="8">
        <f>IF(BB$3="","",IFERROR(LEFT(TRIM(INDEX(Forms貼り付け!$A:$AZ,16,BB$3)),1),""))</f>
        <v/>
      </c>
      <c r="BC17" s="8">
        <f>IF(BC$3="","",IFERROR(LEFT(TRIM(INDEX(Forms貼り付け!$A:$AZ,16,BC$3)),1),""))</f>
        <v/>
      </c>
    </row>
    <row r="18">
      <c r="A18" s="8" t="inlineStr">
        <is>
          <t>U014</t>
        </is>
      </c>
      <c r="B18" s="9">
        <f>IF($B$3="","",INDEX(Forms貼り付け!$A:$AZ,17,$B$3))</f>
        <v/>
      </c>
      <c r="C18" s="9">
        <f>IF($C$3="","",INDEX(Forms貼り付け!$A:$AZ,17,$C$3))</f>
        <v/>
      </c>
      <c r="D18" s="8">
        <f>IF($D$3="","",INDEX(Forms貼り付け!$A:$AZ,17,$D$3))</f>
        <v/>
      </c>
      <c r="E18" s="8">
        <f>IF($E$3="","",INDEX(Forms貼り付け!$A:$AZ,17,$E$3))</f>
        <v/>
      </c>
      <c r="F18" s="8">
        <f>IF(F$3="","",IFERROR(LEFT(TRIM(INDEX(Forms貼り付け!$A:$AZ,17,F$3)),1),""))</f>
        <v/>
      </c>
      <c r="G18" s="8">
        <f>IF(G$3="","",IFERROR(LEFT(TRIM(INDEX(Forms貼り付け!$A:$AZ,17,G$3)),1),""))</f>
        <v/>
      </c>
      <c r="H18" s="8">
        <f>IF(H$3="","",IFERROR(LEFT(TRIM(INDEX(Forms貼り付け!$A:$AZ,17,H$3)),1),""))</f>
        <v/>
      </c>
      <c r="I18" s="8">
        <f>IF(I$3="","",IFERROR(LEFT(TRIM(INDEX(Forms貼り付け!$A:$AZ,17,I$3)),1),""))</f>
        <v/>
      </c>
      <c r="J18" s="8">
        <f>IF(J$3="","",IFERROR(LEFT(TRIM(INDEX(Forms貼り付け!$A:$AZ,17,J$3)),1),""))</f>
        <v/>
      </c>
      <c r="K18" s="8">
        <f>IF(K$3="","",IFERROR(LEFT(TRIM(INDEX(Forms貼り付け!$A:$AZ,17,K$3)),1),""))</f>
        <v/>
      </c>
      <c r="L18" s="8">
        <f>IF(L$3="","",IFERROR(LEFT(TRIM(INDEX(Forms貼り付け!$A:$AZ,17,L$3)),1),""))</f>
        <v/>
      </c>
      <c r="M18" s="8">
        <f>IF(M$3="","",IFERROR(LEFT(TRIM(INDEX(Forms貼り付け!$A:$AZ,17,M$3)),1),""))</f>
        <v/>
      </c>
      <c r="N18" s="8">
        <f>IF(N$3="","",IFERROR(LEFT(TRIM(INDEX(Forms貼り付け!$A:$AZ,17,N$3)),1),""))</f>
        <v/>
      </c>
      <c r="O18" s="8">
        <f>IF(O$3="","",IFERROR(LEFT(TRIM(INDEX(Forms貼り付け!$A:$AZ,17,O$3)),1),""))</f>
        <v/>
      </c>
      <c r="P18" s="8">
        <f>IF(P$3="","",IFERROR(LEFT(TRIM(INDEX(Forms貼り付け!$A:$AZ,17,P$3)),1),""))</f>
        <v/>
      </c>
      <c r="Q18" s="8">
        <f>IF(Q$3="","",IFERROR(LEFT(TRIM(INDEX(Forms貼り付け!$A:$AZ,17,Q$3)),1),""))</f>
        <v/>
      </c>
      <c r="R18" s="8">
        <f>IF(R$3="","",IFERROR(LEFT(TRIM(INDEX(Forms貼り付け!$A:$AZ,17,R$3)),1),""))</f>
        <v/>
      </c>
      <c r="S18" s="8">
        <f>IF(S$3="","",IFERROR(LEFT(TRIM(INDEX(Forms貼り付け!$A:$AZ,17,S$3)),1),""))</f>
        <v/>
      </c>
      <c r="T18" s="8">
        <f>IF(T$3="","",IFERROR(LEFT(TRIM(INDEX(Forms貼り付け!$A:$AZ,17,T$3)),1),""))</f>
        <v/>
      </c>
      <c r="U18" s="8">
        <f>IF(U$3="","",IFERROR(LEFT(TRIM(INDEX(Forms貼り付け!$A:$AZ,17,U$3)),1),""))</f>
        <v/>
      </c>
      <c r="V18" s="8">
        <f>IF(V$3="","",IFERROR(LEFT(TRIM(INDEX(Forms貼り付け!$A:$AZ,17,V$3)),1),""))</f>
        <v/>
      </c>
      <c r="W18" s="8">
        <f>IF(W$3="","",IFERROR(LEFT(TRIM(INDEX(Forms貼り付け!$A:$AZ,17,W$3)),1),""))</f>
        <v/>
      </c>
      <c r="X18" s="8">
        <f>IF(X$3="","",IFERROR(LEFT(TRIM(INDEX(Forms貼り付け!$A:$AZ,17,X$3)),1),""))</f>
        <v/>
      </c>
      <c r="Y18" s="8">
        <f>IF(Y$3="","",IFERROR(LEFT(TRIM(INDEX(Forms貼り付け!$A:$AZ,17,Y$3)),1),""))</f>
        <v/>
      </c>
      <c r="Z18" s="8">
        <f>IF(Z$3="","",IFERROR(LEFT(TRIM(INDEX(Forms貼り付け!$A:$AZ,17,Z$3)),1),""))</f>
        <v/>
      </c>
      <c r="AA18" s="8">
        <f>IF(AA$3="","",IFERROR(LEFT(TRIM(INDEX(Forms貼り付け!$A:$AZ,17,AA$3)),1),""))</f>
        <v/>
      </c>
      <c r="AB18" s="8">
        <f>IF(AB$3="","",IFERROR(LEFT(TRIM(INDEX(Forms貼り付け!$A:$AZ,17,AB$3)),1),""))</f>
        <v/>
      </c>
      <c r="AC18" s="8">
        <f>IF(AC$3="","",IFERROR(LEFT(TRIM(INDEX(Forms貼り付け!$A:$AZ,17,AC$3)),1),""))</f>
        <v/>
      </c>
      <c r="AD18" s="8">
        <f>IF(AD$3="","",IFERROR(LEFT(TRIM(INDEX(Forms貼り付け!$A:$AZ,17,AD$3)),1),""))</f>
        <v/>
      </c>
      <c r="AE18" s="8">
        <f>IF(AE$3="","",IFERROR(LEFT(TRIM(INDEX(Forms貼り付け!$A:$AZ,17,AE$3)),1),""))</f>
        <v/>
      </c>
      <c r="AF18" s="8">
        <f>IF(AF$3="","",IFERROR(LEFT(TRIM(INDEX(Forms貼り付け!$A:$AZ,17,AF$3)),1),""))</f>
        <v/>
      </c>
      <c r="AG18" s="8">
        <f>IF(AG$3="","",IFERROR(LEFT(TRIM(INDEX(Forms貼り付け!$A:$AZ,17,AG$3)),1),""))</f>
        <v/>
      </c>
      <c r="AH18" s="8">
        <f>IF(AH$3="","",IFERROR(LEFT(TRIM(INDEX(Forms貼り付け!$A:$AZ,17,AH$3)),1),""))</f>
        <v/>
      </c>
      <c r="AI18" s="8">
        <f>IF(AI$3="","",IFERROR(LEFT(TRIM(INDEX(Forms貼り付け!$A:$AZ,17,AI$3)),1),""))</f>
        <v/>
      </c>
      <c r="AJ18" s="8">
        <f>IF(AJ$3="","",IFERROR(LEFT(TRIM(INDEX(Forms貼り付け!$A:$AZ,17,AJ$3)),1),""))</f>
        <v/>
      </c>
      <c r="AK18" s="8">
        <f>IF(AK$3="","",IFERROR(LEFT(TRIM(INDEX(Forms貼り付け!$A:$AZ,17,AK$3)),1),""))</f>
        <v/>
      </c>
      <c r="AL18" s="8">
        <f>IF(AL$3="","",IFERROR(LEFT(TRIM(INDEX(Forms貼り付け!$A:$AZ,17,AL$3)),1),""))</f>
        <v/>
      </c>
      <c r="AM18" s="8">
        <f>IF(AM$3="","",IFERROR(LEFT(TRIM(INDEX(Forms貼り付け!$A:$AZ,17,AM$3)),1),""))</f>
        <v/>
      </c>
      <c r="AN18" s="8">
        <f>IF(AN$3="","",IFERROR(LEFT(TRIM(INDEX(Forms貼り付け!$A:$AZ,17,AN$3)),1),""))</f>
        <v/>
      </c>
      <c r="AO18" s="8">
        <f>IF(AO$3="","",IFERROR(LEFT(TRIM(INDEX(Forms貼り付け!$A:$AZ,17,AO$3)),1),""))</f>
        <v/>
      </c>
      <c r="AP18" s="8">
        <f>IF(AP$3="","",IFERROR(LEFT(TRIM(INDEX(Forms貼り付け!$A:$AZ,17,AP$3)),1),""))</f>
        <v/>
      </c>
      <c r="AQ18" s="8">
        <f>IF(AQ$3="","",IFERROR(LEFT(TRIM(INDEX(Forms貼り付け!$A:$AZ,17,AQ$3)),1),""))</f>
        <v/>
      </c>
      <c r="AR18" s="8">
        <f>IF(AR$3="","",IFERROR(LEFT(TRIM(INDEX(Forms貼り付け!$A:$AZ,17,AR$3)),1),""))</f>
        <v/>
      </c>
      <c r="AS18" s="8">
        <f>IF(AS$3="","",IFERROR(LEFT(TRIM(INDEX(Forms貼り付け!$A:$AZ,17,AS$3)),1),""))</f>
        <v/>
      </c>
      <c r="AT18" s="8">
        <f>IF(AT$3="","",IFERROR(LEFT(TRIM(INDEX(Forms貼り付け!$A:$AZ,17,AT$3)),1),""))</f>
        <v/>
      </c>
      <c r="AU18" s="8">
        <f>IF(AU$3="","",IFERROR(LEFT(TRIM(INDEX(Forms貼り付け!$A:$AZ,17,AU$3)),1),""))</f>
        <v/>
      </c>
      <c r="AV18" s="8">
        <f>IF(AV$3="","",IFERROR(LEFT(TRIM(INDEX(Forms貼り付け!$A:$AZ,17,AV$3)),1),""))</f>
        <v/>
      </c>
      <c r="AW18" s="8">
        <f>IF(AW$3="","",IFERROR(LEFT(TRIM(INDEX(Forms貼り付け!$A:$AZ,17,AW$3)),1),""))</f>
        <v/>
      </c>
      <c r="AX18" s="8">
        <f>IF(AX$3="","",IFERROR(LEFT(TRIM(INDEX(Forms貼り付け!$A:$AZ,17,AX$3)),1),""))</f>
        <v/>
      </c>
      <c r="AY18" s="8">
        <f>IF(AY$3="","",IFERROR(LEFT(TRIM(INDEX(Forms貼り付け!$A:$AZ,17,AY$3)),1),""))</f>
        <v/>
      </c>
      <c r="AZ18" s="8">
        <f>IF(AZ$3="","",IFERROR(LEFT(TRIM(INDEX(Forms貼り付け!$A:$AZ,17,AZ$3)),1),""))</f>
        <v/>
      </c>
      <c r="BA18" s="8">
        <f>IF(BA$3="","",IFERROR(LEFT(TRIM(INDEX(Forms貼り付け!$A:$AZ,17,BA$3)),1),""))</f>
        <v/>
      </c>
      <c r="BB18" s="8">
        <f>IF(BB$3="","",IFERROR(LEFT(TRIM(INDEX(Forms貼り付け!$A:$AZ,17,BB$3)),1),""))</f>
        <v/>
      </c>
      <c r="BC18" s="8">
        <f>IF(BC$3="","",IFERROR(LEFT(TRIM(INDEX(Forms貼り付け!$A:$AZ,17,BC$3)),1),""))</f>
        <v/>
      </c>
    </row>
    <row r="19">
      <c r="A19" s="8" t="inlineStr">
        <is>
          <t>U015</t>
        </is>
      </c>
      <c r="B19" s="9">
        <f>IF($B$3="","",INDEX(Forms貼り付け!$A:$AZ,18,$B$3))</f>
        <v/>
      </c>
      <c r="C19" s="9">
        <f>IF($C$3="","",INDEX(Forms貼り付け!$A:$AZ,18,$C$3))</f>
        <v/>
      </c>
      <c r="D19" s="8">
        <f>IF($D$3="","",INDEX(Forms貼り付け!$A:$AZ,18,$D$3))</f>
        <v/>
      </c>
      <c r="E19" s="8">
        <f>IF($E$3="","",INDEX(Forms貼り付け!$A:$AZ,18,$E$3))</f>
        <v/>
      </c>
      <c r="F19" s="8">
        <f>IF(F$3="","",IFERROR(LEFT(TRIM(INDEX(Forms貼り付け!$A:$AZ,18,F$3)),1),""))</f>
        <v/>
      </c>
      <c r="G19" s="8">
        <f>IF(G$3="","",IFERROR(LEFT(TRIM(INDEX(Forms貼り付け!$A:$AZ,18,G$3)),1),""))</f>
        <v/>
      </c>
      <c r="H19" s="8">
        <f>IF(H$3="","",IFERROR(LEFT(TRIM(INDEX(Forms貼り付け!$A:$AZ,18,H$3)),1),""))</f>
        <v/>
      </c>
      <c r="I19" s="8">
        <f>IF(I$3="","",IFERROR(LEFT(TRIM(INDEX(Forms貼り付け!$A:$AZ,18,I$3)),1),""))</f>
        <v/>
      </c>
      <c r="J19" s="8">
        <f>IF(J$3="","",IFERROR(LEFT(TRIM(INDEX(Forms貼り付け!$A:$AZ,18,J$3)),1),""))</f>
        <v/>
      </c>
      <c r="K19" s="8">
        <f>IF(K$3="","",IFERROR(LEFT(TRIM(INDEX(Forms貼り付け!$A:$AZ,18,K$3)),1),""))</f>
        <v/>
      </c>
      <c r="L19" s="8">
        <f>IF(L$3="","",IFERROR(LEFT(TRIM(INDEX(Forms貼り付け!$A:$AZ,18,L$3)),1),""))</f>
        <v/>
      </c>
      <c r="M19" s="8">
        <f>IF(M$3="","",IFERROR(LEFT(TRIM(INDEX(Forms貼り付け!$A:$AZ,18,M$3)),1),""))</f>
        <v/>
      </c>
      <c r="N19" s="8">
        <f>IF(N$3="","",IFERROR(LEFT(TRIM(INDEX(Forms貼り付け!$A:$AZ,18,N$3)),1),""))</f>
        <v/>
      </c>
      <c r="O19" s="8">
        <f>IF(O$3="","",IFERROR(LEFT(TRIM(INDEX(Forms貼り付け!$A:$AZ,18,O$3)),1),""))</f>
        <v/>
      </c>
      <c r="P19" s="8">
        <f>IF(P$3="","",IFERROR(LEFT(TRIM(INDEX(Forms貼り付け!$A:$AZ,18,P$3)),1),""))</f>
        <v/>
      </c>
      <c r="Q19" s="8">
        <f>IF(Q$3="","",IFERROR(LEFT(TRIM(INDEX(Forms貼り付け!$A:$AZ,18,Q$3)),1),""))</f>
        <v/>
      </c>
      <c r="R19" s="8">
        <f>IF(R$3="","",IFERROR(LEFT(TRIM(INDEX(Forms貼り付け!$A:$AZ,18,R$3)),1),""))</f>
        <v/>
      </c>
      <c r="S19" s="8">
        <f>IF(S$3="","",IFERROR(LEFT(TRIM(INDEX(Forms貼り付け!$A:$AZ,18,S$3)),1),""))</f>
        <v/>
      </c>
      <c r="T19" s="8">
        <f>IF(T$3="","",IFERROR(LEFT(TRIM(INDEX(Forms貼り付け!$A:$AZ,18,T$3)),1),""))</f>
        <v/>
      </c>
      <c r="U19" s="8">
        <f>IF(U$3="","",IFERROR(LEFT(TRIM(INDEX(Forms貼り付け!$A:$AZ,18,U$3)),1),""))</f>
        <v/>
      </c>
      <c r="V19" s="8">
        <f>IF(V$3="","",IFERROR(LEFT(TRIM(INDEX(Forms貼り付け!$A:$AZ,18,V$3)),1),""))</f>
        <v/>
      </c>
      <c r="W19" s="8">
        <f>IF(W$3="","",IFERROR(LEFT(TRIM(INDEX(Forms貼り付け!$A:$AZ,18,W$3)),1),""))</f>
        <v/>
      </c>
      <c r="X19" s="8">
        <f>IF(X$3="","",IFERROR(LEFT(TRIM(INDEX(Forms貼り付け!$A:$AZ,18,X$3)),1),""))</f>
        <v/>
      </c>
      <c r="Y19" s="8">
        <f>IF(Y$3="","",IFERROR(LEFT(TRIM(INDEX(Forms貼り付け!$A:$AZ,18,Y$3)),1),""))</f>
        <v/>
      </c>
      <c r="Z19" s="8">
        <f>IF(Z$3="","",IFERROR(LEFT(TRIM(INDEX(Forms貼り付け!$A:$AZ,18,Z$3)),1),""))</f>
        <v/>
      </c>
      <c r="AA19" s="8">
        <f>IF(AA$3="","",IFERROR(LEFT(TRIM(INDEX(Forms貼り付け!$A:$AZ,18,AA$3)),1),""))</f>
        <v/>
      </c>
      <c r="AB19" s="8">
        <f>IF(AB$3="","",IFERROR(LEFT(TRIM(INDEX(Forms貼り付け!$A:$AZ,18,AB$3)),1),""))</f>
        <v/>
      </c>
      <c r="AC19" s="8">
        <f>IF(AC$3="","",IFERROR(LEFT(TRIM(INDEX(Forms貼り付け!$A:$AZ,18,AC$3)),1),""))</f>
        <v/>
      </c>
      <c r="AD19" s="8">
        <f>IF(AD$3="","",IFERROR(LEFT(TRIM(INDEX(Forms貼り付け!$A:$AZ,18,AD$3)),1),""))</f>
        <v/>
      </c>
      <c r="AE19" s="8">
        <f>IF(AE$3="","",IFERROR(LEFT(TRIM(INDEX(Forms貼り付け!$A:$AZ,18,AE$3)),1),""))</f>
        <v/>
      </c>
      <c r="AF19" s="8">
        <f>IF(AF$3="","",IFERROR(LEFT(TRIM(INDEX(Forms貼り付け!$A:$AZ,18,AF$3)),1),""))</f>
        <v/>
      </c>
      <c r="AG19" s="8">
        <f>IF(AG$3="","",IFERROR(LEFT(TRIM(INDEX(Forms貼り付け!$A:$AZ,18,AG$3)),1),""))</f>
        <v/>
      </c>
      <c r="AH19" s="8">
        <f>IF(AH$3="","",IFERROR(LEFT(TRIM(INDEX(Forms貼り付け!$A:$AZ,18,AH$3)),1),""))</f>
        <v/>
      </c>
      <c r="AI19" s="8">
        <f>IF(AI$3="","",IFERROR(LEFT(TRIM(INDEX(Forms貼り付け!$A:$AZ,18,AI$3)),1),""))</f>
        <v/>
      </c>
      <c r="AJ19" s="8">
        <f>IF(AJ$3="","",IFERROR(LEFT(TRIM(INDEX(Forms貼り付け!$A:$AZ,18,AJ$3)),1),""))</f>
        <v/>
      </c>
      <c r="AK19" s="8">
        <f>IF(AK$3="","",IFERROR(LEFT(TRIM(INDEX(Forms貼り付け!$A:$AZ,18,AK$3)),1),""))</f>
        <v/>
      </c>
      <c r="AL19" s="8">
        <f>IF(AL$3="","",IFERROR(LEFT(TRIM(INDEX(Forms貼り付け!$A:$AZ,18,AL$3)),1),""))</f>
        <v/>
      </c>
      <c r="AM19" s="8">
        <f>IF(AM$3="","",IFERROR(LEFT(TRIM(INDEX(Forms貼り付け!$A:$AZ,18,AM$3)),1),""))</f>
        <v/>
      </c>
      <c r="AN19" s="8">
        <f>IF(AN$3="","",IFERROR(LEFT(TRIM(INDEX(Forms貼り付け!$A:$AZ,18,AN$3)),1),""))</f>
        <v/>
      </c>
      <c r="AO19" s="8">
        <f>IF(AO$3="","",IFERROR(LEFT(TRIM(INDEX(Forms貼り付け!$A:$AZ,18,AO$3)),1),""))</f>
        <v/>
      </c>
      <c r="AP19" s="8">
        <f>IF(AP$3="","",IFERROR(LEFT(TRIM(INDEX(Forms貼り付け!$A:$AZ,18,AP$3)),1),""))</f>
        <v/>
      </c>
      <c r="AQ19" s="8">
        <f>IF(AQ$3="","",IFERROR(LEFT(TRIM(INDEX(Forms貼り付け!$A:$AZ,18,AQ$3)),1),""))</f>
        <v/>
      </c>
      <c r="AR19" s="8">
        <f>IF(AR$3="","",IFERROR(LEFT(TRIM(INDEX(Forms貼り付け!$A:$AZ,18,AR$3)),1),""))</f>
        <v/>
      </c>
      <c r="AS19" s="8">
        <f>IF(AS$3="","",IFERROR(LEFT(TRIM(INDEX(Forms貼り付け!$A:$AZ,18,AS$3)),1),""))</f>
        <v/>
      </c>
      <c r="AT19" s="8">
        <f>IF(AT$3="","",IFERROR(LEFT(TRIM(INDEX(Forms貼り付け!$A:$AZ,18,AT$3)),1),""))</f>
        <v/>
      </c>
      <c r="AU19" s="8">
        <f>IF(AU$3="","",IFERROR(LEFT(TRIM(INDEX(Forms貼り付け!$A:$AZ,18,AU$3)),1),""))</f>
        <v/>
      </c>
      <c r="AV19" s="8">
        <f>IF(AV$3="","",IFERROR(LEFT(TRIM(INDEX(Forms貼り付け!$A:$AZ,18,AV$3)),1),""))</f>
        <v/>
      </c>
      <c r="AW19" s="8">
        <f>IF(AW$3="","",IFERROR(LEFT(TRIM(INDEX(Forms貼り付け!$A:$AZ,18,AW$3)),1),""))</f>
        <v/>
      </c>
      <c r="AX19" s="8">
        <f>IF(AX$3="","",IFERROR(LEFT(TRIM(INDEX(Forms貼り付け!$A:$AZ,18,AX$3)),1),""))</f>
        <v/>
      </c>
      <c r="AY19" s="8">
        <f>IF(AY$3="","",IFERROR(LEFT(TRIM(INDEX(Forms貼り付け!$A:$AZ,18,AY$3)),1),""))</f>
        <v/>
      </c>
      <c r="AZ19" s="8">
        <f>IF(AZ$3="","",IFERROR(LEFT(TRIM(INDEX(Forms貼り付け!$A:$AZ,18,AZ$3)),1),""))</f>
        <v/>
      </c>
      <c r="BA19" s="8">
        <f>IF(BA$3="","",IFERROR(LEFT(TRIM(INDEX(Forms貼り付け!$A:$AZ,18,BA$3)),1),""))</f>
        <v/>
      </c>
      <c r="BB19" s="8">
        <f>IF(BB$3="","",IFERROR(LEFT(TRIM(INDEX(Forms貼り付け!$A:$AZ,18,BB$3)),1),""))</f>
        <v/>
      </c>
      <c r="BC19" s="8">
        <f>IF(BC$3="","",IFERROR(LEFT(TRIM(INDEX(Forms貼り付け!$A:$AZ,18,BC$3)),1),""))</f>
        <v/>
      </c>
    </row>
    <row r="20">
      <c r="A20" s="8" t="inlineStr">
        <is>
          <t>U016</t>
        </is>
      </c>
      <c r="B20" s="9">
        <f>IF($B$3="","",INDEX(Forms貼り付け!$A:$AZ,19,$B$3))</f>
        <v/>
      </c>
      <c r="C20" s="9">
        <f>IF($C$3="","",INDEX(Forms貼り付け!$A:$AZ,19,$C$3))</f>
        <v/>
      </c>
      <c r="D20" s="8">
        <f>IF($D$3="","",INDEX(Forms貼り付け!$A:$AZ,19,$D$3))</f>
        <v/>
      </c>
      <c r="E20" s="8">
        <f>IF($E$3="","",INDEX(Forms貼り付け!$A:$AZ,19,$E$3))</f>
        <v/>
      </c>
      <c r="F20" s="8">
        <f>IF(F$3="","",IFERROR(LEFT(TRIM(INDEX(Forms貼り付け!$A:$AZ,19,F$3)),1),""))</f>
        <v/>
      </c>
      <c r="G20" s="8">
        <f>IF(G$3="","",IFERROR(LEFT(TRIM(INDEX(Forms貼り付け!$A:$AZ,19,G$3)),1),""))</f>
        <v/>
      </c>
      <c r="H20" s="8">
        <f>IF(H$3="","",IFERROR(LEFT(TRIM(INDEX(Forms貼り付け!$A:$AZ,19,H$3)),1),""))</f>
        <v/>
      </c>
      <c r="I20" s="8">
        <f>IF(I$3="","",IFERROR(LEFT(TRIM(INDEX(Forms貼り付け!$A:$AZ,19,I$3)),1),""))</f>
        <v/>
      </c>
      <c r="J20" s="8">
        <f>IF(J$3="","",IFERROR(LEFT(TRIM(INDEX(Forms貼り付け!$A:$AZ,19,J$3)),1),""))</f>
        <v/>
      </c>
      <c r="K20" s="8">
        <f>IF(K$3="","",IFERROR(LEFT(TRIM(INDEX(Forms貼り付け!$A:$AZ,19,K$3)),1),""))</f>
        <v/>
      </c>
      <c r="L20" s="8">
        <f>IF(L$3="","",IFERROR(LEFT(TRIM(INDEX(Forms貼り付け!$A:$AZ,19,L$3)),1),""))</f>
        <v/>
      </c>
      <c r="M20" s="8">
        <f>IF(M$3="","",IFERROR(LEFT(TRIM(INDEX(Forms貼り付け!$A:$AZ,19,M$3)),1),""))</f>
        <v/>
      </c>
      <c r="N20" s="8">
        <f>IF(N$3="","",IFERROR(LEFT(TRIM(INDEX(Forms貼り付け!$A:$AZ,19,N$3)),1),""))</f>
        <v/>
      </c>
      <c r="O20" s="8">
        <f>IF(O$3="","",IFERROR(LEFT(TRIM(INDEX(Forms貼り付け!$A:$AZ,19,O$3)),1),""))</f>
        <v/>
      </c>
      <c r="P20" s="8">
        <f>IF(P$3="","",IFERROR(LEFT(TRIM(INDEX(Forms貼り付け!$A:$AZ,19,P$3)),1),""))</f>
        <v/>
      </c>
      <c r="Q20" s="8">
        <f>IF(Q$3="","",IFERROR(LEFT(TRIM(INDEX(Forms貼り付け!$A:$AZ,19,Q$3)),1),""))</f>
        <v/>
      </c>
      <c r="R20" s="8">
        <f>IF(R$3="","",IFERROR(LEFT(TRIM(INDEX(Forms貼り付け!$A:$AZ,19,R$3)),1),""))</f>
        <v/>
      </c>
      <c r="S20" s="8">
        <f>IF(S$3="","",IFERROR(LEFT(TRIM(INDEX(Forms貼り付け!$A:$AZ,19,S$3)),1),""))</f>
        <v/>
      </c>
      <c r="T20" s="8">
        <f>IF(T$3="","",IFERROR(LEFT(TRIM(INDEX(Forms貼り付け!$A:$AZ,19,T$3)),1),""))</f>
        <v/>
      </c>
      <c r="U20" s="8">
        <f>IF(U$3="","",IFERROR(LEFT(TRIM(INDEX(Forms貼り付け!$A:$AZ,19,U$3)),1),""))</f>
        <v/>
      </c>
      <c r="V20" s="8">
        <f>IF(V$3="","",IFERROR(LEFT(TRIM(INDEX(Forms貼り付け!$A:$AZ,19,V$3)),1),""))</f>
        <v/>
      </c>
      <c r="W20" s="8">
        <f>IF(W$3="","",IFERROR(LEFT(TRIM(INDEX(Forms貼り付け!$A:$AZ,19,W$3)),1),""))</f>
        <v/>
      </c>
      <c r="X20" s="8">
        <f>IF(X$3="","",IFERROR(LEFT(TRIM(INDEX(Forms貼り付け!$A:$AZ,19,X$3)),1),""))</f>
        <v/>
      </c>
      <c r="Y20" s="8">
        <f>IF(Y$3="","",IFERROR(LEFT(TRIM(INDEX(Forms貼り付け!$A:$AZ,19,Y$3)),1),""))</f>
        <v/>
      </c>
      <c r="Z20" s="8">
        <f>IF(Z$3="","",IFERROR(LEFT(TRIM(INDEX(Forms貼り付け!$A:$AZ,19,Z$3)),1),""))</f>
        <v/>
      </c>
      <c r="AA20" s="8">
        <f>IF(AA$3="","",IFERROR(LEFT(TRIM(INDEX(Forms貼り付け!$A:$AZ,19,AA$3)),1),""))</f>
        <v/>
      </c>
      <c r="AB20" s="8">
        <f>IF(AB$3="","",IFERROR(LEFT(TRIM(INDEX(Forms貼り付け!$A:$AZ,19,AB$3)),1),""))</f>
        <v/>
      </c>
      <c r="AC20" s="8">
        <f>IF(AC$3="","",IFERROR(LEFT(TRIM(INDEX(Forms貼り付け!$A:$AZ,19,AC$3)),1),""))</f>
        <v/>
      </c>
      <c r="AD20" s="8">
        <f>IF(AD$3="","",IFERROR(LEFT(TRIM(INDEX(Forms貼り付け!$A:$AZ,19,AD$3)),1),""))</f>
        <v/>
      </c>
      <c r="AE20" s="8">
        <f>IF(AE$3="","",IFERROR(LEFT(TRIM(INDEX(Forms貼り付け!$A:$AZ,19,AE$3)),1),""))</f>
        <v/>
      </c>
      <c r="AF20" s="8">
        <f>IF(AF$3="","",IFERROR(LEFT(TRIM(INDEX(Forms貼り付け!$A:$AZ,19,AF$3)),1),""))</f>
        <v/>
      </c>
      <c r="AG20" s="8">
        <f>IF(AG$3="","",IFERROR(LEFT(TRIM(INDEX(Forms貼り付け!$A:$AZ,19,AG$3)),1),""))</f>
        <v/>
      </c>
      <c r="AH20" s="8">
        <f>IF(AH$3="","",IFERROR(LEFT(TRIM(INDEX(Forms貼り付け!$A:$AZ,19,AH$3)),1),""))</f>
        <v/>
      </c>
      <c r="AI20" s="8">
        <f>IF(AI$3="","",IFERROR(LEFT(TRIM(INDEX(Forms貼り付け!$A:$AZ,19,AI$3)),1),""))</f>
        <v/>
      </c>
      <c r="AJ20" s="8">
        <f>IF(AJ$3="","",IFERROR(LEFT(TRIM(INDEX(Forms貼り付け!$A:$AZ,19,AJ$3)),1),""))</f>
        <v/>
      </c>
      <c r="AK20" s="8">
        <f>IF(AK$3="","",IFERROR(LEFT(TRIM(INDEX(Forms貼り付け!$A:$AZ,19,AK$3)),1),""))</f>
        <v/>
      </c>
      <c r="AL20" s="8">
        <f>IF(AL$3="","",IFERROR(LEFT(TRIM(INDEX(Forms貼り付け!$A:$AZ,19,AL$3)),1),""))</f>
        <v/>
      </c>
      <c r="AM20" s="8">
        <f>IF(AM$3="","",IFERROR(LEFT(TRIM(INDEX(Forms貼り付け!$A:$AZ,19,AM$3)),1),""))</f>
        <v/>
      </c>
      <c r="AN20" s="8">
        <f>IF(AN$3="","",IFERROR(LEFT(TRIM(INDEX(Forms貼り付け!$A:$AZ,19,AN$3)),1),""))</f>
        <v/>
      </c>
      <c r="AO20" s="8">
        <f>IF(AO$3="","",IFERROR(LEFT(TRIM(INDEX(Forms貼り付け!$A:$AZ,19,AO$3)),1),""))</f>
        <v/>
      </c>
      <c r="AP20" s="8">
        <f>IF(AP$3="","",IFERROR(LEFT(TRIM(INDEX(Forms貼り付け!$A:$AZ,19,AP$3)),1),""))</f>
        <v/>
      </c>
      <c r="AQ20" s="8">
        <f>IF(AQ$3="","",IFERROR(LEFT(TRIM(INDEX(Forms貼り付け!$A:$AZ,19,AQ$3)),1),""))</f>
        <v/>
      </c>
      <c r="AR20" s="8">
        <f>IF(AR$3="","",IFERROR(LEFT(TRIM(INDEX(Forms貼り付け!$A:$AZ,19,AR$3)),1),""))</f>
        <v/>
      </c>
      <c r="AS20" s="8">
        <f>IF(AS$3="","",IFERROR(LEFT(TRIM(INDEX(Forms貼り付け!$A:$AZ,19,AS$3)),1),""))</f>
        <v/>
      </c>
      <c r="AT20" s="8">
        <f>IF(AT$3="","",IFERROR(LEFT(TRIM(INDEX(Forms貼り付け!$A:$AZ,19,AT$3)),1),""))</f>
        <v/>
      </c>
      <c r="AU20" s="8">
        <f>IF(AU$3="","",IFERROR(LEFT(TRIM(INDEX(Forms貼り付け!$A:$AZ,19,AU$3)),1),""))</f>
        <v/>
      </c>
      <c r="AV20" s="8">
        <f>IF(AV$3="","",IFERROR(LEFT(TRIM(INDEX(Forms貼り付け!$A:$AZ,19,AV$3)),1),""))</f>
        <v/>
      </c>
      <c r="AW20" s="8">
        <f>IF(AW$3="","",IFERROR(LEFT(TRIM(INDEX(Forms貼り付け!$A:$AZ,19,AW$3)),1),""))</f>
        <v/>
      </c>
      <c r="AX20" s="8">
        <f>IF(AX$3="","",IFERROR(LEFT(TRIM(INDEX(Forms貼り付け!$A:$AZ,19,AX$3)),1),""))</f>
        <v/>
      </c>
      <c r="AY20" s="8">
        <f>IF(AY$3="","",IFERROR(LEFT(TRIM(INDEX(Forms貼り付け!$A:$AZ,19,AY$3)),1),""))</f>
        <v/>
      </c>
      <c r="AZ20" s="8">
        <f>IF(AZ$3="","",IFERROR(LEFT(TRIM(INDEX(Forms貼り付け!$A:$AZ,19,AZ$3)),1),""))</f>
        <v/>
      </c>
      <c r="BA20" s="8">
        <f>IF(BA$3="","",IFERROR(LEFT(TRIM(INDEX(Forms貼り付け!$A:$AZ,19,BA$3)),1),""))</f>
        <v/>
      </c>
      <c r="BB20" s="8">
        <f>IF(BB$3="","",IFERROR(LEFT(TRIM(INDEX(Forms貼り付け!$A:$AZ,19,BB$3)),1),""))</f>
        <v/>
      </c>
      <c r="BC20" s="8">
        <f>IF(BC$3="","",IFERROR(LEFT(TRIM(INDEX(Forms貼り付け!$A:$AZ,19,BC$3)),1),""))</f>
        <v/>
      </c>
    </row>
    <row r="21">
      <c r="A21" s="8" t="inlineStr">
        <is>
          <t>U017</t>
        </is>
      </c>
      <c r="B21" s="9">
        <f>IF($B$3="","",INDEX(Forms貼り付け!$A:$AZ,20,$B$3))</f>
        <v/>
      </c>
      <c r="C21" s="9">
        <f>IF($C$3="","",INDEX(Forms貼り付け!$A:$AZ,20,$C$3))</f>
        <v/>
      </c>
      <c r="D21" s="8">
        <f>IF($D$3="","",INDEX(Forms貼り付け!$A:$AZ,20,$D$3))</f>
        <v/>
      </c>
      <c r="E21" s="8">
        <f>IF($E$3="","",INDEX(Forms貼り付け!$A:$AZ,20,$E$3))</f>
        <v/>
      </c>
      <c r="F21" s="8">
        <f>IF(F$3="","",IFERROR(LEFT(TRIM(INDEX(Forms貼り付け!$A:$AZ,20,F$3)),1),""))</f>
        <v/>
      </c>
      <c r="G21" s="8">
        <f>IF(G$3="","",IFERROR(LEFT(TRIM(INDEX(Forms貼り付け!$A:$AZ,20,G$3)),1),""))</f>
        <v/>
      </c>
      <c r="H21" s="8">
        <f>IF(H$3="","",IFERROR(LEFT(TRIM(INDEX(Forms貼り付け!$A:$AZ,20,H$3)),1),""))</f>
        <v/>
      </c>
      <c r="I21" s="8">
        <f>IF(I$3="","",IFERROR(LEFT(TRIM(INDEX(Forms貼り付け!$A:$AZ,20,I$3)),1),""))</f>
        <v/>
      </c>
      <c r="J21" s="8">
        <f>IF(J$3="","",IFERROR(LEFT(TRIM(INDEX(Forms貼り付け!$A:$AZ,20,J$3)),1),""))</f>
        <v/>
      </c>
      <c r="K21" s="8">
        <f>IF(K$3="","",IFERROR(LEFT(TRIM(INDEX(Forms貼り付け!$A:$AZ,20,K$3)),1),""))</f>
        <v/>
      </c>
      <c r="L21" s="8">
        <f>IF(L$3="","",IFERROR(LEFT(TRIM(INDEX(Forms貼り付け!$A:$AZ,20,L$3)),1),""))</f>
        <v/>
      </c>
      <c r="M21" s="8">
        <f>IF(M$3="","",IFERROR(LEFT(TRIM(INDEX(Forms貼り付け!$A:$AZ,20,M$3)),1),""))</f>
        <v/>
      </c>
      <c r="N21" s="8">
        <f>IF(N$3="","",IFERROR(LEFT(TRIM(INDEX(Forms貼り付け!$A:$AZ,20,N$3)),1),""))</f>
        <v/>
      </c>
      <c r="O21" s="8">
        <f>IF(O$3="","",IFERROR(LEFT(TRIM(INDEX(Forms貼り付け!$A:$AZ,20,O$3)),1),""))</f>
        <v/>
      </c>
      <c r="P21" s="8">
        <f>IF(P$3="","",IFERROR(LEFT(TRIM(INDEX(Forms貼り付け!$A:$AZ,20,P$3)),1),""))</f>
        <v/>
      </c>
      <c r="Q21" s="8">
        <f>IF(Q$3="","",IFERROR(LEFT(TRIM(INDEX(Forms貼り付け!$A:$AZ,20,Q$3)),1),""))</f>
        <v/>
      </c>
      <c r="R21" s="8">
        <f>IF(R$3="","",IFERROR(LEFT(TRIM(INDEX(Forms貼り付け!$A:$AZ,20,R$3)),1),""))</f>
        <v/>
      </c>
      <c r="S21" s="8">
        <f>IF(S$3="","",IFERROR(LEFT(TRIM(INDEX(Forms貼り付け!$A:$AZ,20,S$3)),1),""))</f>
        <v/>
      </c>
      <c r="T21" s="8">
        <f>IF(T$3="","",IFERROR(LEFT(TRIM(INDEX(Forms貼り付け!$A:$AZ,20,T$3)),1),""))</f>
        <v/>
      </c>
      <c r="U21" s="8">
        <f>IF(U$3="","",IFERROR(LEFT(TRIM(INDEX(Forms貼り付け!$A:$AZ,20,U$3)),1),""))</f>
        <v/>
      </c>
      <c r="V21" s="8">
        <f>IF(V$3="","",IFERROR(LEFT(TRIM(INDEX(Forms貼り付け!$A:$AZ,20,V$3)),1),""))</f>
        <v/>
      </c>
      <c r="W21" s="8">
        <f>IF(W$3="","",IFERROR(LEFT(TRIM(INDEX(Forms貼り付け!$A:$AZ,20,W$3)),1),""))</f>
        <v/>
      </c>
      <c r="X21" s="8">
        <f>IF(X$3="","",IFERROR(LEFT(TRIM(INDEX(Forms貼り付け!$A:$AZ,20,X$3)),1),""))</f>
        <v/>
      </c>
      <c r="Y21" s="8">
        <f>IF(Y$3="","",IFERROR(LEFT(TRIM(INDEX(Forms貼り付け!$A:$AZ,20,Y$3)),1),""))</f>
        <v/>
      </c>
      <c r="Z21" s="8">
        <f>IF(Z$3="","",IFERROR(LEFT(TRIM(INDEX(Forms貼り付け!$A:$AZ,20,Z$3)),1),""))</f>
        <v/>
      </c>
      <c r="AA21" s="8">
        <f>IF(AA$3="","",IFERROR(LEFT(TRIM(INDEX(Forms貼り付け!$A:$AZ,20,AA$3)),1),""))</f>
        <v/>
      </c>
      <c r="AB21" s="8">
        <f>IF(AB$3="","",IFERROR(LEFT(TRIM(INDEX(Forms貼り付け!$A:$AZ,20,AB$3)),1),""))</f>
        <v/>
      </c>
      <c r="AC21" s="8">
        <f>IF(AC$3="","",IFERROR(LEFT(TRIM(INDEX(Forms貼り付け!$A:$AZ,20,AC$3)),1),""))</f>
        <v/>
      </c>
      <c r="AD21" s="8">
        <f>IF(AD$3="","",IFERROR(LEFT(TRIM(INDEX(Forms貼り付け!$A:$AZ,20,AD$3)),1),""))</f>
        <v/>
      </c>
      <c r="AE21" s="8">
        <f>IF(AE$3="","",IFERROR(LEFT(TRIM(INDEX(Forms貼り付け!$A:$AZ,20,AE$3)),1),""))</f>
        <v/>
      </c>
      <c r="AF21" s="8">
        <f>IF(AF$3="","",IFERROR(LEFT(TRIM(INDEX(Forms貼り付け!$A:$AZ,20,AF$3)),1),""))</f>
        <v/>
      </c>
      <c r="AG21" s="8">
        <f>IF(AG$3="","",IFERROR(LEFT(TRIM(INDEX(Forms貼り付け!$A:$AZ,20,AG$3)),1),""))</f>
        <v/>
      </c>
      <c r="AH21" s="8">
        <f>IF(AH$3="","",IFERROR(LEFT(TRIM(INDEX(Forms貼り付け!$A:$AZ,20,AH$3)),1),""))</f>
        <v/>
      </c>
      <c r="AI21" s="8">
        <f>IF(AI$3="","",IFERROR(LEFT(TRIM(INDEX(Forms貼り付け!$A:$AZ,20,AI$3)),1),""))</f>
        <v/>
      </c>
      <c r="AJ21" s="8">
        <f>IF(AJ$3="","",IFERROR(LEFT(TRIM(INDEX(Forms貼り付け!$A:$AZ,20,AJ$3)),1),""))</f>
        <v/>
      </c>
      <c r="AK21" s="8">
        <f>IF(AK$3="","",IFERROR(LEFT(TRIM(INDEX(Forms貼り付け!$A:$AZ,20,AK$3)),1),""))</f>
        <v/>
      </c>
      <c r="AL21" s="8">
        <f>IF(AL$3="","",IFERROR(LEFT(TRIM(INDEX(Forms貼り付け!$A:$AZ,20,AL$3)),1),""))</f>
        <v/>
      </c>
      <c r="AM21" s="8">
        <f>IF(AM$3="","",IFERROR(LEFT(TRIM(INDEX(Forms貼り付け!$A:$AZ,20,AM$3)),1),""))</f>
        <v/>
      </c>
      <c r="AN21" s="8">
        <f>IF(AN$3="","",IFERROR(LEFT(TRIM(INDEX(Forms貼り付け!$A:$AZ,20,AN$3)),1),""))</f>
        <v/>
      </c>
      <c r="AO21" s="8">
        <f>IF(AO$3="","",IFERROR(LEFT(TRIM(INDEX(Forms貼り付け!$A:$AZ,20,AO$3)),1),""))</f>
        <v/>
      </c>
      <c r="AP21" s="8">
        <f>IF(AP$3="","",IFERROR(LEFT(TRIM(INDEX(Forms貼り付け!$A:$AZ,20,AP$3)),1),""))</f>
        <v/>
      </c>
      <c r="AQ21" s="8">
        <f>IF(AQ$3="","",IFERROR(LEFT(TRIM(INDEX(Forms貼り付け!$A:$AZ,20,AQ$3)),1),""))</f>
        <v/>
      </c>
      <c r="AR21" s="8">
        <f>IF(AR$3="","",IFERROR(LEFT(TRIM(INDEX(Forms貼り付け!$A:$AZ,20,AR$3)),1),""))</f>
        <v/>
      </c>
      <c r="AS21" s="8">
        <f>IF(AS$3="","",IFERROR(LEFT(TRIM(INDEX(Forms貼り付け!$A:$AZ,20,AS$3)),1),""))</f>
        <v/>
      </c>
      <c r="AT21" s="8">
        <f>IF(AT$3="","",IFERROR(LEFT(TRIM(INDEX(Forms貼り付け!$A:$AZ,20,AT$3)),1),""))</f>
        <v/>
      </c>
      <c r="AU21" s="8">
        <f>IF(AU$3="","",IFERROR(LEFT(TRIM(INDEX(Forms貼り付け!$A:$AZ,20,AU$3)),1),""))</f>
        <v/>
      </c>
      <c r="AV21" s="8">
        <f>IF(AV$3="","",IFERROR(LEFT(TRIM(INDEX(Forms貼り付け!$A:$AZ,20,AV$3)),1),""))</f>
        <v/>
      </c>
      <c r="AW21" s="8">
        <f>IF(AW$3="","",IFERROR(LEFT(TRIM(INDEX(Forms貼り付け!$A:$AZ,20,AW$3)),1),""))</f>
        <v/>
      </c>
      <c r="AX21" s="8">
        <f>IF(AX$3="","",IFERROR(LEFT(TRIM(INDEX(Forms貼り付け!$A:$AZ,20,AX$3)),1),""))</f>
        <v/>
      </c>
      <c r="AY21" s="8">
        <f>IF(AY$3="","",IFERROR(LEFT(TRIM(INDEX(Forms貼り付け!$A:$AZ,20,AY$3)),1),""))</f>
        <v/>
      </c>
      <c r="AZ21" s="8">
        <f>IF(AZ$3="","",IFERROR(LEFT(TRIM(INDEX(Forms貼り付け!$A:$AZ,20,AZ$3)),1),""))</f>
        <v/>
      </c>
      <c r="BA21" s="8">
        <f>IF(BA$3="","",IFERROR(LEFT(TRIM(INDEX(Forms貼り付け!$A:$AZ,20,BA$3)),1),""))</f>
        <v/>
      </c>
      <c r="BB21" s="8">
        <f>IF(BB$3="","",IFERROR(LEFT(TRIM(INDEX(Forms貼り付け!$A:$AZ,20,BB$3)),1),""))</f>
        <v/>
      </c>
      <c r="BC21" s="8">
        <f>IF(BC$3="","",IFERROR(LEFT(TRIM(INDEX(Forms貼り付け!$A:$AZ,20,BC$3)),1),""))</f>
        <v/>
      </c>
    </row>
    <row r="22">
      <c r="A22" s="8" t="inlineStr">
        <is>
          <t>U018</t>
        </is>
      </c>
      <c r="B22" s="9">
        <f>IF($B$3="","",INDEX(Forms貼り付け!$A:$AZ,21,$B$3))</f>
        <v/>
      </c>
      <c r="C22" s="9">
        <f>IF($C$3="","",INDEX(Forms貼り付け!$A:$AZ,21,$C$3))</f>
        <v/>
      </c>
      <c r="D22" s="8">
        <f>IF($D$3="","",INDEX(Forms貼り付け!$A:$AZ,21,$D$3))</f>
        <v/>
      </c>
      <c r="E22" s="8">
        <f>IF($E$3="","",INDEX(Forms貼り付け!$A:$AZ,21,$E$3))</f>
        <v/>
      </c>
      <c r="F22" s="8">
        <f>IF(F$3="","",IFERROR(LEFT(TRIM(INDEX(Forms貼り付け!$A:$AZ,21,F$3)),1),""))</f>
        <v/>
      </c>
      <c r="G22" s="8">
        <f>IF(G$3="","",IFERROR(LEFT(TRIM(INDEX(Forms貼り付け!$A:$AZ,21,G$3)),1),""))</f>
        <v/>
      </c>
      <c r="H22" s="8">
        <f>IF(H$3="","",IFERROR(LEFT(TRIM(INDEX(Forms貼り付け!$A:$AZ,21,H$3)),1),""))</f>
        <v/>
      </c>
      <c r="I22" s="8">
        <f>IF(I$3="","",IFERROR(LEFT(TRIM(INDEX(Forms貼り付け!$A:$AZ,21,I$3)),1),""))</f>
        <v/>
      </c>
      <c r="J22" s="8">
        <f>IF(J$3="","",IFERROR(LEFT(TRIM(INDEX(Forms貼り付け!$A:$AZ,21,J$3)),1),""))</f>
        <v/>
      </c>
      <c r="K22" s="8">
        <f>IF(K$3="","",IFERROR(LEFT(TRIM(INDEX(Forms貼り付け!$A:$AZ,21,K$3)),1),""))</f>
        <v/>
      </c>
      <c r="L22" s="8">
        <f>IF(L$3="","",IFERROR(LEFT(TRIM(INDEX(Forms貼り付け!$A:$AZ,21,L$3)),1),""))</f>
        <v/>
      </c>
      <c r="M22" s="8">
        <f>IF(M$3="","",IFERROR(LEFT(TRIM(INDEX(Forms貼り付け!$A:$AZ,21,M$3)),1),""))</f>
        <v/>
      </c>
      <c r="N22" s="8">
        <f>IF(N$3="","",IFERROR(LEFT(TRIM(INDEX(Forms貼り付け!$A:$AZ,21,N$3)),1),""))</f>
        <v/>
      </c>
      <c r="O22" s="8">
        <f>IF(O$3="","",IFERROR(LEFT(TRIM(INDEX(Forms貼り付け!$A:$AZ,21,O$3)),1),""))</f>
        <v/>
      </c>
      <c r="P22" s="8">
        <f>IF(P$3="","",IFERROR(LEFT(TRIM(INDEX(Forms貼り付け!$A:$AZ,21,P$3)),1),""))</f>
        <v/>
      </c>
      <c r="Q22" s="8">
        <f>IF(Q$3="","",IFERROR(LEFT(TRIM(INDEX(Forms貼り付け!$A:$AZ,21,Q$3)),1),""))</f>
        <v/>
      </c>
      <c r="R22" s="8">
        <f>IF(R$3="","",IFERROR(LEFT(TRIM(INDEX(Forms貼り付け!$A:$AZ,21,R$3)),1),""))</f>
        <v/>
      </c>
      <c r="S22" s="8">
        <f>IF(S$3="","",IFERROR(LEFT(TRIM(INDEX(Forms貼り付け!$A:$AZ,21,S$3)),1),""))</f>
        <v/>
      </c>
      <c r="T22" s="8">
        <f>IF(T$3="","",IFERROR(LEFT(TRIM(INDEX(Forms貼り付け!$A:$AZ,21,T$3)),1),""))</f>
        <v/>
      </c>
      <c r="U22" s="8">
        <f>IF(U$3="","",IFERROR(LEFT(TRIM(INDEX(Forms貼り付け!$A:$AZ,21,U$3)),1),""))</f>
        <v/>
      </c>
      <c r="V22" s="8">
        <f>IF(V$3="","",IFERROR(LEFT(TRIM(INDEX(Forms貼り付け!$A:$AZ,21,V$3)),1),""))</f>
        <v/>
      </c>
      <c r="W22" s="8">
        <f>IF(W$3="","",IFERROR(LEFT(TRIM(INDEX(Forms貼り付け!$A:$AZ,21,W$3)),1),""))</f>
        <v/>
      </c>
      <c r="X22" s="8">
        <f>IF(X$3="","",IFERROR(LEFT(TRIM(INDEX(Forms貼り付け!$A:$AZ,21,X$3)),1),""))</f>
        <v/>
      </c>
      <c r="Y22" s="8">
        <f>IF(Y$3="","",IFERROR(LEFT(TRIM(INDEX(Forms貼り付け!$A:$AZ,21,Y$3)),1),""))</f>
        <v/>
      </c>
      <c r="Z22" s="8">
        <f>IF(Z$3="","",IFERROR(LEFT(TRIM(INDEX(Forms貼り付け!$A:$AZ,21,Z$3)),1),""))</f>
        <v/>
      </c>
      <c r="AA22" s="8">
        <f>IF(AA$3="","",IFERROR(LEFT(TRIM(INDEX(Forms貼り付け!$A:$AZ,21,AA$3)),1),""))</f>
        <v/>
      </c>
      <c r="AB22" s="8">
        <f>IF(AB$3="","",IFERROR(LEFT(TRIM(INDEX(Forms貼り付け!$A:$AZ,21,AB$3)),1),""))</f>
        <v/>
      </c>
      <c r="AC22" s="8">
        <f>IF(AC$3="","",IFERROR(LEFT(TRIM(INDEX(Forms貼り付け!$A:$AZ,21,AC$3)),1),""))</f>
        <v/>
      </c>
      <c r="AD22" s="8">
        <f>IF(AD$3="","",IFERROR(LEFT(TRIM(INDEX(Forms貼り付け!$A:$AZ,21,AD$3)),1),""))</f>
        <v/>
      </c>
      <c r="AE22" s="8">
        <f>IF(AE$3="","",IFERROR(LEFT(TRIM(INDEX(Forms貼り付け!$A:$AZ,21,AE$3)),1),""))</f>
        <v/>
      </c>
      <c r="AF22" s="8">
        <f>IF(AF$3="","",IFERROR(LEFT(TRIM(INDEX(Forms貼り付け!$A:$AZ,21,AF$3)),1),""))</f>
        <v/>
      </c>
      <c r="AG22" s="8">
        <f>IF(AG$3="","",IFERROR(LEFT(TRIM(INDEX(Forms貼り付け!$A:$AZ,21,AG$3)),1),""))</f>
        <v/>
      </c>
      <c r="AH22" s="8">
        <f>IF(AH$3="","",IFERROR(LEFT(TRIM(INDEX(Forms貼り付け!$A:$AZ,21,AH$3)),1),""))</f>
        <v/>
      </c>
      <c r="AI22" s="8">
        <f>IF(AI$3="","",IFERROR(LEFT(TRIM(INDEX(Forms貼り付け!$A:$AZ,21,AI$3)),1),""))</f>
        <v/>
      </c>
      <c r="AJ22" s="8">
        <f>IF(AJ$3="","",IFERROR(LEFT(TRIM(INDEX(Forms貼り付け!$A:$AZ,21,AJ$3)),1),""))</f>
        <v/>
      </c>
      <c r="AK22" s="8">
        <f>IF(AK$3="","",IFERROR(LEFT(TRIM(INDEX(Forms貼り付け!$A:$AZ,21,AK$3)),1),""))</f>
        <v/>
      </c>
      <c r="AL22" s="8">
        <f>IF(AL$3="","",IFERROR(LEFT(TRIM(INDEX(Forms貼り付け!$A:$AZ,21,AL$3)),1),""))</f>
        <v/>
      </c>
      <c r="AM22" s="8">
        <f>IF(AM$3="","",IFERROR(LEFT(TRIM(INDEX(Forms貼り付け!$A:$AZ,21,AM$3)),1),""))</f>
        <v/>
      </c>
      <c r="AN22" s="8">
        <f>IF(AN$3="","",IFERROR(LEFT(TRIM(INDEX(Forms貼り付け!$A:$AZ,21,AN$3)),1),""))</f>
        <v/>
      </c>
      <c r="AO22" s="8">
        <f>IF(AO$3="","",IFERROR(LEFT(TRIM(INDEX(Forms貼り付け!$A:$AZ,21,AO$3)),1),""))</f>
        <v/>
      </c>
      <c r="AP22" s="8">
        <f>IF(AP$3="","",IFERROR(LEFT(TRIM(INDEX(Forms貼り付け!$A:$AZ,21,AP$3)),1),""))</f>
        <v/>
      </c>
      <c r="AQ22" s="8">
        <f>IF(AQ$3="","",IFERROR(LEFT(TRIM(INDEX(Forms貼り付け!$A:$AZ,21,AQ$3)),1),""))</f>
        <v/>
      </c>
      <c r="AR22" s="8">
        <f>IF(AR$3="","",IFERROR(LEFT(TRIM(INDEX(Forms貼り付け!$A:$AZ,21,AR$3)),1),""))</f>
        <v/>
      </c>
      <c r="AS22" s="8">
        <f>IF(AS$3="","",IFERROR(LEFT(TRIM(INDEX(Forms貼り付け!$A:$AZ,21,AS$3)),1),""))</f>
        <v/>
      </c>
      <c r="AT22" s="8">
        <f>IF(AT$3="","",IFERROR(LEFT(TRIM(INDEX(Forms貼り付け!$A:$AZ,21,AT$3)),1),""))</f>
        <v/>
      </c>
      <c r="AU22" s="8">
        <f>IF(AU$3="","",IFERROR(LEFT(TRIM(INDEX(Forms貼り付け!$A:$AZ,21,AU$3)),1),""))</f>
        <v/>
      </c>
      <c r="AV22" s="8">
        <f>IF(AV$3="","",IFERROR(LEFT(TRIM(INDEX(Forms貼り付け!$A:$AZ,21,AV$3)),1),""))</f>
        <v/>
      </c>
      <c r="AW22" s="8">
        <f>IF(AW$3="","",IFERROR(LEFT(TRIM(INDEX(Forms貼り付け!$A:$AZ,21,AW$3)),1),""))</f>
        <v/>
      </c>
      <c r="AX22" s="8">
        <f>IF(AX$3="","",IFERROR(LEFT(TRIM(INDEX(Forms貼り付け!$A:$AZ,21,AX$3)),1),""))</f>
        <v/>
      </c>
      <c r="AY22" s="8">
        <f>IF(AY$3="","",IFERROR(LEFT(TRIM(INDEX(Forms貼り付け!$A:$AZ,21,AY$3)),1),""))</f>
        <v/>
      </c>
      <c r="AZ22" s="8">
        <f>IF(AZ$3="","",IFERROR(LEFT(TRIM(INDEX(Forms貼り付け!$A:$AZ,21,AZ$3)),1),""))</f>
        <v/>
      </c>
      <c r="BA22" s="8">
        <f>IF(BA$3="","",IFERROR(LEFT(TRIM(INDEX(Forms貼り付け!$A:$AZ,21,BA$3)),1),""))</f>
        <v/>
      </c>
      <c r="BB22" s="8">
        <f>IF(BB$3="","",IFERROR(LEFT(TRIM(INDEX(Forms貼り付け!$A:$AZ,21,BB$3)),1),""))</f>
        <v/>
      </c>
      <c r="BC22" s="8">
        <f>IF(BC$3="","",IFERROR(LEFT(TRIM(INDEX(Forms貼り付け!$A:$AZ,21,BC$3)),1),""))</f>
        <v/>
      </c>
    </row>
    <row r="23">
      <c r="A23" s="8" t="inlineStr">
        <is>
          <t>U019</t>
        </is>
      </c>
      <c r="B23" s="9">
        <f>IF($B$3="","",INDEX(Forms貼り付け!$A:$AZ,22,$B$3))</f>
        <v/>
      </c>
      <c r="C23" s="9">
        <f>IF($C$3="","",INDEX(Forms貼り付け!$A:$AZ,22,$C$3))</f>
        <v/>
      </c>
      <c r="D23" s="8">
        <f>IF($D$3="","",INDEX(Forms貼り付け!$A:$AZ,22,$D$3))</f>
        <v/>
      </c>
      <c r="E23" s="8">
        <f>IF($E$3="","",INDEX(Forms貼り付け!$A:$AZ,22,$E$3))</f>
        <v/>
      </c>
      <c r="F23" s="8">
        <f>IF(F$3="","",IFERROR(LEFT(TRIM(INDEX(Forms貼り付け!$A:$AZ,22,F$3)),1),""))</f>
        <v/>
      </c>
      <c r="G23" s="8">
        <f>IF(G$3="","",IFERROR(LEFT(TRIM(INDEX(Forms貼り付け!$A:$AZ,22,G$3)),1),""))</f>
        <v/>
      </c>
      <c r="H23" s="8">
        <f>IF(H$3="","",IFERROR(LEFT(TRIM(INDEX(Forms貼り付け!$A:$AZ,22,H$3)),1),""))</f>
        <v/>
      </c>
      <c r="I23" s="8">
        <f>IF(I$3="","",IFERROR(LEFT(TRIM(INDEX(Forms貼り付け!$A:$AZ,22,I$3)),1),""))</f>
        <v/>
      </c>
      <c r="J23" s="8">
        <f>IF(J$3="","",IFERROR(LEFT(TRIM(INDEX(Forms貼り付け!$A:$AZ,22,J$3)),1),""))</f>
        <v/>
      </c>
      <c r="K23" s="8">
        <f>IF(K$3="","",IFERROR(LEFT(TRIM(INDEX(Forms貼り付け!$A:$AZ,22,K$3)),1),""))</f>
        <v/>
      </c>
      <c r="L23" s="8">
        <f>IF(L$3="","",IFERROR(LEFT(TRIM(INDEX(Forms貼り付け!$A:$AZ,22,L$3)),1),""))</f>
        <v/>
      </c>
      <c r="M23" s="8">
        <f>IF(M$3="","",IFERROR(LEFT(TRIM(INDEX(Forms貼り付け!$A:$AZ,22,M$3)),1),""))</f>
        <v/>
      </c>
      <c r="N23" s="8">
        <f>IF(N$3="","",IFERROR(LEFT(TRIM(INDEX(Forms貼り付け!$A:$AZ,22,N$3)),1),""))</f>
        <v/>
      </c>
      <c r="O23" s="8">
        <f>IF(O$3="","",IFERROR(LEFT(TRIM(INDEX(Forms貼り付け!$A:$AZ,22,O$3)),1),""))</f>
        <v/>
      </c>
      <c r="P23" s="8">
        <f>IF(P$3="","",IFERROR(LEFT(TRIM(INDEX(Forms貼り付け!$A:$AZ,22,P$3)),1),""))</f>
        <v/>
      </c>
      <c r="Q23" s="8">
        <f>IF(Q$3="","",IFERROR(LEFT(TRIM(INDEX(Forms貼り付け!$A:$AZ,22,Q$3)),1),""))</f>
        <v/>
      </c>
      <c r="R23" s="8">
        <f>IF(R$3="","",IFERROR(LEFT(TRIM(INDEX(Forms貼り付け!$A:$AZ,22,R$3)),1),""))</f>
        <v/>
      </c>
      <c r="S23" s="8">
        <f>IF(S$3="","",IFERROR(LEFT(TRIM(INDEX(Forms貼り付け!$A:$AZ,22,S$3)),1),""))</f>
        <v/>
      </c>
      <c r="T23" s="8">
        <f>IF(T$3="","",IFERROR(LEFT(TRIM(INDEX(Forms貼り付け!$A:$AZ,22,T$3)),1),""))</f>
        <v/>
      </c>
      <c r="U23" s="8">
        <f>IF(U$3="","",IFERROR(LEFT(TRIM(INDEX(Forms貼り付け!$A:$AZ,22,U$3)),1),""))</f>
        <v/>
      </c>
      <c r="V23" s="8">
        <f>IF(V$3="","",IFERROR(LEFT(TRIM(INDEX(Forms貼り付け!$A:$AZ,22,V$3)),1),""))</f>
        <v/>
      </c>
      <c r="W23" s="8">
        <f>IF(W$3="","",IFERROR(LEFT(TRIM(INDEX(Forms貼り付け!$A:$AZ,22,W$3)),1),""))</f>
        <v/>
      </c>
      <c r="X23" s="8">
        <f>IF(X$3="","",IFERROR(LEFT(TRIM(INDEX(Forms貼り付け!$A:$AZ,22,X$3)),1),""))</f>
        <v/>
      </c>
      <c r="Y23" s="8">
        <f>IF(Y$3="","",IFERROR(LEFT(TRIM(INDEX(Forms貼り付け!$A:$AZ,22,Y$3)),1),""))</f>
        <v/>
      </c>
      <c r="Z23" s="8">
        <f>IF(Z$3="","",IFERROR(LEFT(TRIM(INDEX(Forms貼り付け!$A:$AZ,22,Z$3)),1),""))</f>
        <v/>
      </c>
      <c r="AA23" s="8">
        <f>IF(AA$3="","",IFERROR(LEFT(TRIM(INDEX(Forms貼り付け!$A:$AZ,22,AA$3)),1),""))</f>
        <v/>
      </c>
      <c r="AB23" s="8">
        <f>IF(AB$3="","",IFERROR(LEFT(TRIM(INDEX(Forms貼り付け!$A:$AZ,22,AB$3)),1),""))</f>
        <v/>
      </c>
      <c r="AC23" s="8">
        <f>IF(AC$3="","",IFERROR(LEFT(TRIM(INDEX(Forms貼り付け!$A:$AZ,22,AC$3)),1),""))</f>
        <v/>
      </c>
      <c r="AD23" s="8">
        <f>IF(AD$3="","",IFERROR(LEFT(TRIM(INDEX(Forms貼り付け!$A:$AZ,22,AD$3)),1),""))</f>
        <v/>
      </c>
      <c r="AE23" s="8">
        <f>IF(AE$3="","",IFERROR(LEFT(TRIM(INDEX(Forms貼り付け!$A:$AZ,22,AE$3)),1),""))</f>
        <v/>
      </c>
      <c r="AF23" s="8">
        <f>IF(AF$3="","",IFERROR(LEFT(TRIM(INDEX(Forms貼り付け!$A:$AZ,22,AF$3)),1),""))</f>
        <v/>
      </c>
      <c r="AG23" s="8">
        <f>IF(AG$3="","",IFERROR(LEFT(TRIM(INDEX(Forms貼り付け!$A:$AZ,22,AG$3)),1),""))</f>
        <v/>
      </c>
      <c r="AH23" s="8">
        <f>IF(AH$3="","",IFERROR(LEFT(TRIM(INDEX(Forms貼り付け!$A:$AZ,22,AH$3)),1),""))</f>
        <v/>
      </c>
      <c r="AI23" s="8">
        <f>IF(AI$3="","",IFERROR(LEFT(TRIM(INDEX(Forms貼り付け!$A:$AZ,22,AI$3)),1),""))</f>
        <v/>
      </c>
      <c r="AJ23" s="8">
        <f>IF(AJ$3="","",IFERROR(LEFT(TRIM(INDEX(Forms貼り付け!$A:$AZ,22,AJ$3)),1),""))</f>
        <v/>
      </c>
      <c r="AK23" s="8">
        <f>IF(AK$3="","",IFERROR(LEFT(TRIM(INDEX(Forms貼り付け!$A:$AZ,22,AK$3)),1),""))</f>
        <v/>
      </c>
      <c r="AL23" s="8">
        <f>IF(AL$3="","",IFERROR(LEFT(TRIM(INDEX(Forms貼り付け!$A:$AZ,22,AL$3)),1),""))</f>
        <v/>
      </c>
      <c r="AM23" s="8">
        <f>IF(AM$3="","",IFERROR(LEFT(TRIM(INDEX(Forms貼り付け!$A:$AZ,22,AM$3)),1),""))</f>
        <v/>
      </c>
      <c r="AN23" s="8">
        <f>IF(AN$3="","",IFERROR(LEFT(TRIM(INDEX(Forms貼り付け!$A:$AZ,22,AN$3)),1),""))</f>
        <v/>
      </c>
      <c r="AO23" s="8">
        <f>IF(AO$3="","",IFERROR(LEFT(TRIM(INDEX(Forms貼り付け!$A:$AZ,22,AO$3)),1),""))</f>
        <v/>
      </c>
      <c r="AP23" s="8">
        <f>IF(AP$3="","",IFERROR(LEFT(TRIM(INDEX(Forms貼り付け!$A:$AZ,22,AP$3)),1),""))</f>
        <v/>
      </c>
      <c r="AQ23" s="8">
        <f>IF(AQ$3="","",IFERROR(LEFT(TRIM(INDEX(Forms貼り付け!$A:$AZ,22,AQ$3)),1),""))</f>
        <v/>
      </c>
      <c r="AR23" s="8">
        <f>IF(AR$3="","",IFERROR(LEFT(TRIM(INDEX(Forms貼り付け!$A:$AZ,22,AR$3)),1),""))</f>
        <v/>
      </c>
      <c r="AS23" s="8">
        <f>IF(AS$3="","",IFERROR(LEFT(TRIM(INDEX(Forms貼り付け!$A:$AZ,22,AS$3)),1),""))</f>
        <v/>
      </c>
      <c r="AT23" s="8">
        <f>IF(AT$3="","",IFERROR(LEFT(TRIM(INDEX(Forms貼り付け!$A:$AZ,22,AT$3)),1),""))</f>
        <v/>
      </c>
      <c r="AU23" s="8">
        <f>IF(AU$3="","",IFERROR(LEFT(TRIM(INDEX(Forms貼り付け!$A:$AZ,22,AU$3)),1),""))</f>
        <v/>
      </c>
      <c r="AV23" s="8">
        <f>IF(AV$3="","",IFERROR(LEFT(TRIM(INDEX(Forms貼り付け!$A:$AZ,22,AV$3)),1),""))</f>
        <v/>
      </c>
      <c r="AW23" s="8">
        <f>IF(AW$3="","",IFERROR(LEFT(TRIM(INDEX(Forms貼り付け!$A:$AZ,22,AW$3)),1),""))</f>
        <v/>
      </c>
      <c r="AX23" s="8">
        <f>IF(AX$3="","",IFERROR(LEFT(TRIM(INDEX(Forms貼り付け!$A:$AZ,22,AX$3)),1),""))</f>
        <v/>
      </c>
      <c r="AY23" s="8">
        <f>IF(AY$3="","",IFERROR(LEFT(TRIM(INDEX(Forms貼り付け!$A:$AZ,22,AY$3)),1),""))</f>
        <v/>
      </c>
      <c r="AZ23" s="8">
        <f>IF(AZ$3="","",IFERROR(LEFT(TRIM(INDEX(Forms貼り付け!$A:$AZ,22,AZ$3)),1),""))</f>
        <v/>
      </c>
      <c r="BA23" s="8">
        <f>IF(BA$3="","",IFERROR(LEFT(TRIM(INDEX(Forms貼り付け!$A:$AZ,22,BA$3)),1),""))</f>
        <v/>
      </c>
      <c r="BB23" s="8">
        <f>IF(BB$3="","",IFERROR(LEFT(TRIM(INDEX(Forms貼り付け!$A:$AZ,22,BB$3)),1),""))</f>
        <v/>
      </c>
      <c r="BC23" s="8">
        <f>IF(BC$3="","",IFERROR(LEFT(TRIM(INDEX(Forms貼り付け!$A:$AZ,22,BC$3)),1),""))</f>
        <v/>
      </c>
    </row>
    <row r="24">
      <c r="A24" s="8" t="inlineStr">
        <is>
          <t>U020</t>
        </is>
      </c>
      <c r="B24" s="9">
        <f>IF($B$3="","",INDEX(Forms貼り付け!$A:$AZ,23,$B$3))</f>
        <v/>
      </c>
      <c r="C24" s="9">
        <f>IF($C$3="","",INDEX(Forms貼り付け!$A:$AZ,23,$C$3))</f>
        <v/>
      </c>
      <c r="D24" s="8">
        <f>IF($D$3="","",INDEX(Forms貼り付け!$A:$AZ,23,$D$3))</f>
        <v/>
      </c>
      <c r="E24" s="8">
        <f>IF($E$3="","",INDEX(Forms貼り付け!$A:$AZ,23,$E$3))</f>
        <v/>
      </c>
      <c r="F24" s="8">
        <f>IF(F$3="","",IFERROR(LEFT(TRIM(INDEX(Forms貼り付け!$A:$AZ,23,F$3)),1),""))</f>
        <v/>
      </c>
      <c r="G24" s="8">
        <f>IF(G$3="","",IFERROR(LEFT(TRIM(INDEX(Forms貼り付け!$A:$AZ,23,G$3)),1),""))</f>
        <v/>
      </c>
      <c r="H24" s="8">
        <f>IF(H$3="","",IFERROR(LEFT(TRIM(INDEX(Forms貼り付け!$A:$AZ,23,H$3)),1),""))</f>
        <v/>
      </c>
      <c r="I24" s="8">
        <f>IF(I$3="","",IFERROR(LEFT(TRIM(INDEX(Forms貼り付け!$A:$AZ,23,I$3)),1),""))</f>
        <v/>
      </c>
      <c r="J24" s="8">
        <f>IF(J$3="","",IFERROR(LEFT(TRIM(INDEX(Forms貼り付け!$A:$AZ,23,J$3)),1),""))</f>
        <v/>
      </c>
      <c r="K24" s="8">
        <f>IF(K$3="","",IFERROR(LEFT(TRIM(INDEX(Forms貼り付け!$A:$AZ,23,K$3)),1),""))</f>
        <v/>
      </c>
      <c r="L24" s="8">
        <f>IF(L$3="","",IFERROR(LEFT(TRIM(INDEX(Forms貼り付け!$A:$AZ,23,L$3)),1),""))</f>
        <v/>
      </c>
      <c r="M24" s="8">
        <f>IF(M$3="","",IFERROR(LEFT(TRIM(INDEX(Forms貼り付け!$A:$AZ,23,M$3)),1),""))</f>
        <v/>
      </c>
      <c r="N24" s="8">
        <f>IF(N$3="","",IFERROR(LEFT(TRIM(INDEX(Forms貼り付け!$A:$AZ,23,N$3)),1),""))</f>
        <v/>
      </c>
      <c r="O24" s="8">
        <f>IF(O$3="","",IFERROR(LEFT(TRIM(INDEX(Forms貼り付け!$A:$AZ,23,O$3)),1),""))</f>
        <v/>
      </c>
      <c r="P24" s="8">
        <f>IF(P$3="","",IFERROR(LEFT(TRIM(INDEX(Forms貼り付け!$A:$AZ,23,P$3)),1),""))</f>
        <v/>
      </c>
      <c r="Q24" s="8">
        <f>IF(Q$3="","",IFERROR(LEFT(TRIM(INDEX(Forms貼り付け!$A:$AZ,23,Q$3)),1),""))</f>
        <v/>
      </c>
      <c r="R24" s="8">
        <f>IF(R$3="","",IFERROR(LEFT(TRIM(INDEX(Forms貼り付け!$A:$AZ,23,R$3)),1),""))</f>
        <v/>
      </c>
      <c r="S24" s="8">
        <f>IF(S$3="","",IFERROR(LEFT(TRIM(INDEX(Forms貼り付け!$A:$AZ,23,S$3)),1),""))</f>
        <v/>
      </c>
      <c r="T24" s="8">
        <f>IF(T$3="","",IFERROR(LEFT(TRIM(INDEX(Forms貼り付け!$A:$AZ,23,T$3)),1),""))</f>
        <v/>
      </c>
      <c r="U24" s="8">
        <f>IF(U$3="","",IFERROR(LEFT(TRIM(INDEX(Forms貼り付け!$A:$AZ,23,U$3)),1),""))</f>
        <v/>
      </c>
      <c r="V24" s="8">
        <f>IF(V$3="","",IFERROR(LEFT(TRIM(INDEX(Forms貼り付け!$A:$AZ,23,V$3)),1),""))</f>
        <v/>
      </c>
      <c r="W24" s="8">
        <f>IF(W$3="","",IFERROR(LEFT(TRIM(INDEX(Forms貼り付け!$A:$AZ,23,W$3)),1),""))</f>
        <v/>
      </c>
      <c r="X24" s="8">
        <f>IF(X$3="","",IFERROR(LEFT(TRIM(INDEX(Forms貼り付け!$A:$AZ,23,X$3)),1),""))</f>
        <v/>
      </c>
      <c r="Y24" s="8">
        <f>IF(Y$3="","",IFERROR(LEFT(TRIM(INDEX(Forms貼り付け!$A:$AZ,23,Y$3)),1),""))</f>
        <v/>
      </c>
      <c r="Z24" s="8">
        <f>IF(Z$3="","",IFERROR(LEFT(TRIM(INDEX(Forms貼り付け!$A:$AZ,23,Z$3)),1),""))</f>
        <v/>
      </c>
      <c r="AA24" s="8">
        <f>IF(AA$3="","",IFERROR(LEFT(TRIM(INDEX(Forms貼り付け!$A:$AZ,23,AA$3)),1),""))</f>
        <v/>
      </c>
      <c r="AB24" s="8">
        <f>IF(AB$3="","",IFERROR(LEFT(TRIM(INDEX(Forms貼り付け!$A:$AZ,23,AB$3)),1),""))</f>
        <v/>
      </c>
      <c r="AC24" s="8">
        <f>IF(AC$3="","",IFERROR(LEFT(TRIM(INDEX(Forms貼り付け!$A:$AZ,23,AC$3)),1),""))</f>
        <v/>
      </c>
      <c r="AD24" s="8">
        <f>IF(AD$3="","",IFERROR(LEFT(TRIM(INDEX(Forms貼り付け!$A:$AZ,23,AD$3)),1),""))</f>
        <v/>
      </c>
      <c r="AE24" s="8">
        <f>IF(AE$3="","",IFERROR(LEFT(TRIM(INDEX(Forms貼り付け!$A:$AZ,23,AE$3)),1),""))</f>
        <v/>
      </c>
      <c r="AF24" s="8">
        <f>IF(AF$3="","",IFERROR(LEFT(TRIM(INDEX(Forms貼り付け!$A:$AZ,23,AF$3)),1),""))</f>
        <v/>
      </c>
      <c r="AG24" s="8">
        <f>IF(AG$3="","",IFERROR(LEFT(TRIM(INDEX(Forms貼り付け!$A:$AZ,23,AG$3)),1),""))</f>
        <v/>
      </c>
      <c r="AH24" s="8">
        <f>IF(AH$3="","",IFERROR(LEFT(TRIM(INDEX(Forms貼り付け!$A:$AZ,23,AH$3)),1),""))</f>
        <v/>
      </c>
      <c r="AI24" s="8">
        <f>IF(AI$3="","",IFERROR(LEFT(TRIM(INDEX(Forms貼り付け!$A:$AZ,23,AI$3)),1),""))</f>
        <v/>
      </c>
      <c r="AJ24" s="8">
        <f>IF(AJ$3="","",IFERROR(LEFT(TRIM(INDEX(Forms貼り付け!$A:$AZ,23,AJ$3)),1),""))</f>
        <v/>
      </c>
      <c r="AK24" s="8">
        <f>IF(AK$3="","",IFERROR(LEFT(TRIM(INDEX(Forms貼り付け!$A:$AZ,23,AK$3)),1),""))</f>
        <v/>
      </c>
      <c r="AL24" s="8">
        <f>IF(AL$3="","",IFERROR(LEFT(TRIM(INDEX(Forms貼り付け!$A:$AZ,23,AL$3)),1),""))</f>
        <v/>
      </c>
      <c r="AM24" s="8">
        <f>IF(AM$3="","",IFERROR(LEFT(TRIM(INDEX(Forms貼り付け!$A:$AZ,23,AM$3)),1),""))</f>
        <v/>
      </c>
      <c r="AN24" s="8">
        <f>IF(AN$3="","",IFERROR(LEFT(TRIM(INDEX(Forms貼り付け!$A:$AZ,23,AN$3)),1),""))</f>
        <v/>
      </c>
      <c r="AO24" s="8">
        <f>IF(AO$3="","",IFERROR(LEFT(TRIM(INDEX(Forms貼り付け!$A:$AZ,23,AO$3)),1),""))</f>
        <v/>
      </c>
      <c r="AP24" s="8">
        <f>IF(AP$3="","",IFERROR(LEFT(TRIM(INDEX(Forms貼り付け!$A:$AZ,23,AP$3)),1),""))</f>
        <v/>
      </c>
      <c r="AQ24" s="8">
        <f>IF(AQ$3="","",IFERROR(LEFT(TRIM(INDEX(Forms貼り付け!$A:$AZ,23,AQ$3)),1),""))</f>
        <v/>
      </c>
      <c r="AR24" s="8">
        <f>IF(AR$3="","",IFERROR(LEFT(TRIM(INDEX(Forms貼り付け!$A:$AZ,23,AR$3)),1),""))</f>
        <v/>
      </c>
      <c r="AS24" s="8">
        <f>IF(AS$3="","",IFERROR(LEFT(TRIM(INDEX(Forms貼り付け!$A:$AZ,23,AS$3)),1),""))</f>
        <v/>
      </c>
      <c r="AT24" s="8">
        <f>IF(AT$3="","",IFERROR(LEFT(TRIM(INDEX(Forms貼り付け!$A:$AZ,23,AT$3)),1),""))</f>
        <v/>
      </c>
      <c r="AU24" s="8">
        <f>IF(AU$3="","",IFERROR(LEFT(TRIM(INDEX(Forms貼り付け!$A:$AZ,23,AU$3)),1),""))</f>
        <v/>
      </c>
      <c r="AV24" s="8">
        <f>IF(AV$3="","",IFERROR(LEFT(TRIM(INDEX(Forms貼り付け!$A:$AZ,23,AV$3)),1),""))</f>
        <v/>
      </c>
      <c r="AW24" s="8">
        <f>IF(AW$3="","",IFERROR(LEFT(TRIM(INDEX(Forms貼り付け!$A:$AZ,23,AW$3)),1),""))</f>
        <v/>
      </c>
      <c r="AX24" s="8">
        <f>IF(AX$3="","",IFERROR(LEFT(TRIM(INDEX(Forms貼り付け!$A:$AZ,23,AX$3)),1),""))</f>
        <v/>
      </c>
      <c r="AY24" s="8">
        <f>IF(AY$3="","",IFERROR(LEFT(TRIM(INDEX(Forms貼り付け!$A:$AZ,23,AY$3)),1),""))</f>
        <v/>
      </c>
      <c r="AZ24" s="8">
        <f>IF(AZ$3="","",IFERROR(LEFT(TRIM(INDEX(Forms貼り付け!$A:$AZ,23,AZ$3)),1),""))</f>
        <v/>
      </c>
      <c r="BA24" s="8">
        <f>IF(BA$3="","",IFERROR(LEFT(TRIM(INDEX(Forms貼り付け!$A:$AZ,23,BA$3)),1),""))</f>
        <v/>
      </c>
      <c r="BB24" s="8">
        <f>IF(BB$3="","",IFERROR(LEFT(TRIM(INDEX(Forms貼り付け!$A:$AZ,23,BB$3)),1),""))</f>
        <v/>
      </c>
      <c r="BC24" s="8">
        <f>IF(BC$3="","",IFERROR(LEFT(TRIM(INDEX(Forms貼り付け!$A:$AZ,23,BC$3)),1),""))</f>
        <v/>
      </c>
    </row>
    <row r="25">
      <c r="A25" s="8" t="inlineStr">
        <is>
          <t>U021</t>
        </is>
      </c>
      <c r="B25" s="9">
        <f>IF($B$3="","",INDEX(Forms貼り付け!$A:$AZ,24,$B$3))</f>
        <v/>
      </c>
      <c r="C25" s="9">
        <f>IF($C$3="","",INDEX(Forms貼り付け!$A:$AZ,24,$C$3))</f>
        <v/>
      </c>
      <c r="D25" s="8">
        <f>IF($D$3="","",INDEX(Forms貼り付け!$A:$AZ,24,$D$3))</f>
        <v/>
      </c>
      <c r="E25" s="8">
        <f>IF($E$3="","",INDEX(Forms貼り付け!$A:$AZ,24,$E$3))</f>
        <v/>
      </c>
      <c r="F25" s="8">
        <f>IF(F$3="","",IFERROR(LEFT(TRIM(INDEX(Forms貼り付け!$A:$AZ,24,F$3)),1),""))</f>
        <v/>
      </c>
      <c r="G25" s="8">
        <f>IF(G$3="","",IFERROR(LEFT(TRIM(INDEX(Forms貼り付け!$A:$AZ,24,G$3)),1),""))</f>
        <v/>
      </c>
      <c r="H25" s="8">
        <f>IF(H$3="","",IFERROR(LEFT(TRIM(INDEX(Forms貼り付け!$A:$AZ,24,H$3)),1),""))</f>
        <v/>
      </c>
      <c r="I25" s="8">
        <f>IF(I$3="","",IFERROR(LEFT(TRIM(INDEX(Forms貼り付け!$A:$AZ,24,I$3)),1),""))</f>
        <v/>
      </c>
      <c r="J25" s="8">
        <f>IF(J$3="","",IFERROR(LEFT(TRIM(INDEX(Forms貼り付け!$A:$AZ,24,J$3)),1),""))</f>
        <v/>
      </c>
      <c r="K25" s="8">
        <f>IF(K$3="","",IFERROR(LEFT(TRIM(INDEX(Forms貼り付け!$A:$AZ,24,K$3)),1),""))</f>
        <v/>
      </c>
      <c r="L25" s="8">
        <f>IF(L$3="","",IFERROR(LEFT(TRIM(INDEX(Forms貼り付け!$A:$AZ,24,L$3)),1),""))</f>
        <v/>
      </c>
      <c r="M25" s="8">
        <f>IF(M$3="","",IFERROR(LEFT(TRIM(INDEX(Forms貼り付け!$A:$AZ,24,M$3)),1),""))</f>
        <v/>
      </c>
      <c r="N25" s="8">
        <f>IF(N$3="","",IFERROR(LEFT(TRIM(INDEX(Forms貼り付け!$A:$AZ,24,N$3)),1),""))</f>
        <v/>
      </c>
      <c r="O25" s="8">
        <f>IF(O$3="","",IFERROR(LEFT(TRIM(INDEX(Forms貼り付け!$A:$AZ,24,O$3)),1),""))</f>
        <v/>
      </c>
      <c r="P25" s="8">
        <f>IF(P$3="","",IFERROR(LEFT(TRIM(INDEX(Forms貼り付け!$A:$AZ,24,P$3)),1),""))</f>
        <v/>
      </c>
      <c r="Q25" s="8">
        <f>IF(Q$3="","",IFERROR(LEFT(TRIM(INDEX(Forms貼り付け!$A:$AZ,24,Q$3)),1),""))</f>
        <v/>
      </c>
      <c r="R25" s="8">
        <f>IF(R$3="","",IFERROR(LEFT(TRIM(INDEX(Forms貼り付け!$A:$AZ,24,R$3)),1),""))</f>
        <v/>
      </c>
      <c r="S25" s="8">
        <f>IF(S$3="","",IFERROR(LEFT(TRIM(INDEX(Forms貼り付け!$A:$AZ,24,S$3)),1),""))</f>
        <v/>
      </c>
      <c r="T25" s="8">
        <f>IF(T$3="","",IFERROR(LEFT(TRIM(INDEX(Forms貼り付け!$A:$AZ,24,T$3)),1),""))</f>
        <v/>
      </c>
      <c r="U25" s="8">
        <f>IF(U$3="","",IFERROR(LEFT(TRIM(INDEX(Forms貼り付け!$A:$AZ,24,U$3)),1),""))</f>
        <v/>
      </c>
      <c r="V25" s="8">
        <f>IF(V$3="","",IFERROR(LEFT(TRIM(INDEX(Forms貼り付け!$A:$AZ,24,V$3)),1),""))</f>
        <v/>
      </c>
      <c r="W25" s="8">
        <f>IF(W$3="","",IFERROR(LEFT(TRIM(INDEX(Forms貼り付け!$A:$AZ,24,W$3)),1),""))</f>
        <v/>
      </c>
      <c r="X25" s="8">
        <f>IF(X$3="","",IFERROR(LEFT(TRIM(INDEX(Forms貼り付け!$A:$AZ,24,X$3)),1),""))</f>
        <v/>
      </c>
      <c r="Y25" s="8">
        <f>IF(Y$3="","",IFERROR(LEFT(TRIM(INDEX(Forms貼り付け!$A:$AZ,24,Y$3)),1),""))</f>
        <v/>
      </c>
      <c r="Z25" s="8">
        <f>IF(Z$3="","",IFERROR(LEFT(TRIM(INDEX(Forms貼り付け!$A:$AZ,24,Z$3)),1),""))</f>
        <v/>
      </c>
      <c r="AA25" s="8">
        <f>IF(AA$3="","",IFERROR(LEFT(TRIM(INDEX(Forms貼り付け!$A:$AZ,24,AA$3)),1),""))</f>
        <v/>
      </c>
      <c r="AB25" s="8">
        <f>IF(AB$3="","",IFERROR(LEFT(TRIM(INDEX(Forms貼り付け!$A:$AZ,24,AB$3)),1),""))</f>
        <v/>
      </c>
      <c r="AC25" s="8">
        <f>IF(AC$3="","",IFERROR(LEFT(TRIM(INDEX(Forms貼り付け!$A:$AZ,24,AC$3)),1),""))</f>
        <v/>
      </c>
      <c r="AD25" s="8">
        <f>IF(AD$3="","",IFERROR(LEFT(TRIM(INDEX(Forms貼り付け!$A:$AZ,24,AD$3)),1),""))</f>
        <v/>
      </c>
      <c r="AE25" s="8">
        <f>IF(AE$3="","",IFERROR(LEFT(TRIM(INDEX(Forms貼り付け!$A:$AZ,24,AE$3)),1),""))</f>
        <v/>
      </c>
      <c r="AF25" s="8">
        <f>IF(AF$3="","",IFERROR(LEFT(TRIM(INDEX(Forms貼り付け!$A:$AZ,24,AF$3)),1),""))</f>
        <v/>
      </c>
      <c r="AG25" s="8">
        <f>IF(AG$3="","",IFERROR(LEFT(TRIM(INDEX(Forms貼り付け!$A:$AZ,24,AG$3)),1),""))</f>
        <v/>
      </c>
      <c r="AH25" s="8">
        <f>IF(AH$3="","",IFERROR(LEFT(TRIM(INDEX(Forms貼り付け!$A:$AZ,24,AH$3)),1),""))</f>
        <v/>
      </c>
      <c r="AI25" s="8">
        <f>IF(AI$3="","",IFERROR(LEFT(TRIM(INDEX(Forms貼り付け!$A:$AZ,24,AI$3)),1),""))</f>
        <v/>
      </c>
      <c r="AJ25" s="8">
        <f>IF(AJ$3="","",IFERROR(LEFT(TRIM(INDEX(Forms貼り付け!$A:$AZ,24,AJ$3)),1),""))</f>
        <v/>
      </c>
      <c r="AK25" s="8">
        <f>IF(AK$3="","",IFERROR(LEFT(TRIM(INDEX(Forms貼り付け!$A:$AZ,24,AK$3)),1),""))</f>
        <v/>
      </c>
      <c r="AL25" s="8">
        <f>IF(AL$3="","",IFERROR(LEFT(TRIM(INDEX(Forms貼り付け!$A:$AZ,24,AL$3)),1),""))</f>
        <v/>
      </c>
      <c r="AM25" s="8">
        <f>IF(AM$3="","",IFERROR(LEFT(TRIM(INDEX(Forms貼り付け!$A:$AZ,24,AM$3)),1),""))</f>
        <v/>
      </c>
      <c r="AN25" s="8">
        <f>IF(AN$3="","",IFERROR(LEFT(TRIM(INDEX(Forms貼り付け!$A:$AZ,24,AN$3)),1),""))</f>
        <v/>
      </c>
      <c r="AO25" s="8">
        <f>IF(AO$3="","",IFERROR(LEFT(TRIM(INDEX(Forms貼り付け!$A:$AZ,24,AO$3)),1),""))</f>
        <v/>
      </c>
      <c r="AP25" s="8">
        <f>IF(AP$3="","",IFERROR(LEFT(TRIM(INDEX(Forms貼り付け!$A:$AZ,24,AP$3)),1),""))</f>
        <v/>
      </c>
      <c r="AQ25" s="8">
        <f>IF(AQ$3="","",IFERROR(LEFT(TRIM(INDEX(Forms貼り付け!$A:$AZ,24,AQ$3)),1),""))</f>
        <v/>
      </c>
      <c r="AR25" s="8">
        <f>IF(AR$3="","",IFERROR(LEFT(TRIM(INDEX(Forms貼り付け!$A:$AZ,24,AR$3)),1),""))</f>
        <v/>
      </c>
      <c r="AS25" s="8">
        <f>IF(AS$3="","",IFERROR(LEFT(TRIM(INDEX(Forms貼り付け!$A:$AZ,24,AS$3)),1),""))</f>
        <v/>
      </c>
      <c r="AT25" s="8">
        <f>IF(AT$3="","",IFERROR(LEFT(TRIM(INDEX(Forms貼り付け!$A:$AZ,24,AT$3)),1),""))</f>
        <v/>
      </c>
      <c r="AU25" s="8">
        <f>IF(AU$3="","",IFERROR(LEFT(TRIM(INDEX(Forms貼り付け!$A:$AZ,24,AU$3)),1),""))</f>
        <v/>
      </c>
      <c r="AV25" s="8">
        <f>IF(AV$3="","",IFERROR(LEFT(TRIM(INDEX(Forms貼り付け!$A:$AZ,24,AV$3)),1),""))</f>
        <v/>
      </c>
      <c r="AW25" s="8">
        <f>IF(AW$3="","",IFERROR(LEFT(TRIM(INDEX(Forms貼り付け!$A:$AZ,24,AW$3)),1),""))</f>
        <v/>
      </c>
      <c r="AX25" s="8">
        <f>IF(AX$3="","",IFERROR(LEFT(TRIM(INDEX(Forms貼り付け!$A:$AZ,24,AX$3)),1),""))</f>
        <v/>
      </c>
      <c r="AY25" s="8">
        <f>IF(AY$3="","",IFERROR(LEFT(TRIM(INDEX(Forms貼り付け!$A:$AZ,24,AY$3)),1),""))</f>
        <v/>
      </c>
      <c r="AZ25" s="8">
        <f>IF(AZ$3="","",IFERROR(LEFT(TRIM(INDEX(Forms貼り付け!$A:$AZ,24,AZ$3)),1),""))</f>
        <v/>
      </c>
      <c r="BA25" s="8">
        <f>IF(BA$3="","",IFERROR(LEFT(TRIM(INDEX(Forms貼り付け!$A:$AZ,24,BA$3)),1),""))</f>
        <v/>
      </c>
      <c r="BB25" s="8">
        <f>IF(BB$3="","",IFERROR(LEFT(TRIM(INDEX(Forms貼り付け!$A:$AZ,24,BB$3)),1),""))</f>
        <v/>
      </c>
      <c r="BC25" s="8">
        <f>IF(BC$3="","",IFERROR(LEFT(TRIM(INDEX(Forms貼り付け!$A:$AZ,24,BC$3)),1),""))</f>
        <v/>
      </c>
    </row>
    <row r="26">
      <c r="A26" s="8" t="inlineStr">
        <is>
          <t>U022</t>
        </is>
      </c>
      <c r="B26" s="9">
        <f>IF($B$3="","",INDEX(Forms貼り付け!$A:$AZ,25,$B$3))</f>
        <v/>
      </c>
      <c r="C26" s="9">
        <f>IF($C$3="","",INDEX(Forms貼り付け!$A:$AZ,25,$C$3))</f>
        <v/>
      </c>
      <c r="D26" s="8">
        <f>IF($D$3="","",INDEX(Forms貼り付け!$A:$AZ,25,$D$3))</f>
        <v/>
      </c>
      <c r="E26" s="8">
        <f>IF($E$3="","",INDEX(Forms貼り付け!$A:$AZ,25,$E$3))</f>
        <v/>
      </c>
      <c r="F26" s="8">
        <f>IF(F$3="","",IFERROR(LEFT(TRIM(INDEX(Forms貼り付け!$A:$AZ,25,F$3)),1),""))</f>
        <v/>
      </c>
      <c r="G26" s="8">
        <f>IF(G$3="","",IFERROR(LEFT(TRIM(INDEX(Forms貼り付け!$A:$AZ,25,G$3)),1),""))</f>
        <v/>
      </c>
      <c r="H26" s="8">
        <f>IF(H$3="","",IFERROR(LEFT(TRIM(INDEX(Forms貼り付け!$A:$AZ,25,H$3)),1),""))</f>
        <v/>
      </c>
      <c r="I26" s="8">
        <f>IF(I$3="","",IFERROR(LEFT(TRIM(INDEX(Forms貼り付け!$A:$AZ,25,I$3)),1),""))</f>
        <v/>
      </c>
      <c r="J26" s="8">
        <f>IF(J$3="","",IFERROR(LEFT(TRIM(INDEX(Forms貼り付け!$A:$AZ,25,J$3)),1),""))</f>
        <v/>
      </c>
      <c r="K26" s="8">
        <f>IF(K$3="","",IFERROR(LEFT(TRIM(INDEX(Forms貼り付け!$A:$AZ,25,K$3)),1),""))</f>
        <v/>
      </c>
      <c r="L26" s="8">
        <f>IF(L$3="","",IFERROR(LEFT(TRIM(INDEX(Forms貼り付け!$A:$AZ,25,L$3)),1),""))</f>
        <v/>
      </c>
      <c r="M26" s="8">
        <f>IF(M$3="","",IFERROR(LEFT(TRIM(INDEX(Forms貼り付け!$A:$AZ,25,M$3)),1),""))</f>
        <v/>
      </c>
      <c r="N26" s="8">
        <f>IF(N$3="","",IFERROR(LEFT(TRIM(INDEX(Forms貼り付け!$A:$AZ,25,N$3)),1),""))</f>
        <v/>
      </c>
      <c r="O26" s="8">
        <f>IF(O$3="","",IFERROR(LEFT(TRIM(INDEX(Forms貼り付け!$A:$AZ,25,O$3)),1),""))</f>
        <v/>
      </c>
      <c r="P26" s="8">
        <f>IF(P$3="","",IFERROR(LEFT(TRIM(INDEX(Forms貼り付け!$A:$AZ,25,P$3)),1),""))</f>
        <v/>
      </c>
      <c r="Q26" s="8">
        <f>IF(Q$3="","",IFERROR(LEFT(TRIM(INDEX(Forms貼り付け!$A:$AZ,25,Q$3)),1),""))</f>
        <v/>
      </c>
      <c r="R26" s="8">
        <f>IF(R$3="","",IFERROR(LEFT(TRIM(INDEX(Forms貼り付け!$A:$AZ,25,R$3)),1),""))</f>
        <v/>
      </c>
      <c r="S26" s="8">
        <f>IF(S$3="","",IFERROR(LEFT(TRIM(INDEX(Forms貼り付け!$A:$AZ,25,S$3)),1),""))</f>
        <v/>
      </c>
      <c r="T26" s="8">
        <f>IF(T$3="","",IFERROR(LEFT(TRIM(INDEX(Forms貼り付け!$A:$AZ,25,T$3)),1),""))</f>
        <v/>
      </c>
      <c r="U26" s="8">
        <f>IF(U$3="","",IFERROR(LEFT(TRIM(INDEX(Forms貼り付け!$A:$AZ,25,U$3)),1),""))</f>
        <v/>
      </c>
      <c r="V26" s="8">
        <f>IF(V$3="","",IFERROR(LEFT(TRIM(INDEX(Forms貼り付け!$A:$AZ,25,V$3)),1),""))</f>
        <v/>
      </c>
      <c r="W26" s="8">
        <f>IF(W$3="","",IFERROR(LEFT(TRIM(INDEX(Forms貼り付け!$A:$AZ,25,W$3)),1),""))</f>
        <v/>
      </c>
      <c r="X26" s="8">
        <f>IF(X$3="","",IFERROR(LEFT(TRIM(INDEX(Forms貼り付け!$A:$AZ,25,X$3)),1),""))</f>
        <v/>
      </c>
      <c r="Y26" s="8">
        <f>IF(Y$3="","",IFERROR(LEFT(TRIM(INDEX(Forms貼り付け!$A:$AZ,25,Y$3)),1),""))</f>
        <v/>
      </c>
      <c r="Z26" s="8">
        <f>IF(Z$3="","",IFERROR(LEFT(TRIM(INDEX(Forms貼り付け!$A:$AZ,25,Z$3)),1),""))</f>
        <v/>
      </c>
      <c r="AA26" s="8">
        <f>IF(AA$3="","",IFERROR(LEFT(TRIM(INDEX(Forms貼り付け!$A:$AZ,25,AA$3)),1),""))</f>
        <v/>
      </c>
      <c r="AB26" s="8">
        <f>IF(AB$3="","",IFERROR(LEFT(TRIM(INDEX(Forms貼り付け!$A:$AZ,25,AB$3)),1),""))</f>
        <v/>
      </c>
      <c r="AC26" s="8">
        <f>IF(AC$3="","",IFERROR(LEFT(TRIM(INDEX(Forms貼り付け!$A:$AZ,25,AC$3)),1),""))</f>
        <v/>
      </c>
      <c r="AD26" s="8">
        <f>IF(AD$3="","",IFERROR(LEFT(TRIM(INDEX(Forms貼り付け!$A:$AZ,25,AD$3)),1),""))</f>
        <v/>
      </c>
      <c r="AE26" s="8">
        <f>IF(AE$3="","",IFERROR(LEFT(TRIM(INDEX(Forms貼り付け!$A:$AZ,25,AE$3)),1),""))</f>
        <v/>
      </c>
      <c r="AF26" s="8">
        <f>IF(AF$3="","",IFERROR(LEFT(TRIM(INDEX(Forms貼り付け!$A:$AZ,25,AF$3)),1),""))</f>
        <v/>
      </c>
      <c r="AG26" s="8">
        <f>IF(AG$3="","",IFERROR(LEFT(TRIM(INDEX(Forms貼り付け!$A:$AZ,25,AG$3)),1),""))</f>
        <v/>
      </c>
      <c r="AH26" s="8">
        <f>IF(AH$3="","",IFERROR(LEFT(TRIM(INDEX(Forms貼り付け!$A:$AZ,25,AH$3)),1),""))</f>
        <v/>
      </c>
      <c r="AI26" s="8">
        <f>IF(AI$3="","",IFERROR(LEFT(TRIM(INDEX(Forms貼り付け!$A:$AZ,25,AI$3)),1),""))</f>
        <v/>
      </c>
      <c r="AJ26" s="8">
        <f>IF(AJ$3="","",IFERROR(LEFT(TRIM(INDEX(Forms貼り付け!$A:$AZ,25,AJ$3)),1),""))</f>
        <v/>
      </c>
      <c r="AK26" s="8">
        <f>IF(AK$3="","",IFERROR(LEFT(TRIM(INDEX(Forms貼り付け!$A:$AZ,25,AK$3)),1),""))</f>
        <v/>
      </c>
      <c r="AL26" s="8">
        <f>IF(AL$3="","",IFERROR(LEFT(TRIM(INDEX(Forms貼り付け!$A:$AZ,25,AL$3)),1),""))</f>
        <v/>
      </c>
      <c r="AM26" s="8">
        <f>IF(AM$3="","",IFERROR(LEFT(TRIM(INDEX(Forms貼り付け!$A:$AZ,25,AM$3)),1),""))</f>
        <v/>
      </c>
      <c r="AN26" s="8">
        <f>IF(AN$3="","",IFERROR(LEFT(TRIM(INDEX(Forms貼り付け!$A:$AZ,25,AN$3)),1),""))</f>
        <v/>
      </c>
      <c r="AO26" s="8">
        <f>IF(AO$3="","",IFERROR(LEFT(TRIM(INDEX(Forms貼り付け!$A:$AZ,25,AO$3)),1),""))</f>
        <v/>
      </c>
      <c r="AP26" s="8">
        <f>IF(AP$3="","",IFERROR(LEFT(TRIM(INDEX(Forms貼り付け!$A:$AZ,25,AP$3)),1),""))</f>
        <v/>
      </c>
      <c r="AQ26" s="8">
        <f>IF(AQ$3="","",IFERROR(LEFT(TRIM(INDEX(Forms貼り付け!$A:$AZ,25,AQ$3)),1),""))</f>
        <v/>
      </c>
      <c r="AR26" s="8">
        <f>IF(AR$3="","",IFERROR(LEFT(TRIM(INDEX(Forms貼り付け!$A:$AZ,25,AR$3)),1),""))</f>
        <v/>
      </c>
      <c r="AS26" s="8">
        <f>IF(AS$3="","",IFERROR(LEFT(TRIM(INDEX(Forms貼り付け!$A:$AZ,25,AS$3)),1),""))</f>
        <v/>
      </c>
      <c r="AT26" s="8">
        <f>IF(AT$3="","",IFERROR(LEFT(TRIM(INDEX(Forms貼り付け!$A:$AZ,25,AT$3)),1),""))</f>
        <v/>
      </c>
      <c r="AU26" s="8">
        <f>IF(AU$3="","",IFERROR(LEFT(TRIM(INDEX(Forms貼り付け!$A:$AZ,25,AU$3)),1),""))</f>
        <v/>
      </c>
      <c r="AV26" s="8">
        <f>IF(AV$3="","",IFERROR(LEFT(TRIM(INDEX(Forms貼り付け!$A:$AZ,25,AV$3)),1),""))</f>
        <v/>
      </c>
      <c r="AW26" s="8">
        <f>IF(AW$3="","",IFERROR(LEFT(TRIM(INDEX(Forms貼り付け!$A:$AZ,25,AW$3)),1),""))</f>
        <v/>
      </c>
      <c r="AX26" s="8">
        <f>IF(AX$3="","",IFERROR(LEFT(TRIM(INDEX(Forms貼り付け!$A:$AZ,25,AX$3)),1),""))</f>
        <v/>
      </c>
      <c r="AY26" s="8">
        <f>IF(AY$3="","",IFERROR(LEFT(TRIM(INDEX(Forms貼り付け!$A:$AZ,25,AY$3)),1),""))</f>
        <v/>
      </c>
      <c r="AZ26" s="8">
        <f>IF(AZ$3="","",IFERROR(LEFT(TRIM(INDEX(Forms貼り付け!$A:$AZ,25,AZ$3)),1),""))</f>
        <v/>
      </c>
      <c r="BA26" s="8">
        <f>IF(BA$3="","",IFERROR(LEFT(TRIM(INDEX(Forms貼り付け!$A:$AZ,25,BA$3)),1),""))</f>
        <v/>
      </c>
      <c r="BB26" s="8">
        <f>IF(BB$3="","",IFERROR(LEFT(TRIM(INDEX(Forms貼り付け!$A:$AZ,25,BB$3)),1),""))</f>
        <v/>
      </c>
      <c r="BC26" s="8">
        <f>IF(BC$3="","",IFERROR(LEFT(TRIM(INDEX(Forms貼り付け!$A:$AZ,25,BC$3)),1),""))</f>
        <v/>
      </c>
    </row>
    <row r="27">
      <c r="A27" s="8" t="inlineStr">
        <is>
          <t>U023</t>
        </is>
      </c>
      <c r="B27" s="9">
        <f>IF($B$3="","",INDEX(Forms貼り付け!$A:$AZ,26,$B$3))</f>
        <v/>
      </c>
      <c r="C27" s="9">
        <f>IF($C$3="","",INDEX(Forms貼り付け!$A:$AZ,26,$C$3))</f>
        <v/>
      </c>
      <c r="D27" s="8">
        <f>IF($D$3="","",INDEX(Forms貼り付け!$A:$AZ,26,$D$3))</f>
        <v/>
      </c>
      <c r="E27" s="8">
        <f>IF($E$3="","",INDEX(Forms貼り付け!$A:$AZ,26,$E$3))</f>
        <v/>
      </c>
      <c r="F27" s="8">
        <f>IF(F$3="","",IFERROR(LEFT(TRIM(INDEX(Forms貼り付け!$A:$AZ,26,F$3)),1),""))</f>
        <v/>
      </c>
      <c r="G27" s="8">
        <f>IF(G$3="","",IFERROR(LEFT(TRIM(INDEX(Forms貼り付け!$A:$AZ,26,G$3)),1),""))</f>
        <v/>
      </c>
      <c r="H27" s="8">
        <f>IF(H$3="","",IFERROR(LEFT(TRIM(INDEX(Forms貼り付け!$A:$AZ,26,H$3)),1),""))</f>
        <v/>
      </c>
      <c r="I27" s="8">
        <f>IF(I$3="","",IFERROR(LEFT(TRIM(INDEX(Forms貼り付け!$A:$AZ,26,I$3)),1),""))</f>
        <v/>
      </c>
      <c r="J27" s="8">
        <f>IF(J$3="","",IFERROR(LEFT(TRIM(INDEX(Forms貼り付け!$A:$AZ,26,J$3)),1),""))</f>
        <v/>
      </c>
      <c r="K27" s="8">
        <f>IF(K$3="","",IFERROR(LEFT(TRIM(INDEX(Forms貼り付け!$A:$AZ,26,K$3)),1),""))</f>
        <v/>
      </c>
      <c r="L27" s="8">
        <f>IF(L$3="","",IFERROR(LEFT(TRIM(INDEX(Forms貼り付け!$A:$AZ,26,L$3)),1),""))</f>
        <v/>
      </c>
      <c r="M27" s="8">
        <f>IF(M$3="","",IFERROR(LEFT(TRIM(INDEX(Forms貼り付け!$A:$AZ,26,M$3)),1),""))</f>
        <v/>
      </c>
      <c r="N27" s="8">
        <f>IF(N$3="","",IFERROR(LEFT(TRIM(INDEX(Forms貼り付け!$A:$AZ,26,N$3)),1),""))</f>
        <v/>
      </c>
      <c r="O27" s="8">
        <f>IF(O$3="","",IFERROR(LEFT(TRIM(INDEX(Forms貼り付け!$A:$AZ,26,O$3)),1),""))</f>
        <v/>
      </c>
      <c r="P27" s="8">
        <f>IF(P$3="","",IFERROR(LEFT(TRIM(INDEX(Forms貼り付け!$A:$AZ,26,P$3)),1),""))</f>
        <v/>
      </c>
      <c r="Q27" s="8">
        <f>IF(Q$3="","",IFERROR(LEFT(TRIM(INDEX(Forms貼り付け!$A:$AZ,26,Q$3)),1),""))</f>
        <v/>
      </c>
      <c r="R27" s="8">
        <f>IF(R$3="","",IFERROR(LEFT(TRIM(INDEX(Forms貼り付け!$A:$AZ,26,R$3)),1),""))</f>
        <v/>
      </c>
      <c r="S27" s="8">
        <f>IF(S$3="","",IFERROR(LEFT(TRIM(INDEX(Forms貼り付け!$A:$AZ,26,S$3)),1),""))</f>
        <v/>
      </c>
      <c r="T27" s="8">
        <f>IF(T$3="","",IFERROR(LEFT(TRIM(INDEX(Forms貼り付け!$A:$AZ,26,T$3)),1),""))</f>
        <v/>
      </c>
      <c r="U27" s="8">
        <f>IF(U$3="","",IFERROR(LEFT(TRIM(INDEX(Forms貼り付け!$A:$AZ,26,U$3)),1),""))</f>
        <v/>
      </c>
      <c r="V27" s="8">
        <f>IF(V$3="","",IFERROR(LEFT(TRIM(INDEX(Forms貼り付け!$A:$AZ,26,V$3)),1),""))</f>
        <v/>
      </c>
      <c r="W27" s="8">
        <f>IF(W$3="","",IFERROR(LEFT(TRIM(INDEX(Forms貼り付け!$A:$AZ,26,W$3)),1),""))</f>
        <v/>
      </c>
      <c r="X27" s="8">
        <f>IF(X$3="","",IFERROR(LEFT(TRIM(INDEX(Forms貼り付け!$A:$AZ,26,X$3)),1),""))</f>
        <v/>
      </c>
      <c r="Y27" s="8">
        <f>IF(Y$3="","",IFERROR(LEFT(TRIM(INDEX(Forms貼り付け!$A:$AZ,26,Y$3)),1),""))</f>
        <v/>
      </c>
      <c r="Z27" s="8">
        <f>IF(Z$3="","",IFERROR(LEFT(TRIM(INDEX(Forms貼り付け!$A:$AZ,26,Z$3)),1),""))</f>
        <v/>
      </c>
      <c r="AA27" s="8">
        <f>IF(AA$3="","",IFERROR(LEFT(TRIM(INDEX(Forms貼り付け!$A:$AZ,26,AA$3)),1),""))</f>
        <v/>
      </c>
      <c r="AB27" s="8">
        <f>IF(AB$3="","",IFERROR(LEFT(TRIM(INDEX(Forms貼り付け!$A:$AZ,26,AB$3)),1),""))</f>
        <v/>
      </c>
      <c r="AC27" s="8">
        <f>IF(AC$3="","",IFERROR(LEFT(TRIM(INDEX(Forms貼り付け!$A:$AZ,26,AC$3)),1),""))</f>
        <v/>
      </c>
      <c r="AD27" s="8">
        <f>IF(AD$3="","",IFERROR(LEFT(TRIM(INDEX(Forms貼り付け!$A:$AZ,26,AD$3)),1),""))</f>
        <v/>
      </c>
      <c r="AE27" s="8">
        <f>IF(AE$3="","",IFERROR(LEFT(TRIM(INDEX(Forms貼り付け!$A:$AZ,26,AE$3)),1),""))</f>
        <v/>
      </c>
      <c r="AF27" s="8">
        <f>IF(AF$3="","",IFERROR(LEFT(TRIM(INDEX(Forms貼り付け!$A:$AZ,26,AF$3)),1),""))</f>
        <v/>
      </c>
      <c r="AG27" s="8">
        <f>IF(AG$3="","",IFERROR(LEFT(TRIM(INDEX(Forms貼り付け!$A:$AZ,26,AG$3)),1),""))</f>
        <v/>
      </c>
      <c r="AH27" s="8">
        <f>IF(AH$3="","",IFERROR(LEFT(TRIM(INDEX(Forms貼り付け!$A:$AZ,26,AH$3)),1),""))</f>
        <v/>
      </c>
      <c r="AI27" s="8">
        <f>IF(AI$3="","",IFERROR(LEFT(TRIM(INDEX(Forms貼り付け!$A:$AZ,26,AI$3)),1),""))</f>
        <v/>
      </c>
      <c r="AJ27" s="8">
        <f>IF(AJ$3="","",IFERROR(LEFT(TRIM(INDEX(Forms貼り付け!$A:$AZ,26,AJ$3)),1),""))</f>
        <v/>
      </c>
      <c r="AK27" s="8">
        <f>IF(AK$3="","",IFERROR(LEFT(TRIM(INDEX(Forms貼り付け!$A:$AZ,26,AK$3)),1),""))</f>
        <v/>
      </c>
      <c r="AL27" s="8">
        <f>IF(AL$3="","",IFERROR(LEFT(TRIM(INDEX(Forms貼り付け!$A:$AZ,26,AL$3)),1),""))</f>
        <v/>
      </c>
      <c r="AM27" s="8">
        <f>IF(AM$3="","",IFERROR(LEFT(TRIM(INDEX(Forms貼り付け!$A:$AZ,26,AM$3)),1),""))</f>
        <v/>
      </c>
      <c r="AN27" s="8">
        <f>IF(AN$3="","",IFERROR(LEFT(TRIM(INDEX(Forms貼り付け!$A:$AZ,26,AN$3)),1),""))</f>
        <v/>
      </c>
      <c r="AO27" s="8">
        <f>IF(AO$3="","",IFERROR(LEFT(TRIM(INDEX(Forms貼り付け!$A:$AZ,26,AO$3)),1),""))</f>
        <v/>
      </c>
      <c r="AP27" s="8">
        <f>IF(AP$3="","",IFERROR(LEFT(TRIM(INDEX(Forms貼り付け!$A:$AZ,26,AP$3)),1),""))</f>
        <v/>
      </c>
      <c r="AQ27" s="8">
        <f>IF(AQ$3="","",IFERROR(LEFT(TRIM(INDEX(Forms貼り付け!$A:$AZ,26,AQ$3)),1),""))</f>
        <v/>
      </c>
      <c r="AR27" s="8">
        <f>IF(AR$3="","",IFERROR(LEFT(TRIM(INDEX(Forms貼り付け!$A:$AZ,26,AR$3)),1),""))</f>
        <v/>
      </c>
      <c r="AS27" s="8">
        <f>IF(AS$3="","",IFERROR(LEFT(TRIM(INDEX(Forms貼り付け!$A:$AZ,26,AS$3)),1),""))</f>
        <v/>
      </c>
      <c r="AT27" s="8">
        <f>IF(AT$3="","",IFERROR(LEFT(TRIM(INDEX(Forms貼り付け!$A:$AZ,26,AT$3)),1),""))</f>
        <v/>
      </c>
      <c r="AU27" s="8">
        <f>IF(AU$3="","",IFERROR(LEFT(TRIM(INDEX(Forms貼り付け!$A:$AZ,26,AU$3)),1),""))</f>
        <v/>
      </c>
      <c r="AV27" s="8">
        <f>IF(AV$3="","",IFERROR(LEFT(TRIM(INDEX(Forms貼り付け!$A:$AZ,26,AV$3)),1),""))</f>
        <v/>
      </c>
      <c r="AW27" s="8">
        <f>IF(AW$3="","",IFERROR(LEFT(TRIM(INDEX(Forms貼り付け!$A:$AZ,26,AW$3)),1),""))</f>
        <v/>
      </c>
      <c r="AX27" s="8">
        <f>IF(AX$3="","",IFERROR(LEFT(TRIM(INDEX(Forms貼り付け!$A:$AZ,26,AX$3)),1),""))</f>
        <v/>
      </c>
      <c r="AY27" s="8">
        <f>IF(AY$3="","",IFERROR(LEFT(TRIM(INDEX(Forms貼り付け!$A:$AZ,26,AY$3)),1),""))</f>
        <v/>
      </c>
      <c r="AZ27" s="8">
        <f>IF(AZ$3="","",IFERROR(LEFT(TRIM(INDEX(Forms貼り付け!$A:$AZ,26,AZ$3)),1),""))</f>
        <v/>
      </c>
      <c r="BA27" s="8">
        <f>IF(BA$3="","",IFERROR(LEFT(TRIM(INDEX(Forms貼り付け!$A:$AZ,26,BA$3)),1),""))</f>
        <v/>
      </c>
      <c r="BB27" s="8">
        <f>IF(BB$3="","",IFERROR(LEFT(TRIM(INDEX(Forms貼り付け!$A:$AZ,26,BB$3)),1),""))</f>
        <v/>
      </c>
      <c r="BC27" s="8">
        <f>IF(BC$3="","",IFERROR(LEFT(TRIM(INDEX(Forms貼り付け!$A:$AZ,26,BC$3)),1),""))</f>
        <v/>
      </c>
    </row>
    <row r="28">
      <c r="A28" s="8" t="inlineStr">
        <is>
          <t>U024</t>
        </is>
      </c>
      <c r="B28" s="9">
        <f>IF($B$3="","",INDEX(Forms貼り付け!$A:$AZ,27,$B$3))</f>
        <v/>
      </c>
      <c r="C28" s="9">
        <f>IF($C$3="","",INDEX(Forms貼り付け!$A:$AZ,27,$C$3))</f>
        <v/>
      </c>
      <c r="D28" s="8">
        <f>IF($D$3="","",INDEX(Forms貼り付け!$A:$AZ,27,$D$3))</f>
        <v/>
      </c>
      <c r="E28" s="8">
        <f>IF($E$3="","",INDEX(Forms貼り付け!$A:$AZ,27,$E$3))</f>
        <v/>
      </c>
      <c r="F28" s="8">
        <f>IF(F$3="","",IFERROR(LEFT(TRIM(INDEX(Forms貼り付け!$A:$AZ,27,F$3)),1),""))</f>
        <v/>
      </c>
      <c r="G28" s="8">
        <f>IF(G$3="","",IFERROR(LEFT(TRIM(INDEX(Forms貼り付け!$A:$AZ,27,G$3)),1),""))</f>
        <v/>
      </c>
      <c r="H28" s="8">
        <f>IF(H$3="","",IFERROR(LEFT(TRIM(INDEX(Forms貼り付け!$A:$AZ,27,H$3)),1),""))</f>
        <v/>
      </c>
      <c r="I28" s="8">
        <f>IF(I$3="","",IFERROR(LEFT(TRIM(INDEX(Forms貼り付け!$A:$AZ,27,I$3)),1),""))</f>
        <v/>
      </c>
      <c r="J28" s="8">
        <f>IF(J$3="","",IFERROR(LEFT(TRIM(INDEX(Forms貼り付け!$A:$AZ,27,J$3)),1),""))</f>
        <v/>
      </c>
      <c r="K28" s="8">
        <f>IF(K$3="","",IFERROR(LEFT(TRIM(INDEX(Forms貼り付け!$A:$AZ,27,K$3)),1),""))</f>
        <v/>
      </c>
      <c r="L28" s="8">
        <f>IF(L$3="","",IFERROR(LEFT(TRIM(INDEX(Forms貼り付け!$A:$AZ,27,L$3)),1),""))</f>
        <v/>
      </c>
      <c r="M28" s="8">
        <f>IF(M$3="","",IFERROR(LEFT(TRIM(INDEX(Forms貼り付け!$A:$AZ,27,M$3)),1),""))</f>
        <v/>
      </c>
      <c r="N28" s="8">
        <f>IF(N$3="","",IFERROR(LEFT(TRIM(INDEX(Forms貼り付け!$A:$AZ,27,N$3)),1),""))</f>
        <v/>
      </c>
      <c r="O28" s="8">
        <f>IF(O$3="","",IFERROR(LEFT(TRIM(INDEX(Forms貼り付け!$A:$AZ,27,O$3)),1),""))</f>
        <v/>
      </c>
      <c r="P28" s="8">
        <f>IF(P$3="","",IFERROR(LEFT(TRIM(INDEX(Forms貼り付け!$A:$AZ,27,P$3)),1),""))</f>
        <v/>
      </c>
      <c r="Q28" s="8">
        <f>IF(Q$3="","",IFERROR(LEFT(TRIM(INDEX(Forms貼り付け!$A:$AZ,27,Q$3)),1),""))</f>
        <v/>
      </c>
      <c r="R28" s="8">
        <f>IF(R$3="","",IFERROR(LEFT(TRIM(INDEX(Forms貼り付け!$A:$AZ,27,R$3)),1),""))</f>
        <v/>
      </c>
      <c r="S28" s="8">
        <f>IF(S$3="","",IFERROR(LEFT(TRIM(INDEX(Forms貼り付け!$A:$AZ,27,S$3)),1),""))</f>
        <v/>
      </c>
      <c r="T28" s="8">
        <f>IF(T$3="","",IFERROR(LEFT(TRIM(INDEX(Forms貼り付け!$A:$AZ,27,T$3)),1),""))</f>
        <v/>
      </c>
      <c r="U28" s="8">
        <f>IF(U$3="","",IFERROR(LEFT(TRIM(INDEX(Forms貼り付け!$A:$AZ,27,U$3)),1),""))</f>
        <v/>
      </c>
      <c r="V28" s="8">
        <f>IF(V$3="","",IFERROR(LEFT(TRIM(INDEX(Forms貼り付け!$A:$AZ,27,V$3)),1),""))</f>
        <v/>
      </c>
      <c r="W28" s="8">
        <f>IF(W$3="","",IFERROR(LEFT(TRIM(INDEX(Forms貼り付け!$A:$AZ,27,W$3)),1),""))</f>
        <v/>
      </c>
      <c r="X28" s="8">
        <f>IF(X$3="","",IFERROR(LEFT(TRIM(INDEX(Forms貼り付け!$A:$AZ,27,X$3)),1),""))</f>
        <v/>
      </c>
      <c r="Y28" s="8">
        <f>IF(Y$3="","",IFERROR(LEFT(TRIM(INDEX(Forms貼り付け!$A:$AZ,27,Y$3)),1),""))</f>
        <v/>
      </c>
      <c r="Z28" s="8">
        <f>IF(Z$3="","",IFERROR(LEFT(TRIM(INDEX(Forms貼り付け!$A:$AZ,27,Z$3)),1),""))</f>
        <v/>
      </c>
      <c r="AA28" s="8">
        <f>IF(AA$3="","",IFERROR(LEFT(TRIM(INDEX(Forms貼り付け!$A:$AZ,27,AA$3)),1),""))</f>
        <v/>
      </c>
      <c r="AB28" s="8">
        <f>IF(AB$3="","",IFERROR(LEFT(TRIM(INDEX(Forms貼り付け!$A:$AZ,27,AB$3)),1),""))</f>
        <v/>
      </c>
      <c r="AC28" s="8">
        <f>IF(AC$3="","",IFERROR(LEFT(TRIM(INDEX(Forms貼り付け!$A:$AZ,27,AC$3)),1),""))</f>
        <v/>
      </c>
      <c r="AD28" s="8">
        <f>IF(AD$3="","",IFERROR(LEFT(TRIM(INDEX(Forms貼り付け!$A:$AZ,27,AD$3)),1),""))</f>
        <v/>
      </c>
      <c r="AE28" s="8">
        <f>IF(AE$3="","",IFERROR(LEFT(TRIM(INDEX(Forms貼り付け!$A:$AZ,27,AE$3)),1),""))</f>
        <v/>
      </c>
      <c r="AF28" s="8">
        <f>IF(AF$3="","",IFERROR(LEFT(TRIM(INDEX(Forms貼り付け!$A:$AZ,27,AF$3)),1),""))</f>
        <v/>
      </c>
      <c r="AG28" s="8">
        <f>IF(AG$3="","",IFERROR(LEFT(TRIM(INDEX(Forms貼り付け!$A:$AZ,27,AG$3)),1),""))</f>
        <v/>
      </c>
      <c r="AH28" s="8">
        <f>IF(AH$3="","",IFERROR(LEFT(TRIM(INDEX(Forms貼り付け!$A:$AZ,27,AH$3)),1),""))</f>
        <v/>
      </c>
      <c r="AI28" s="8">
        <f>IF(AI$3="","",IFERROR(LEFT(TRIM(INDEX(Forms貼り付け!$A:$AZ,27,AI$3)),1),""))</f>
        <v/>
      </c>
      <c r="AJ28" s="8">
        <f>IF(AJ$3="","",IFERROR(LEFT(TRIM(INDEX(Forms貼り付け!$A:$AZ,27,AJ$3)),1),""))</f>
        <v/>
      </c>
      <c r="AK28" s="8">
        <f>IF(AK$3="","",IFERROR(LEFT(TRIM(INDEX(Forms貼り付け!$A:$AZ,27,AK$3)),1),""))</f>
        <v/>
      </c>
      <c r="AL28" s="8">
        <f>IF(AL$3="","",IFERROR(LEFT(TRIM(INDEX(Forms貼り付け!$A:$AZ,27,AL$3)),1),""))</f>
        <v/>
      </c>
      <c r="AM28" s="8">
        <f>IF(AM$3="","",IFERROR(LEFT(TRIM(INDEX(Forms貼り付け!$A:$AZ,27,AM$3)),1),""))</f>
        <v/>
      </c>
      <c r="AN28" s="8">
        <f>IF(AN$3="","",IFERROR(LEFT(TRIM(INDEX(Forms貼り付け!$A:$AZ,27,AN$3)),1),""))</f>
        <v/>
      </c>
      <c r="AO28" s="8">
        <f>IF(AO$3="","",IFERROR(LEFT(TRIM(INDEX(Forms貼り付け!$A:$AZ,27,AO$3)),1),""))</f>
        <v/>
      </c>
      <c r="AP28" s="8">
        <f>IF(AP$3="","",IFERROR(LEFT(TRIM(INDEX(Forms貼り付け!$A:$AZ,27,AP$3)),1),""))</f>
        <v/>
      </c>
      <c r="AQ28" s="8">
        <f>IF(AQ$3="","",IFERROR(LEFT(TRIM(INDEX(Forms貼り付け!$A:$AZ,27,AQ$3)),1),""))</f>
        <v/>
      </c>
      <c r="AR28" s="8">
        <f>IF(AR$3="","",IFERROR(LEFT(TRIM(INDEX(Forms貼り付け!$A:$AZ,27,AR$3)),1),""))</f>
        <v/>
      </c>
      <c r="AS28" s="8">
        <f>IF(AS$3="","",IFERROR(LEFT(TRIM(INDEX(Forms貼り付け!$A:$AZ,27,AS$3)),1),""))</f>
        <v/>
      </c>
      <c r="AT28" s="8">
        <f>IF(AT$3="","",IFERROR(LEFT(TRIM(INDEX(Forms貼り付け!$A:$AZ,27,AT$3)),1),""))</f>
        <v/>
      </c>
      <c r="AU28" s="8">
        <f>IF(AU$3="","",IFERROR(LEFT(TRIM(INDEX(Forms貼り付け!$A:$AZ,27,AU$3)),1),""))</f>
        <v/>
      </c>
      <c r="AV28" s="8">
        <f>IF(AV$3="","",IFERROR(LEFT(TRIM(INDEX(Forms貼り付け!$A:$AZ,27,AV$3)),1),""))</f>
        <v/>
      </c>
      <c r="AW28" s="8">
        <f>IF(AW$3="","",IFERROR(LEFT(TRIM(INDEX(Forms貼り付け!$A:$AZ,27,AW$3)),1),""))</f>
        <v/>
      </c>
      <c r="AX28" s="8">
        <f>IF(AX$3="","",IFERROR(LEFT(TRIM(INDEX(Forms貼り付け!$A:$AZ,27,AX$3)),1),""))</f>
        <v/>
      </c>
      <c r="AY28" s="8">
        <f>IF(AY$3="","",IFERROR(LEFT(TRIM(INDEX(Forms貼り付け!$A:$AZ,27,AY$3)),1),""))</f>
        <v/>
      </c>
      <c r="AZ28" s="8">
        <f>IF(AZ$3="","",IFERROR(LEFT(TRIM(INDEX(Forms貼り付け!$A:$AZ,27,AZ$3)),1),""))</f>
        <v/>
      </c>
      <c r="BA28" s="8">
        <f>IF(BA$3="","",IFERROR(LEFT(TRIM(INDEX(Forms貼り付け!$A:$AZ,27,BA$3)),1),""))</f>
        <v/>
      </c>
      <c r="BB28" s="8">
        <f>IF(BB$3="","",IFERROR(LEFT(TRIM(INDEX(Forms貼り付け!$A:$AZ,27,BB$3)),1),""))</f>
        <v/>
      </c>
      <c r="BC28" s="8">
        <f>IF(BC$3="","",IFERROR(LEFT(TRIM(INDEX(Forms貼り付け!$A:$AZ,27,BC$3)),1),""))</f>
        <v/>
      </c>
    </row>
    <row r="29">
      <c r="A29" s="8" t="inlineStr">
        <is>
          <t>U025</t>
        </is>
      </c>
      <c r="B29" s="9">
        <f>IF($B$3="","",INDEX(Forms貼り付け!$A:$AZ,28,$B$3))</f>
        <v/>
      </c>
      <c r="C29" s="9">
        <f>IF($C$3="","",INDEX(Forms貼り付け!$A:$AZ,28,$C$3))</f>
        <v/>
      </c>
      <c r="D29" s="8">
        <f>IF($D$3="","",INDEX(Forms貼り付け!$A:$AZ,28,$D$3))</f>
        <v/>
      </c>
      <c r="E29" s="8">
        <f>IF($E$3="","",INDEX(Forms貼り付け!$A:$AZ,28,$E$3))</f>
        <v/>
      </c>
      <c r="F29" s="8">
        <f>IF(F$3="","",IFERROR(LEFT(TRIM(INDEX(Forms貼り付け!$A:$AZ,28,F$3)),1),""))</f>
        <v/>
      </c>
      <c r="G29" s="8">
        <f>IF(G$3="","",IFERROR(LEFT(TRIM(INDEX(Forms貼り付け!$A:$AZ,28,G$3)),1),""))</f>
        <v/>
      </c>
      <c r="H29" s="8">
        <f>IF(H$3="","",IFERROR(LEFT(TRIM(INDEX(Forms貼り付け!$A:$AZ,28,H$3)),1),""))</f>
        <v/>
      </c>
      <c r="I29" s="8">
        <f>IF(I$3="","",IFERROR(LEFT(TRIM(INDEX(Forms貼り付け!$A:$AZ,28,I$3)),1),""))</f>
        <v/>
      </c>
      <c r="J29" s="8">
        <f>IF(J$3="","",IFERROR(LEFT(TRIM(INDEX(Forms貼り付け!$A:$AZ,28,J$3)),1),""))</f>
        <v/>
      </c>
      <c r="K29" s="8">
        <f>IF(K$3="","",IFERROR(LEFT(TRIM(INDEX(Forms貼り付け!$A:$AZ,28,K$3)),1),""))</f>
        <v/>
      </c>
      <c r="L29" s="8">
        <f>IF(L$3="","",IFERROR(LEFT(TRIM(INDEX(Forms貼り付け!$A:$AZ,28,L$3)),1),""))</f>
        <v/>
      </c>
      <c r="M29" s="8">
        <f>IF(M$3="","",IFERROR(LEFT(TRIM(INDEX(Forms貼り付け!$A:$AZ,28,M$3)),1),""))</f>
        <v/>
      </c>
      <c r="N29" s="8">
        <f>IF(N$3="","",IFERROR(LEFT(TRIM(INDEX(Forms貼り付け!$A:$AZ,28,N$3)),1),""))</f>
        <v/>
      </c>
      <c r="O29" s="8">
        <f>IF(O$3="","",IFERROR(LEFT(TRIM(INDEX(Forms貼り付け!$A:$AZ,28,O$3)),1),""))</f>
        <v/>
      </c>
      <c r="P29" s="8">
        <f>IF(P$3="","",IFERROR(LEFT(TRIM(INDEX(Forms貼り付け!$A:$AZ,28,P$3)),1),""))</f>
        <v/>
      </c>
      <c r="Q29" s="8">
        <f>IF(Q$3="","",IFERROR(LEFT(TRIM(INDEX(Forms貼り付け!$A:$AZ,28,Q$3)),1),""))</f>
        <v/>
      </c>
      <c r="R29" s="8">
        <f>IF(R$3="","",IFERROR(LEFT(TRIM(INDEX(Forms貼り付け!$A:$AZ,28,R$3)),1),""))</f>
        <v/>
      </c>
      <c r="S29" s="8">
        <f>IF(S$3="","",IFERROR(LEFT(TRIM(INDEX(Forms貼り付け!$A:$AZ,28,S$3)),1),""))</f>
        <v/>
      </c>
      <c r="T29" s="8">
        <f>IF(T$3="","",IFERROR(LEFT(TRIM(INDEX(Forms貼り付け!$A:$AZ,28,T$3)),1),""))</f>
        <v/>
      </c>
      <c r="U29" s="8">
        <f>IF(U$3="","",IFERROR(LEFT(TRIM(INDEX(Forms貼り付け!$A:$AZ,28,U$3)),1),""))</f>
        <v/>
      </c>
      <c r="V29" s="8">
        <f>IF(V$3="","",IFERROR(LEFT(TRIM(INDEX(Forms貼り付け!$A:$AZ,28,V$3)),1),""))</f>
        <v/>
      </c>
      <c r="W29" s="8">
        <f>IF(W$3="","",IFERROR(LEFT(TRIM(INDEX(Forms貼り付け!$A:$AZ,28,W$3)),1),""))</f>
        <v/>
      </c>
      <c r="X29" s="8">
        <f>IF(X$3="","",IFERROR(LEFT(TRIM(INDEX(Forms貼り付け!$A:$AZ,28,X$3)),1),""))</f>
        <v/>
      </c>
      <c r="Y29" s="8">
        <f>IF(Y$3="","",IFERROR(LEFT(TRIM(INDEX(Forms貼り付け!$A:$AZ,28,Y$3)),1),""))</f>
        <v/>
      </c>
      <c r="Z29" s="8">
        <f>IF(Z$3="","",IFERROR(LEFT(TRIM(INDEX(Forms貼り付け!$A:$AZ,28,Z$3)),1),""))</f>
        <v/>
      </c>
      <c r="AA29" s="8">
        <f>IF(AA$3="","",IFERROR(LEFT(TRIM(INDEX(Forms貼り付け!$A:$AZ,28,AA$3)),1),""))</f>
        <v/>
      </c>
      <c r="AB29" s="8">
        <f>IF(AB$3="","",IFERROR(LEFT(TRIM(INDEX(Forms貼り付け!$A:$AZ,28,AB$3)),1),""))</f>
        <v/>
      </c>
      <c r="AC29" s="8">
        <f>IF(AC$3="","",IFERROR(LEFT(TRIM(INDEX(Forms貼り付け!$A:$AZ,28,AC$3)),1),""))</f>
        <v/>
      </c>
      <c r="AD29" s="8">
        <f>IF(AD$3="","",IFERROR(LEFT(TRIM(INDEX(Forms貼り付け!$A:$AZ,28,AD$3)),1),""))</f>
        <v/>
      </c>
      <c r="AE29" s="8">
        <f>IF(AE$3="","",IFERROR(LEFT(TRIM(INDEX(Forms貼り付け!$A:$AZ,28,AE$3)),1),""))</f>
        <v/>
      </c>
      <c r="AF29" s="8">
        <f>IF(AF$3="","",IFERROR(LEFT(TRIM(INDEX(Forms貼り付け!$A:$AZ,28,AF$3)),1),""))</f>
        <v/>
      </c>
      <c r="AG29" s="8">
        <f>IF(AG$3="","",IFERROR(LEFT(TRIM(INDEX(Forms貼り付け!$A:$AZ,28,AG$3)),1),""))</f>
        <v/>
      </c>
      <c r="AH29" s="8">
        <f>IF(AH$3="","",IFERROR(LEFT(TRIM(INDEX(Forms貼り付け!$A:$AZ,28,AH$3)),1),""))</f>
        <v/>
      </c>
      <c r="AI29" s="8">
        <f>IF(AI$3="","",IFERROR(LEFT(TRIM(INDEX(Forms貼り付け!$A:$AZ,28,AI$3)),1),""))</f>
        <v/>
      </c>
      <c r="AJ29" s="8">
        <f>IF(AJ$3="","",IFERROR(LEFT(TRIM(INDEX(Forms貼り付け!$A:$AZ,28,AJ$3)),1),""))</f>
        <v/>
      </c>
      <c r="AK29" s="8">
        <f>IF(AK$3="","",IFERROR(LEFT(TRIM(INDEX(Forms貼り付け!$A:$AZ,28,AK$3)),1),""))</f>
        <v/>
      </c>
      <c r="AL29" s="8">
        <f>IF(AL$3="","",IFERROR(LEFT(TRIM(INDEX(Forms貼り付け!$A:$AZ,28,AL$3)),1),""))</f>
        <v/>
      </c>
      <c r="AM29" s="8">
        <f>IF(AM$3="","",IFERROR(LEFT(TRIM(INDEX(Forms貼り付け!$A:$AZ,28,AM$3)),1),""))</f>
        <v/>
      </c>
      <c r="AN29" s="8">
        <f>IF(AN$3="","",IFERROR(LEFT(TRIM(INDEX(Forms貼り付け!$A:$AZ,28,AN$3)),1),""))</f>
        <v/>
      </c>
      <c r="AO29" s="8">
        <f>IF(AO$3="","",IFERROR(LEFT(TRIM(INDEX(Forms貼り付け!$A:$AZ,28,AO$3)),1),""))</f>
        <v/>
      </c>
      <c r="AP29" s="8">
        <f>IF(AP$3="","",IFERROR(LEFT(TRIM(INDEX(Forms貼り付け!$A:$AZ,28,AP$3)),1),""))</f>
        <v/>
      </c>
      <c r="AQ29" s="8">
        <f>IF(AQ$3="","",IFERROR(LEFT(TRIM(INDEX(Forms貼り付け!$A:$AZ,28,AQ$3)),1),""))</f>
        <v/>
      </c>
      <c r="AR29" s="8">
        <f>IF(AR$3="","",IFERROR(LEFT(TRIM(INDEX(Forms貼り付け!$A:$AZ,28,AR$3)),1),""))</f>
        <v/>
      </c>
      <c r="AS29" s="8">
        <f>IF(AS$3="","",IFERROR(LEFT(TRIM(INDEX(Forms貼り付け!$A:$AZ,28,AS$3)),1),""))</f>
        <v/>
      </c>
      <c r="AT29" s="8">
        <f>IF(AT$3="","",IFERROR(LEFT(TRIM(INDEX(Forms貼り付け!$A:$AZ,28,AT$3)),1),""))</f>
        <v/>
      </c>
      <c r="AU29" s="8">
        <f>IF(AU$3="","",IFERROR(LEFT(TRIM(INDEX(Forms貼り付け!$A:$AZ,28,AU$3)),1),""))</f>
        <v/>
      </c>
      <c r="AV29" s="8">
        <f>IF(AV$3="","",IFERROR(LEFT(TRIM(INDEX(Forms貼り付け!$A:$AZ,28,AV$3)),1),""))</f>
        <v/>
      </c>
      <c r="AW29" s="8">
        <f>IF(AW$3="","",IFERROR(LEFT(TRIM(INDEX(Forms貼り付け!$A:$AZ,28,AW$3)),1),""))</f>
        <v/>
      </c>
      <c r="AX29" s="8">
        <f>IF(AX$3="","",IFERROR(LEFT(TRIM(INDEX(Forms貼り付け!$A:$AZ,28,AX$3)),1),""))</f>
        <v/>
      </c>
      <c r="AY29" s="8">
        <f>IF(AY$3="","",IFERROR(LEFT(TRIM(INDEX(Forms貼り付け!$A:$AZ,28,AY$3)),1),""))</f>
        <v/>
      </c>
      <c r="AZ29" s="8">
        <f>IF(AZ$3="","",IFERROR(LEFT(TRIM(INDEX(Forms貼り付け!$A:$AZ,28,AZ$3)),1),""))</f>
        <v/>
      </c>
      <c r="BA29" s="8">
        <f>IF(BA$3="","",IFERROR(LEFT(TRIM(INDEX(Forms貼り付け!$A:$AZ,28,BA$3)),1),""))</f>
        <v/>
      </c>
      <c r="BB29" s="8">
        <f>IF(BB$3="","",IFERROR(LEFT(TRIM(INDEX(Forms貼り付け!$A:$AZ,28,BB$3)),1),""))</f>
        <v/>
      </c>
      <c r="BC29" s="8">
        <f>IF(BC$3="","",IFERROR(LEFT(TRIM(INDEX(Forms貼り付け!$A:$AZ,28,BC$3)),1),""))</f>
        <v/>
      </c>
    </row>
    <row r="30">
      <c r="A30" s="8" t="inlineStr">
        <is>
          <t>U026</t>
        </is>
      </c>
      <c r="B30" s="9">
        <f>IF($B$3="","",INDEX(Forms貼り付け!$A:$AZ,29,$B$3))</f>
        <v/>
      </c>
      <c r="C30" s="9">
        <f>IF($C$3="","",INDEX(Forms貼り付け!$A:$AZ,29,$C$3))</f>
        <v/>
      </c>
      <c r="D30" s="8">
        <f>IF($D$3="","",INDEX(Forms貼り付け!$A:$AZ,29,$D$3))</f>
        <v/>
      </c>
      <c r="E30" s="8">
        <f>IF($E$3="","",INDEX(Forms貼り付け!$A:$AZ,29,$E$3))</f>
        <v/>
      </c>
      <c r="F30" s="8">
        <f>IF(F$3="","",IFERROR(LEFT(TRIM(INDEX(Forms貼り付け!$A:$AZ,29,F$3)),1),""))</f>
        <v/>
      </c>
      <c r="G30" s="8">
        <f>IF(G$3="","",IFERROR(LEFT(TRIM(INDEX(Forms貼り付け!$A:$AZ,29,G$3)),1),""))</f>
        <v/>
      </c>
      <c r="H30" s="8">
        <f>IF(H$3="","",IFERROR(LEFT(TRIM(INDEX(Forms貼り付け!$A:$AZ,29,H$3)),1),""))</f>
        <v/>
      </c>
      <c r="I30" s="8">
        <f>IF(I$3="","",IFERROR(LEFT(TRIM(INDEX(Forms貼り付け!$A:$AZ,29,I$3)),1),""))</f>
        <v/>
      </c>
      <c r="J30" s="8">
        <f>IF(J$3="","",IFERROR(LEFT(TRIM(INDEX(Forms貼り付け!$A:$AZ,29,J$3)),1),""))</f>
        <v/>
      </c>
      <c r="K30" s="8">
        <f>IF(K$3="","",IFERROR(LEFT(TRIM(INDEX(Forms貼り付け!$A:$AZ,29,K$3)),1),""))</f>
        <v/>
      </c>
      <c r="L30" s="8">
        <f>IF(L$3="","",IFERROR(LEFT(TRIM(INDEX(Forms貼り付け!$A:$AZ,29,L$3)),1),""))</f>
        <v/>
      </c>
      <c r="M30" s="8">
        <f>IF(M$3="","",IFERROR(LEFT(TRIM(INDEX(Forms貼り付け!$A:$AZ,29,M$3)),1),""))</f>
        <v/>
      </c>
      <c r="N30" s="8">
        <f>IF(N$3="","",IFERROR(LEFT(TRIM(INDEX(Forms貼り付け!$A:$AZ,29,N$3)),1),""))</f>
        <v/>
      </c>
      <c r="O30" s="8">
        <f>IF(O$3="","",IFERROR(LEFT(TRIM(INDEX(Forms貼り付け!$A:$AZ,29,O$3)),1),""))</f>
        <v/>
      </c>
      <c r="P30" s="8">
        <f>IF(P$3="","",IFERROR(LEFT(TRIM(INDEX(Forms貼り付け!$A:$AZ,29,P$3)),1),""))</f>
        <v/>
      </c>
      <c r="Q30" s="8">
        <f>IF(Q$3="","",IFERROR(LEFT(TRIM(INDEX(Forms貼り付け!$A:$AZ,29,Q$3)),1),""))</f>
        <v/>
      </c>
      <c r="R30" s="8">
        <f>IF(R$3="","",IFERROR(LEFT(TRIM(INDEX(Forms貼り付け!$A:$AZ,29,R$3)),1),""))</f>
        <v/>
      </c>
      <c r="S30" s="8">
        <f>IF(S$3="","",IFERROR(LEFT(TRIM(INDEX(Forms貼り付け!$A:$AZ,29,S$3)),1),""))</f>
        <v/>
      </c>
      <c r="T30" s="8">
        <f>IF(T$3="","",IFERROR(LEFT(TRIM(INDEX(Forms貼り付け!$A:$AZ,29,T$3)),1),""))</f>
        <v/>
      </c>
      <c r="U30" s="8">
        <f>IF(U$3="","",IFERROR(LEFT(TRIM(INDEX(Forms貼り付け!$A:$AZ,29,U$3)),1),""))</f>
        <v/>
      </c>
      <c r="V30" s="8">
        <f>IF(V$3="","",IFERROR(LEFT(TRIM(INDEX(Forms貼り付け!$A:$AZ,29,V$3)),1),""))</f>
        <v/>
      </c>
      <c r="W30" s="8">
        <f>IF(W$3="","",IFERROR(LEFT(TRIM(INDEX(Forms貼り付け!$A:$AZ,29,W$3)),1),""))</f>
        <v/>
      </c>
      <c r="X30" s="8">
        <f>IF(X$3="","",IFERROR(LEFT(TRIM(INDEX(Forms貼り付け!$A:$AZ,29,X$3)),1),""))</f>
        <v/>
      </c>
      <c r="Y30" s="8">
        <f>IF(Y$3="","",IFERROR(LEFT(TRIM(INDEX(Forms貼り付け!$A:$AZ,29,Y$3)),1),""))</f>
        <v/>
      </c>
      <c r="Z30" s="8">
        <f>IF(Z$3="","",IFERROR(LEFT(TRIM(INDEX(Forms貼り付け!$A:$AZ,29,Z$3)),1),""))</f>
        <v/>
      </c>
      <c r="AA30" s="8">
        <f>IF(AA$3="","",IFERROR(LEFT(TRIM(INDEX(Forms貼り付け!$A:$AZ,29,AA$3)),1),""))</f>
        <v/>
      </c>
      <c r="AB30" s="8">
        <f>IF(AB$3="","",IFERROR(LEFT(TRIM(INDEX(Forms貼り付け!$A:$AZ,29,AB$3)),1),""))</f>
        <v/>
      </c>
      <c r="AC30" s="8">
        <f>IF(AC$3="","",IFERROR(LEFT(TRIM(INDEX(Forms貼り付け!$A:$AZ,29,AC$3)),1),""))</f>
        <v/>
      </c>
      <c r="AD30" s="8">
        <f>IF(AD$3="","",IFERROR(LEFT(TRIM(INDEX(Forms貼り付け!$A:$AZ,29,AD$3)),1),""))</f>
        <v/>
      </c>
      <c r="AE30" s="8">
        <f>IF(AE$3="","",IFERROR(LEFT(TRIM(INDEX(Forms貼り付け!$A:$AZ,29,AE$3)),1),""))</f>
        <v/>
      </c>
      <c r="AF30" s="8">
        <f>IF(AF$3="","",IFERROR(LEFT(TRIM(INDEX(Forms貼り付け!$A:$AZ,29,AF$3)),1),""))</f>
        <v/>
      </c>
      <c r="AG30" s="8">
        <f>IF(AG$3="","",IFERROR(LEFT(TRIM(INDEX(Forms貼り付け!$A:$AZ,29,AG$3)),1),""))</f>
        <v/>
      </c>
      <c r="AH30" s="8">
        <f>IF(AH$3="","",IFERROR(LEFT(TRIM(INDEX(Forms貼り付け!$A:$AZ,29,AH$3)),1),""))</f>
        <v/>
      </c>
      <c r="AI30" s="8">
        <f>IF(AI$3="","",IFERROR(LEFT(TRIM(INDEX(Forms貼り付け!$A:$AZ,29,AI$3)),1),""))</f>
        <v/>
      </c>
      <c r="AJ30" s="8">
        <f>IF(AJ$3="","",IFERROR(LEFT(TRIM(INDEX(Forms貼り付け!$A:$AZ,29,AJ$3)),1),""))</f>
        <v/>
      </c>
      <c r="AK30" s="8">
        <f>IF(AK$3="","",IFERROR(LEFT(TRIM(INDEX(Forms貼り付け!$A:$AZ,29,AK$3)),1),""))</f>
        <v/>
      </c>
      <c r="AL30" s="8">
        <f>IF(AL$3="","",IFERROR(LEFT(TRIM(INDEX(Forms貼り付け!$A:$AZ,29,AL$3)),1),""))</f>
        <v/>
      </c>
      <c r="AM30" s="8">
        <f>IF(AM$3="","",IFERROR(LEFT(TRIM(INDEX(Forms貼り付け!$A:$AZ,29,AM$3)),1),""))</f>
        <v/>
      </c>
      <c r="AN30" s="8">
        <f>IF(AN$3="","",IFERROR(LEFT(TRIM(INDEX(Forms貼り付け!$A:$AZ,29,AN$3)),1),""))</f>
        <v/>
      </c>
      <c r="AO30" s="8">
        <f>IF(AO$3="","",IFERROR(LEFT(TRIM(INDEX(Forms貼り付け!$A:$AZ,29,AO$3)),1),""))</f>
        <v/>
      </c>
      <c r="AP30" s="8">
        <f>IF(AP$3="","",IFERROR(LEFT(TRIM(INDEX(Forms貼り付け!$A:$AZ,29,AP$3)),1),""))</f>
        <v/>
      </c>
      <c r="AQ30" s="8">
        <f>IF(AQ$3="","",IFERROR(LEFT(TRIM(INDEX(Forms貼り付け!$A:$AZ,29,AQ$3)),1),""))</f>
        <v/>
      </c>
      <c r="AR30" s="8">
        <f>IF(AR$3="","",IFERROR(LEFT(TRIM(INDEX(Forms貼り付け!$A:$AZ,29,AR$3)),1),""))</f>
        <v/>
      </c>
      <c r="AS30" s="8">
        <f>IF(AS$3="","",IFERROR(LEFT(TRIM(INDEX(Forms貼り付け!$A:$AZ,29,AS$3)),1),""))</f>
        <v/>
      </c>
      <c r="AT30" s="8">
        <f>IF(AT$3="","",IFERROR(LEFT(TRIM(INDEX(Forms貼り付け!$A:$AZ,29,AT$3)),1),""))</f>
        <v/>
      </c>
      <c r="AU30" s="8">
        <f>IF(AU$3="","",IFERROR(LEFT(TRIM(INDEX(Forms貼り付け!$A:$AZ,29,AU$3)),1),""))</f>
        <v/>
      </c>
      <c r="AV30" s="8">
        <f>IF(AV$3="","",IFERROR(LEFT(TRIM(INDEX(Forms貼り付け!$A:$AZ,29,AV$3)),1),""))</f>
        <v/>
      </c>
      <c r="AW30" s="8">
        <f>IF(AW$3="","",IFERROR(LEFT(TRIM(INDEX(Forms貼り付け!$A:$AZ,29,AW$3)),1),""))</f>
        <v/>
      </c>
      <c r="AX30" s="8">
        <f>IF(AX$3="","",IFERROR(LEFT(TRIM(INDEX(Forms貼り付け!$A:$AZ,29,AX$3)),1),""))</f>
        <v/>
      </c>
      <c r="AY30" s="8">
        <f>IF(AY$3="","",IFERROR(LEFT(TRIM(INDEX(Forms貼り付け!$A:$AZ,29,AY$3)),1),""))</f>
        <v/>
      </c>
      <c r="AZ30" s="8">
        <f>IF(AZ$3="","",IFERROR(LEFT(TRIM(INDEX(Forms貼り付け!$A:$AZ,29,AZ$3)),1),""))</f>
        <v/>
      </c>
      <c r="BA30" s="8">
        <f>IF(BA$3="","",IFERROR(LEFT(TRIM(INDEX(Forms貼り付け!$A:$AZ,29,BA$3)),1),""))</f>
        <v/>
      </c>
      <c r="BB30" s="8">
        <f>IF(BB$3="","",IFERROR(LEFT(TRIM(INDEX(Forms貼り付け!$A:$AZ,29,BB$3)),1),""))</f>
        <v/>
      </c>
      <c r="BC30" s="8">
        <f>IF(BC$3="","",IFERROR(LEFT(TRIM(INDEX(Forms貼り付け!$A:$AZ,29,BC$3)),1),""))</f>
        <v/>
      </c>
    </row>
    <row r="31">
      <c r="A31" s="8" t="inlineStr">
        <is>
          <t>U027</t>
        </is>
      </c>
      <c r="B31" s="9">
        <f>IF($B$3="","",INDEX(Forms貼り付け!$A:$AZ,30,$B$3))</f>
        <v/>
      </c>
      <c r="C31" s="9">
        <f>IF($C$3="","",INDEX(Forms貼り付け!$A:$AZ,30,$C$3))</f>
        <v/>
      </c>
      <c r="D31" s="8">
        <f>IF($D$3="","",INDEX(Forms貼り付け!$A:$AZ,30,$D$3))</f>
        <v/>
      </c>
      <c r="E31" s="8">
        <f>IF($E$3="","",INDEX(Forms貼り付け!$A:$AZ,30,$E$3))</f>
        <v/>
      </c>
      <c r="F31" s="8">
        <f>IF(F$3="","",IFERROR(LEFT(TRIM(INDEX(Forms貼り付け!$A:$AZ,30,F$3)),1),""))</f>
        <v/>
      </c>
      <c r="G31" s="8">
        <f>IF(G$3="","",IFERROR(LEFT(TRIM(INDEX(Forms貼り付け!$A:$AZ,30,G$3)),1),""))</f>
        <v/>
      </c>
      <c r="H31" s="8">
        <f>IF(H$3="","",IFERROR(LEFT(TRIM(INDEX(Forms貼り付け!$A:$AZ,30,H$3)),1),""))</f>
        <v/>
      </c>
      <c r="I31" s="8">
        <f>IF(I$3="","",IFERROR(LEFT(TRIM(INDEX(Forms貼り付け!$A:$AZ,30,I$3)),1),""))</f>
        <v/>
      </c>
      <c r="J31" s="8">
        <f>IF(J$3="","",IFERROR(LEFT(TRIM(INDEX(Forms貼り付け!$A:$AZ,30,J$3)),1),""))</f>
        <v/>
      </c>
      <c r="K31" s="8">
        <f>IF(K$3="","",IFERROR(LEFT(TRIM(INDEX(Forms貼り付け!$A:$AZ,30,K$3)),1),""))</f>
        <v/>
      </c>
      <c r="L31" s="8">
        <f>IF(L$3="","",IFERROR(LEFT(TRIM(INDEX(Forms貼り付け!$A:$AZ,30,L$3)),1),""))</f>
        <v/>
      </c>
      <c r="M31" s="8">
        <f>IF(M$3="","",IFERROR(LEFT(TRIM(INDEX(Forms貼り付け!$A:$AZ,30,M$3)),1),""))</f>
        <v/>
      </c>
      <c r="N31" s="8">
        <f>IF(N$3="","",IFERROR(LEFT(TRIM(INDEX(Forms貼り付け!$A:$AZ,30,N$3)),1),""))</f>
        <v/>
      </c>
      <c r="O31" s="8">
        <f>IF(O$3="","",IFERROR(LEFT(TRIM(INDEX(Forms貼り付け!$A:$AZ,30,O$3)),1),""))</f>
        <v/>
      </c>
      <c r="P31" s="8">
        <f>IF(P$3="","",IFERROR(LEFT(TRIM(INDEX(Forms貼り付け!$A:$AZ,30,P$3)),1),""))</f>
        <v/>
      </c>
      <c r="Q31" s="8">
        <f>IF(Q$3="","",IFERROR(LEFT(TRIM(INDEX(Forms貼り付け!$A:$AZ,30,Q$3)),1),""))</f>
        <v/>
      </c>
      <c r="R31" s="8">
        <f>IF(R$3="","",IFERROR(LEFT(TRIM(INDEX(Forms貼り付け!$A:$AZ,30,R$3)),1),""))</f>
        <v/>
      </c>
      <c r="S31" s="8">
        <f>IF(S$3="","",IFERROR(LEFT(TRIM(INDEX(Forms貼り付け!$A:$AZ,30,S$3)),1),""))</f>
        <v/>
      </c>
      <c r="T31" s="8">
        <f>IF(T$3="","",IFERROR(LEFT(TRIM(INDEX(Forms貼り付け!$A:$AZ,30,T$3)),1),""))</f>
        <v/>
      </c>
      <c r="U31" s="8">
        <f>IF(U$3="","",IFERROR(LEFT(TRIM(INDEX(Forms貼り付け!$A:$AZ,30,U$3)),1),""))</f>
        <v/>
      </c>
      <c r="V31" s="8">
        <f>IF(V$3="","",IFERROR(LEFT(TRIM(INDEX(Forms貼り付け!$A:$AZ,30,V$3)),1),""))</f>
        <v/>
      </c>
      <c r="W31" s="8">
        <f>IF(W$3="","",IFERROR(LEFT(TRIM(INDEX(Forms貼り付け!$A:$AZ,30,W$3)),1),""))</f>
        <v/>
      </c>
      <c r="X31" s="8">
        <f>IF(X$3="","",IFERROR(LEFT(TRIM(INDEX(Forms貼り付け!$A:$AZ,30,X$3)),1),""))</f>
        <v/>
      </c>
      <c r="Y31" s="8">
        <f>IF(Y$3="","",IFERROR(LEFT(TRIM(INDEX(Forms貼り付け!$A:$AZ,30,Y$3)),1),""))</f>
        <v/>
      </c>
      <c r="Z31" s="8">
        <f>IF(Z$3="","",IFERROR(LEFT(TRIM(INDEX(Forms貼り付け!$A:$AZ,30,Z$3)),1),""))</f>
        <v/>
      </c>
      <c r="AA31" s="8">
        <f>IF(AA$3="","",IFERROR(LEFT(TRIM(INDEX(Forms貼り付け!$A:$AZ,30,AA$3)),1),""))</f>
        <v/>
      </c>
      <c r="AB31" s="8">
        <f>IF(AB$3="","",IFERROR(LEFT(TRIM(INDEX(Forms貼り付け!$A:$AZ,30,AB$3)),1),""))</f>
        <v/>
      </c>
      <c r="AC31" s="8">
        <f>IF(AC$3="","",IFERROR(LEFT(TRIM(INDEX(Forms貼り付け!$A:$AZ,30,AC$3)),1),""))</f>
        <v/>
      </c>
      <c r="AD31" s="8">
        <f>IF(AD$3="","",IFERROR(LEFT(TRIM(INDEX(Forms貼り付け!$A:$AZ,30,AD$3)),1),""))</f>
        <v/>
      </c>
      <c r="AE31" s="8">
        <f>IF(AE$3="","",IFERROR(LEFT(TRIM(INDEX(Forms貼り付け!$A:$AZ,30,AE$3)),1),""))</f>
        <v/>
      </c>
      <c r="AF31" s="8">
        <f>IF(AF$3="","",IFERROR(LEFT(TRIM(INDEX(Forms貼り付け!$A:$AZ,30,AF$3)),1),""))</f>
        <v/>
      </c>
      <c r="AG31" s="8">
        <f>IF(AG$3="","",IFERROR(LEFT(TRIM(INDEX(Forms貼り付け!$A:$AZ,30,AG$3)),1),""))</f>
        <v/>
      </c>
      <c r="AH31" s="8">
        <f>IF(AH$3="","",IFERROR(LEFT(TRIM(INDEX(Forms貼り付け!$A:$AZ,30,AH$3)),1),""))</f>
        <v/>
      </c>
      <c r="AI31" s="8">
        <f>IF(AI$3="","",IFERROR(LEFT(TRIM(INDEX(Forms貼り付け!$A:$AZ,30,AI$3)),1),""))</f>
        <v/>
      </c>
      <c r="AJ31" s="8">
        <f>IF(AJ$3="","",IFERROR(LEFT(TRIM(INDEX(Forms貼り付け!$A:$AZ,30,AJ$3)),1),""))</f>
        <v/>
      </c>
      <c r="AK31" s="8">
        <f>IF(AK$3="","",IFERROR(LEFT(TRIM(INDEX(Forms貼り付け!$A:$AZ,30,AK$3)),1),""))</f>
        <v/>
      </c>
      <c r="AL31" s="8">
        <f>IF(AL$3="","",IFERROR(LEFT(TRIM(INDEX(Forms貼り付け!$A:$AZ,30,AL$3)),1),""))</f>
        <v/>
      </c>
      <c r="AM31" s="8">
        <f>IF(AM$3="","",IFERROR(LEFT(TRIM(INDEX(Forms貼り付け!$A:$AZ,30,AM$3)),1),""))</f>
        <v/>
      </c>
      <c r="AN31" s="8">
        <f>IF(AN$3="","",IFERROR(LEFT(TRIM(INDEX(Forms貼り付け!$A:$AZ,30,AN$3)),1),""))</f>
        <v/>
      </c>
      <c r="AO31" s="8">
        <f>IF(AO$3="","",IFERROR(LEFT(TRIM(INDEX(Forms貼り付け!$A:$AZ,30,AO$3)),1),""))</f>
        <v/>
      </c>
      <c r="AP31" s="8">
        <f>IF(AP$3="","",IFERROR(LEFT(TRIM(INDEX(Forms貼り付け!$A:$AZ,30,AP$3)),1),""))</f>
        <v/>
      </c>
      <c r="AQ31" s="8">
        <f>IF(AQ$3="","",IFERROR(LEFT(TRIM(INDEX(Forms貼り付け!$A:$AZ,30,AQ$3)),1),""))</f>
        <v/>
      </c>
      <c r="AR31" s="8">
        <f>IF(AR$3="","",IFERROR(LEFT(TRIM(INDEX(Forms貼り付け!$A:$AZ,30,AR$3)),1),""))</f>
        <v/>
      </c>
      <c r="AS31" s="8">
        <f>IF(AS$3="","",IFERROR(LEFT(TRIM(INDEX(Forms貼り付け!$A:$AZ,30,AS$3)),1),""))</f>
        <v/>
      </c>
      <c r="AT31" s="8">
        <f>IF(AT$3="","",IFERROR(LEFT(TRIM(INDEX(Forms貼り付け!$A:$AZ,30,AT$3)),1),""))</f>
        <v/>
      </c>
      <c r="AU31" s="8">
        <f>IF(AU$3="","",IFERROR(LEFT(TRIM(INDEX(Forms貼り付け!$A:$AZ,30,AU$3)),1),""))</f>
        <v/>
      </c>
      <c r="AV31" s="8">
        <f>IF(AV$3="","",IFERROR(LEFT(TRIM(INDEX(Forms貼り付け!$A:$AZ,30,AV$3)),1),""))</f>
        <v/>
      </c>
      <c r="AW31" s="8">
        <f>IF(AW$3="","",IFERROR(LEFT(TRIM(INDEX(Forms貼り付け!$A:$AZ,30,AW$3)),1),""))</f>
        <v/>
      </c>
      <c r="AX31" s="8">
        <f>IF(AX$3="","",IFERROR(LEFT(TRIM(INDEX(Forms貼り付け!$A:$AZ,30,AX$3)),1),""))</f>
        <v/>
      </c>
      <c r="AY31" s="8">
        <f>IF(AY$3="","",IFERROR(LEFT(TRIM(INDEX(Forms貼り付け!$A:$AZ,30,AY$3)),1),""))</f>
        <v/>
      </c>
      <c r="AZ31" s="8">
        <f>IF(AZ$3="","",IFERROR(LEFT(TRIM(INDEX(Forms貼り付け!$A:$AZ,30,AZ$3)),1),""))</f>
        <v/>
      </c>
      <c r="BA31" s="8">
        <f>IF(BA$3="","",IFERROR(LEFT(TRIM(INDEX(Forms貼り付け!$A:$AZ,30,BA$3)),1),""))</f>
        <v/>
      </c>
      <c r="BB31" s="8">
        <f>IF(BB$3="","",IFERROR(LEFT(TRIM(INDEX(Forms貼り付け!$A:$AZ,30,BB$3)),1),""))</f>
        <v/>
      </c>
      <c r="BC31" s="8">
        <f>IF(BC$3="","",IFERROR(LEFT(TRIM(INDEX(Forms貼り付け!$A:$AZ,30,BC$3)),1),""))</f>
        <v/>
      </c>
    </row>
    <row r="32">
      <c r="A32" s="8" t="inlineStr">
        <is>
          <t>U028</t>
        </is>
      </c>
      <c r="B32" s="9">
        <f>IF($B$3="","",INDEX(Forms貼り付け!$A:$AZ,31,$B$3))</f>
        <v/>
      </c>
      <c r="C32" s="9">
        <f>IF($C$3="","",INDEX(Forms貼り付け!$A:$AZ,31,$C$3))</f>
        <v/>
      </c>
      <c r="D32" s="8">
        <f>IF($D$3="","",INDEX(Forms貼り付け!$A:$AZ,31,$D$3))</f>
        <v/>
      </c>
      <c r="E32" s="8">
        <f>IF($E$3="","",INDEX(Forms貼り付け!$A:$AZ,31,$E$3))</f>
        <v/>
      </c>
      <c r="F32" s="8">
        <f>IF(F$3="","",IFERROR(LEFT(TRIM(INDEX(Forms貼り付け!$A:$AZ,31,F$3)),1),""))</f>
        <v/>
      </c>
      <c r="G32" s="8">
        <f>IF(G$3="","",IFERROR(LEFT(TRIM(INDEX(Forms貼り付け!$A:$AZ,31,G$3)),1),""))</f>
        <v/>
      </c>
      <c r="H32" s="8">
        <f>IF(H$3="","",IFERROR(LEFT(TRIM(INDEX(Forms貼り付け!$A:$AZ,31,H$3)),1),""))</f>
        <v/>
      </c>
      <c r="I32" s="8">
        <f>IF(I$3="","",IFERROR(LEFT(TRIM(INDEX(Forms貼り付け!$A:$AZ,31,I$3)),1),""))</f>
        <v/>
      </c>
      <c r="J32" s="8">
        <f>IF(J$3="","",IFERROR(LEFT(TRIM(INDEX(Forms貼り付け!$A:$AZ,31,J$3)),1),""))</f>
        <v/>
      </c>
      <c r="K32" s="8">
        <f>IF(K$3="","",IFERROR(LEFT(TRIM(INDEX(Forms貼り付け!$A:$AZ,31,K$3)),1),""))</f>
        <v/>
      </c>
      <c r="L32" s="8">
        <f>IF(L$3="","",IFERROR(LEFT(TRIM(INDEX(Forms貼り付け!$A:$AZ,31,L$3)),1),""))</f>
        <v/>
      </c>
      <c r="M32" s="8">
        <f>IF(M$3="","",IFERROR(LEFT(TRIM(INDEX(Forms貼り付け!$A:$AZ,31,M$3)),1),""))</f>
        <v/>
      </c>
      <c r="N32" s="8">
        <f>IF(N$3="","",IFERROR(LEFT(TRIM(INDEX(Forms貼り付け!$A:$AZ,31,N$3)),1),""))</f>
        <v/>
      </c>
      <c r="O32" s="8">
        <f>IF(O$3="","",IFERROR(LEFT(TRIM(INDEX(Forms貼り付け!$A:$AZ,31,O$3)),1),""))</f>
        <v/>
      </c>
      <c r="P32" s="8">
        <f>IF(P$3="","",IFERROR(LEFT(TRIM(INDEX(Forms貼り付け!$A:$AZ,31,P$3)),1),""))</f>
        <v/>
      </c>
      <c r="Q32" s="8">
        <f>IF(Q$3="","",IFERROR(LEFT(TRIM(INDEX(Forms貼り付け!$A:$AZ,31,Q$3)),1),""))</f>
        <v/>
      </c>
      <c r="R32" s="8">
        <f>IF(R$3="","",IFERROR(LEFT(TRIM(INDEX(Forms貼り付け!$A:$AZ,31,R$3)),1),""))</f>
        <v/>
      </c>
      <c r="S32" s="8">
        <f>IF(S$3="","",IFERROR(LEFT(TRIM(INDEX(Forms貼り付け!$A:$AZ,31,S$3)),1),""))</f>
        <v/>
      </c>
      <c r="T32" s="8">
        <f>IF(T$3="","",IFERROR(LEFT(TRIM(INDEX(Forms貼り付け!$A:$AZ,31,T$3)),1),""))</f>
        <v/>
      </c>
      <c r="U32" s="8">
        <f>IF(U$3="","",IFERROR(LEFT(TRIM(INDEX(Forms貼り付け!$A:$AZ,31,U$3)),1),""))</f>
        <v/>
      </c>
      <c r="V32" s="8">
        <f>IF(V$3="","",IFERROR(LEFT(TRIM(INDEX(Forms貼り付け!$A:$AZ,31,V$3)),1),""))</f>
        <v/>
      </c>
      <c r="W32" s="8">
        <f>IF(W$3="","",IFERROR(LEFT(TRIM(INDEX(Forms貼り付け!$A:$AZ,31,W$3)),1),""))</f>
        <v/>
      </c>
      <c r="X32" s="8">
        <f>IF(X$3="","",IFERROR(LEFT(TRIM(INDEX(Forms貼り付け!$A:$AZ,31,X$3)),1),""))</f>
        <v/>
      </c>
      <c r="Y32" s="8">
        <f>IF(Y$3="","",IFERROR(LEFT(TRIM(INDEX(Forms貼り付け!$A:$AZ,31,Y$3)),1),""))</f>
        <v/>
      </c>
      <c r="Z32" s="8">
        <f>IF(Z$3="","",IFERROR(LEFT(TRIM(INDEX(Forms貼り付け!$A:$AZ,31,Z$3)),1),""))</f>
        <v/>
      </c>
      <c r="AA32" s="8">
        <f>IF(AA$3="","",IFERROR(LEFT(TRIM(INDEX(Forms貼り付け!$A:$AZ,31,AA$3)),1),""))</f>
        <v/>
      </c>
      <c r="AB32" s="8">
        <f>IF(AB$3="","",IFERROR(LEFT(TRIM(INDEX(Forms貼り付け!$A:$AZ,31,AB$3)),1),""))</f>
        <v/>
      </c>
      <c r="AC32" s="8">
        <f>IF(AC$3="","",IFERROR(LEFT(TRIM(INDEX(Forms貼り付け!$A:$AZ,31,AC$3)),1),""))</f>
        <v/>
      </c>
      <c r="AD32" s="8">
        <f>IF(AD$3="","",IFERROR(LEFT(TRIM(INDEX(Forms貼り付け!$A:$AZ,31,AD$3)),1),""))</f>
        <v/>
      </c>
      <c r="AE32" s="8">
        <f>IF(AE$3="","",IFERROR(LEFT(TRIM(INDEX(Forms貼り付け!$A:$AZ,31,AE$3)),1),""))</f>
        <v/>
      </c>
      <c r="AF32" s="8">
        <f>IF(AF$3="","",IFERROR(LEFT(TRIM(INDEX(Forms貼り付け!$A:$AZ,31,AF$3)),1),""))</f>
        <v/>
      </c>
      <c r="AG32" s="8">
        <f>IF(AG$3="","",IFERROR(LEFT(TRIM(INDEX(Forms貼り付け!$A:$AZ,31,AG$3)),1),""))</f>
        <v/>
      </c>
      <c r="AH32" s="8">
        <f>IF(AH$3="","",IFERROR(LEFT(TRIM(INDEX(Forms貼り付け!$A:$AZ,31,AH$3)),1),""))</f>
        <v/>
      </c>
      <c r="AI32" s="8">
        <f>IF(AI$3="","",IFERROR(LEFT(TRIM(INDEX(Forms貼り付け!$A:$AZ,31,AI$3)),1),""))</f>
        <v/>
      </c>
      <c r="AJ32" s="8">
        <f>IF(AJ$3="","",IFERROR(LEFT(TRIM(INDEX(Forms貼り付け!$A:$AZ,31,AJ$3)),1),""))</f>
        <v/>
      </c>
      <c r="AK32" s="8">
        <f>IF(AK$3="","",IFERROR(LEFT(TRIM(INDEX(Forms貼り付け!$A:$AZ,31,AK$3)),1),""))</f>
        <v/>
      </c>
      <c r="AL32" s="8">
        <f>IF(AL$3="","",IFERROR(LEFT(TRIM(INDEX(Forms貼り付け!$A:$AZ,31,AL$3)),1),""))</f>
        <v/>
      </c>
      <c r="AM32" s="8">
        <f>IF(AM$3="","",IFERROR(LEFT(TRIM(INDEX(Forms貼り付け!$A:$AZ,31,AM$3)),1),""))</f>
        <v/>
      </c>
      <c r="AN32" s="8">
        <f>IF(AN$3="","",IFERROR(LEFT(TRIM(INDEX(Forms貼り付け!$A:$AZ,31,AN$3)),1),""))</f>
        <v/>
      </c>
      <c r="AO32" s="8">
        <f>IF(AO$3="","",IFERROR(LEFT(TRIM(INDEX(Forms貼り付け!$A:$AZ,31,AO$3)),1),""))</f>
        <v/>
      </c>
      <c r="AP32" s="8">
        <f>IF(AP$3="","",IFERROR(LEFT(TRIM(INDEX(Forms貼り付け!$A:$AZ,31,AP$3)),1),""))</f>
        <v/>
      </c>
      <c r="AQ32" s="8">
        <f>IF(AQ$3="","",IFERROR(LEFT(TRIM(INDEX(Forms貼り付け!$A:$AZ,31,AQ$3)),1),""))</f>
        <v/>
      </c>
      <c r="AR32" s="8">
        <f>IF(AR$3="","",IFERROR(LEFT(TRIM(INDEX(Forms貼り付け!$A:$AZ,31,AR$3)),1),""))</f>
        <v/>
      </c>
      <c r="AS32" s="8">
        <f>IF(AS$3="","",IFERROR(LEFT(TRIM(INDEX(Forms貼り付け!$A:$AZ,31,AS$3)),1),""))</f>
        <v/>
      </c>
      <c r="AT32" s="8">
        <f>IF(AT$3="","",IFERROR(LEFT(TRIM(INDEX(Forms貼り付け!$A:$AZ,31,AT$3)),1),""))</f>
        <v/>
      </c>
      <c r="AU32" s="8">
        <f>IF(AU$3="","",IFERROR(LEFT(TRIM(INDEX(Forms貼り付け!$A:$AZ,31,AU$3)),1),""))</f>
        <v/>
      </c>
      <c r="AV32" s="8">
        <f>IF(AV$3="","",IFERROR(LEFT(TRIM(INDEX(Forms貼り付け!$A:$AZ,31,AV$3)),1),""))</f>
        <v/>
      </c>
      <c r="AW32" s="8">
        <f>IF(AW$3="","",IFERROR(LEFT(TRIM(INDEX(Forms貼り付け!$A:$AZ,31,AW$3)),1),""))</f>
        <v/>
      </c>
      <c r="AX32" s="8">
        <f>IF(AX$3="","",IFERROR(LEFT(TRIM(INDEX(Forms貼り付け!$A:$AZ,31,AX$3)),1),""))</f>
        <v/>
      </c>
      <c r="AY32" s="8">
        <f>IF(AY$3="","",IFERROR(LEFT(TRIM(INDEX(Forms貼り付け!$A:$AZ,31,AY$3)),1),""))</f>
        <v/>
      </c>
      <c r="AZ32" s="8">
        <f>IF(AZ$3="","",IFERROR(LEFT(TRIM(INDEX(Forms貼り付け!$A:$AZ,31,AZ$3)),1),""))</f>
        <v/>
      </c>
      <c r="BA32" s="8">
        <f>IF(BA$3="","",IFERROR(LEFT(TRIM(INDEX(Forms貼り付け!$A:$AZ,31,BA$3)),1),""))</f>
        <v/>
      </c>
      <c r="BB32" s="8">
        <f>IF(BB$3="","",IFERROR(LEFT(TRIM(INDEX(Forms貼り付け!$A:$AZ,31,BB$3)),1),""))</f>
        <v/>
      </c>
      <c r="BC32" s="8">
        <f>IF(BC$3="","",IFERROR(LEFT(TRIM(INDEX(Forms貼り付け!$A:$AZ,31,BC$3)),1),""))</f>
        <v/>
      </c>
    </row>
    <row r="33">
      <c r="A33" s="8" t="inlineStr">
        <is>
          <t>U029</t>
        </is>
      </c>
      <c r="B33" s="9">
        <f>IF($B$3="","",INDEX(Forms貼り付け!$A:$AZ,32,$B$3))</f>
        <v/>
      </c>
      <c r="C33" s="9">
        <f>IF($C$3="","",INDEX(Forms貼り付け!$A:$AZ,32,$C$3))</f>
        <v/>
      </c>
      <c r="D33" s="8">
        <f>IF($D$3="","",INDEX(Forms貼り付け!$A:$AZ,32,$D$3))</f>
        <v/>
      </c>
      <c r="E33" s="8">
        <f>IF($E$3="","",INDEX(Forms貼り付け!$A:$AZ,32,$E$3))</f>
        <v/>
      </c>
      <c r="F33" s="8">
        <f>IF(F$3="","",IFERROR(LEFT(TRIM(INDEX(Forms貼り付け!$A:$AZ,32,F$3)),1),""))</f>
        <v/>
      </c>
      <c r="G33" s="8">
        <f>IF(G$3="","",IFERROR(LEFT(TRIM(INDEX(Forms貼り付け!$A:$AZ,32,G$3)),1),""))</f>
        <v/>
      </c>
      <c r="H33" s="8">
        <f>IF(H$3="","",IFERROR(LEFT(TRIM(INDEX(Forms貼り付け!$A:$AZ,32,H$3)),1),""))</f>
        <v/>
      </c>
      <c r="I33" s="8">
        <f>IF(I$3="","",IFERROR(LEFT(TRIM(INDEX(Forms貼り付け!$A:$AZ,32,I$3)),1),""))</f>
        <v/>
      </c>
      <c r="J33" s="8">
        <f>IF(J$3="","",IFERROR(LEFT(TRIM(INDEX(Forms貼り付け!$A:$AZ,32,J$3)),1),""))</f>
        <v/>
      </c>
      <c r="K33" s="8">
        <f>IF(K$3="","",IFERROR(LEFT(TRIM(INDEX(Forms貼り付け!$A:$AZ,32,K$3)),1),""))</f>
        <v/>
      </c>
      <c r="L33" s="8">
        <f>IF(L$3="","",IFERROR(LEFT(TRIM(INDEX(Forms貼り付け!$A:$AZ,32,L$3)),1),""))</f>
        <v/>
      </c>
      <c r="M33" s="8">
        <f>IF(M$3="","",IFERROR(LEFT(TRIM(INDEX(Forms貼り付け!$A:$AZ,32,M$3)),1),""))</f>
        <v/>
      </c>
      <c r="N33" s="8">
        <f>IF(N$3="","",IFERROR(LEFT(TRIM(INDEX(Forms貼り付け!$A:$AZ,32,N$3)),1),""))</f>
        <v/>
      </c>
      <c r="O33" s="8">
        <f>IF(O$3="","",IFERROR(LEFT(TRIM(INDEX(Forms貼り付け!$A:$AZ,32,O$3)),1),""))</f>
        <v/>
      </c>
      <c r="P33" s="8">
        <f>IF(P$3="","",IFERROR(LEFT(TRIM(INDEX(Forms貼り付け!$A:$AZ,32,P$3)),1),""))</f>
        <v/>
      </c>
      <c r="Q33" s="8">
        <f>IF(Q$3="","",IFERROR(LEFT(TRIM(INDEX(Forms貼り付け!$A:$AZ,32,Q$3)),1),""))</f>
        <v/>
      </c>
      <c r="R33" s="8">
        <f>IF(R$3="","",IFERROR(LEFT(TRIM(INDEX(Forms貼り付け!$A:$AZ,32,R$3)),1),""))</f>
        <v/>
      </c>
      <c r="S33" s="8">
        <f>IF(S$3="","",IFERROR(LEFT(TRIM(INDEX(Forms貼り付け!$A:$AZ,32,S$3)),1),""))</f>
        <v/>
      </c>
      <c r="T33" s="8">
        <f>IF(T$3="","",IFERROR(LEFT(TRIM(INDEX(Forms貼り付け!$A:$AZ,32,T$3)),1),""))</f>
        <v/>
      </c>
      <c r="U33" s="8">
        <f>IF(U$3="","",IFERROR(LEFT(TRIM(INDEX(Forms貼り付け!$A:$AZ,32,U$3)),1),""))</f>
        <v/>
      </c>
      <c r="V33" s="8">
        <f>IF(V$3="","",IFERROR(LEFT(TRIM(INDEX(Forms貼り付け!$A:$AZ,32,V$3)),1),""))</f>
        <v/>
      </c>
      <c r="W33" s="8">
        <f>IF(W$3="","",IFERROR(LEFT(TRIM(INDEX(Forms貼り付け!$A:$AZ,32,W$3)),1),""))</f>
        <v/>
      </c>
      <c r="X33" s="8">
        <f>IF(X$3="","",IFERROR(LEFT(TRIM(INDEX(Forms貼り付け!$A:$AZ,32,X$3)),1),""))</f>
        <v/>
      </c>
      <c r="Y33" s="8">
        <f>IF(Y$3="","",IFERROR(LEFT(TRIM(INDEX(Forms貼り付け!$A:$AZ,32,Y$3)),1),""))</f>
        <v/>
      </c>
      <c r="Z33" s="8">
        <f>IF(Z$3="","",IFERROR(LEFT(TRIM(INDEX(Forms貼り付け!$A:$AZ,32,Z$3)),1),""))</f>
        <v/>
      </c>
      <c r="AA33" s="8">
        <f>IF(AA$3="","",IFERROR(LEFT(TRIM(INDEX(Forms貼り付け!$A:$AZ,32,AA$3)),1),""))</f>
        <v/>
      </c>
      <c r="AB33" s="8">
        <f>IF(AB$3="","",IFERROR(LEFT(TRIM(INDEX(Forms貼り付け!$A:$AZ,32,AB$3)),1),""))</f>
        <v/>
      </c>
      <c r="AC33" s="8">
        <f>IF(AC$3="","",IFERROR(LEFT(TRIM(INDEX(Forms貼り付け!$A:$AZ,32,AC$3)),1),""))</f>
        <v/>
      </c>
      <c r="AD33" s="8">
        <f>IF(AD$3="","",IFERROR(LEFT(TRIM(INDEX(Forms貼り付け!$A:$AZ,32,AD$3)),1),""))</f>
        <v/>
      </c>
      <c r="AE33" s="8">
        <f>IF(AE$3="","",IFERROR(LEFT(TRIM(INDEX(Forms貼り付け!$A:$AZ,32,AE$3)),1),""))</f>
        <v/>
      </c>
      <c r="AF33" s="8">
        <f>IF(AF$3="","",IFERROR(LEFT(TRIM(INDEX(Forms貼り付け!$A:$AZ,32,AF$3)),1),""))</f>
        <v/>
      </c>
      <c r="AG33" s="8">
        <f>IF(AG$3="","",IFERROR(LEFT(TRIM(INDEX(Forms貼り付け!$A:$AZ,32,AG$3)),1),""))</f>
        <v/>
      </c>
      <c r="AH33" s="8">
        <f>IF(AH$3="","",IFERROR(LEFT(TRIM(INDEX(Forms貼り付け!$A:$AZ,32,AH$3)),1),""))</f>
        <v/>
      </c>
      <c r="AI33" s="8">
        <f>IF(AI$3="","",IFERROR(LEFT(TRIM(INDEX(Forms貼り付け!$A:$AZ,32,AI$3)),1),""))</f>
        <v/>
      </c>
      <c r="AJ33" s="8">
        <f>IF(AJ$3="","",IFERROR(LEFT(TRIM(INDEX(Forms貼り付け!$A:$AZ,32,AJ$3)),1),""))</f>
        <v/>
      </c>
      <c r="AK33" s="8">
        <f>IF(AK$3="","",IFERROR(LEFT(TRIM(INDEX(Forms貼り付け!$A:$AZ,32,AK$3)),1),""))</f>
        <v/>
      </c>
      <c r="AL33" s="8">
        <f>IF(AL$3="","",IFERROR(LEFT(TRIM(INDEX(Forms貼り付け!$A:$AZ,32,AL$3)),1),""))</f>
        <v/>
      </c>
      <c r="AM33" s="8">
        <f>IF(AM$3="","",IFERROR(LEFT(TRIM(INDEX(Forms貼り付け!$A:$AZ,32,AM$3)),1),""))</f>
        <v/>
      </c>
      <c r="AN33" s="8">
        <f>IF(AN$3="","",IFERROR(LEFT(TRIM(INDEX(Forms貼り付け!$A:$AZ,32,AN$3)),1),""))</f>
        <v/>
      </c>
      <c r="AO33" s="8">
        <f>IF(AO$3="","",IFERROR(LEFT(TRIM(INDEX(Forms貼り付け!$A:$AZ,32,AO$3)),1),""))</f>
        <v/>
      </c>
      <c r="AP33" s="8">
        <f>IF(AP$3="","",IFERROR(LEFT(TRIM(INDEX(Forms貼り付け!$A:$AZ,32,AP$3)),1),""))</f>
        <v/>
      </c>
      <c r="AQ33" s="8">
        <f>IF(AQ$3="","",IFERROR(LEFT(TRIM(INDEX(Forms貼り付け!$A:$AZ,32,AQ$3)),1),""))</f>
        <v/>
      </c>
      <c r="AR33" s="8">
        <f>IF(AR$3="","",IFERROR(LEFT(TRIM(INDEX(Forms貼り付け!$A:$AZ,32,AR$3)),1),""))</f>
        <v/>
      </c>
      <c r="AS33" s="8">
        <f>IF(AS$3="","",IFERROR(LEFT(TRIM(INDEX(Forms貼り付け!$A:$AZ,32,AS$3)),1),""))</f>
        <v/>
      </c>
      <c r="AT33" s="8">
        <f>IF(AT$3="","",IFERROR(LEFT(TRIM(INDEX(Forms貼り付け!$A:$AZ,32,AT$3)),1),""))</f>
        <v/>
      </c>
      <c r="AU33" s="8">
        <f>IF(AU$3="","",IFERROR(LEFT(TRIM(INDEX(Forms貼り付け!$A:$AZ,32,AU$3)),1),""))</f>
        <v/>
      </c>
      <c r="AV33" s="8">
        <f>IF(AV$3="","",IFERROR(LEFT(TRIM(INDEX(Forms貼り付け!$A:$AZ,32,AV$3)),1),""))</f>
        <v/>
      </c>
      <c r="AW33" s="8">
        <f>IF(AW$3="","",IFERROR(LEFT(TRIM(INDEX(Forms貼り付け!$A:$AZ,32,AW$3)),1),""))</f>
        <v/>
      </c>
      <c r="AX33" s="8">
        <f>IF(AX$3="","",IFERROR(LEFT(TRIM(INDEX(Forms貼り付け!$A:$AZ,32,AX$3)),1),""))</f>
        <v/>
      </c>
      <c r="AY33" s="8">
        <f>IF(AY$3="","",IFERROR(LEFT(TRIM(INDEX(Forms貼り付け!$A:$AZ,32,AY$3)),1),""))</f>
        <v/>
      </c>
      <c r="AZ33" s="8">
        <f>IF(AZ$3="","",IFERROR(LEFT(TRIM(INDEX(Forms貼り付け!$A:$AZ,32,AZ$3)),1),""))</f>
        <v/>
      </c>
      <c r="BA33" s="8">
        <f>IF(BA$3="","",IFERROR(LEFT(TRIM(INDEX(Forms貼り付け!$A:$AZ,32,BA$3)),1),""))</f>
        <v/>
      </c>
      <c r="BB33" s="8">
        <f>IF(BB$3="","",IFERROR(LEFT(TRIM(INDEX(Forms貼り付け!$A:$AZ,32,BB$3)),1),""))</f>
        <v/>
      </c>
      <c r="BC33" s="8">
        <f>IF(BC$3="","",IFERROR(LEFT(TRIM(INDEX(Forms貼り付け!$A:$AZ,32,BC$3)),1),""))</f>
        <v/>
      </c>
    </row>
    <row r="34">
      <c r="A34" s="8" t="inlineStr">
        <is>
          <t>U030</t>
        </is>
      </c>
      <c r="B34" s="9">
        <f>IF($B$3="","",INDEX(Forms貼り付け!$A:$AZ,33,$B$3))</f>
        <v/>
      </c>
      <c r="C34" s="9">
        <f>IF($C$3="","",INDEX(Forms貼り付け!$A:$AZ,33,$C$3))</f>
        <v/>
      </c>
      <c r="D34" s="8">
        <f>IF($D$3="","",INDEX(Forms貼り付け!$A:$AZ,33,$D$3))</f>
        <v/>
      </c>
      <c r="E34" s="8">
        <f>IF($E$3="","",INDEX(Forms貼り付け!$A:$AZ,33,$E$3))</f>
        <v/>
      </c>
      <c r="F34" s="8">
        <f>IF(F$3="","",IFERROR(LEFT(TRIM(INDEX(Forms貼り付け!$A:$AZ,33,F$3)),1),""))</f>
        <v/>
      </c>
      <c r="G34" s="8">
        <f>IF(G$3="","",IFERROR(LEFT(TRIM(INDEX(Forms貼り付け!$A:$AZ,33,G$3)),1),""))</f>
        <v/>
      </c>
      <c r="H34" s="8">
        <f>IF(H$3="","",IFERROR(LEFT(TRIM(INDEX(Forms貼り付け!$A:$AZ,33,H$3)),1),""))</f>
        <v/>
      </c>
      <c r="I34" s="8">
        <f>IF(I$3="","",IFERROR(LEFT(TRIM(INDEX(Forms貼り付け!$A:$AZ,33,I$3)),1),""))</f>
        <v/>
      </c>
      <c r="J34" s="8">
        <f>IF(J$3="","",IFERROR(LEFT(TRIM(INDEX(Forms貼り付け!$A:$AZ,33,J$3)),1),""))</f>
        <v/>
      </c>
      <c r="K34" s="8">
        <f>IF(K$3="","",IFERROR(LEFT(TRIM(INDEX(Forms貼り付け!$A:$AZ,33,K$3)),1),""))</f>
        <v/>
      </c>
      <c r="L34" s="8">
        <f>IF(L$3="","",IFERROR(LEFT(TRIM(INDEX(Forms貼り付け!$A:$AZ,33,L$3)),1),""))</f>
        <v/>
      </c>
      <c r="M34" s="8">
        <f>IF(M$3="","",IFERROR(LEFT(TRIM(INDEX(Forms貼り付け!$A:$AZ,33,M$3)),1),""))</f>
        <v/>
      </c>
      <c r="N34" s="8">
        <f>IF(N$3="","",IFERROR(LEFT(TRIM(INDEX(Forms貼り付け!$A:$AZ,33,N$3)),1),""))</f>
        <v/>
      </c>
      <c r="O34" s="8">
        <f>IF(O$3="","",IFERROR(LEFT(TRIM(INDEX(Forms貼り付け!$A:$AZ,33,O$3)),1),""))</f>
        <v/>
      </c>
      <c r="P34" s="8">
        <f>IF(P$3="","",IFERROR(LEFT(TRIM(INDEX(Forms貼り付け!$A:$AZ,33,P$3)),1),""))</f>
        <v/>
      </c>
      <c r="Q34" s="8">
        <f>IF(Q$3="","",IFERROR(LEFT(TRIM(INDEX(Forms貼り付け!$A:$AZ,33,Q$3)),1),""))</f>
        <v/>
      </c>
      <c r="R34" s="8">
        <f>IF(R$3="","",IFERROR(LEFT(TRIM(INDEX(Forms貼り付け!$A:$AZ,33,R$3)),1),""))</f>
        <v/>
      </c>
      <c r="S34" s="8">
        <f>IF(S$3="","",IFERROR(LEFT(TRIM(INDEX(Forms貼り付け!$A:$AZ,33,S$3)),1),""))</f>
        <v/>
      </c>
      <c r="T34" s="8">
        <f>IF(T$3="","",IFERROR(LEFT(TRIM(INDEX(Forms貼り付け!$A:$AZ,33,T$3)),1),""))</f>
        <v/>
      </c>
      <c r="U34" s="8">
        <f>IF(U$3="","",IFERROR(LEFT(TRIM(INDEX(Forms貼り付け!$A:$AZ,33,U$3)),1),""))</f>
        <v/>
      </c>
      <c r="V34" s="8">
        <f>IF(V$3="","",IFERROR(LEFT(TRIM(INDEX(Forms貼り付け!$A:$AZ,33,V$3)),1),""))</f>
        <v/>
      </c>
      <c r="W34" s="8">
        <f>IF(W$3="","",IFERROR(LEFT(TRIM(INDEX(Forms貼り付け!$A:$AZ,33,W$3)),1),""))</f>
        <v/>
      </c>
      <c r="X34" s="8">
        <f>IF(X$3="","",IFERROR(LEFT(TRIM(INDEX(Forms貼り付け!$A:$AZ,33,X$3)),1),""))</f>
        <v/>
      </c>
      <c r="Y34" s="8">
        <f>IF(Y$3="","",IFERROR(LEFT(TRIM(INDEX(Forms貼り付け!$A:$AZ,33,Y$3)),1),""))</f>
        <v/>
      </c>
      <c r="Z34" s="8">
        <f>IF(Z$3="","",IFERROR(LEFT(TRIM(INDEX(Forms貼り付け!$A:$AZ,33,Z$3)),1),""))</f>
        <v/>
      </c>
      <c r="AA34" s="8">
        <f>IF(AA$3="","",IFERROR(LEFT(TRIM(INDEX(Forms貼り付け!$A:$AZ,33,AA$3)),1),""))</f>
        <v/>
      </c>
      <c r="AB34" s="8">
        <f>IF(AB$3="","",IFERROR(LEFT(TRIM(INDEX(Forms貼り付け!$A:$AZ,33,AB$3)),1),""))</f>
        <v/>
      </c>
      <c r="AC34" s="8">
        <f>IF(AC$3="","",IFERROR(LEFT(TRIM(INDEX(Forms貼り付け!$A:$AZ,33,AC$3)),1),""))</f>
        <v/>
      </c>
      <c r="AD34" s="8">
        <f>IF(AD$3="","",IFERROR(LEFT(TRIM(INDEX(Forms貼り付け!$A:$AZ,33,AD$3)),1),""))</f>
        <v/>
      </c>
      <c r="AE34" s="8">
        <f>IF(AE$3="","",IFERROR(LEFT(TRIM(INDEX(Forms貼り付け!$A:$AZ,33,AE$3)),1),""))</f>
        <v/>
      </c>
      <c r="AF34" s="8">
        <f>IF(AF$3="","",IFERROR(LEFT(TRIM(INDEX(Forms貼り付け!$A:$AZ,33,AF$3)),1),""))</f>
        <v/>
      </c>
      <c r="AG34" s="8">
        <f>IF(AG$3="","",IFERROR(LEFT(TRIM(INDEX(Forms貼り付け!$A:$AZ,33,AG$3)),1),""))</f>
        <v/>
      </c>
      <c r="AH34" s="8">
        <f>IF(AH$3="","",IFERROR(LEFT(TRIM(INDEX(Forms貼り付け!$A:$AZ,33,AH$3)),1),""))</f>
        <v/>
      </c>
      <c r="AI34" s="8">
        <f>IF(AI$3="","",IFERROR(LEFT(TRIM(INDEX(Forms貼り付け!$A:$AZ,33,AI$3)),1),""))</f>
        <v/>
      </c>
      <c r="AJ34" s="8">
        <f>IF(AJ$3="","",IFERROR(LEFT(TRIM(INDEX(Forms貼り付け!$A:$AZ,33,AJ$3)),1),""))</f>
        <v/>
      </c>
      <c r="AK34" s="8">
        <f>IF(AK$3="","",IFERROR(LEFT(TRIM(INDEX(Forms貼り付け!$A:$AZ,33,AK$3)),1),""))</f>
        <v/>
      </c>
      <c r="AL34" s="8">
        <f>IF(AL$3="","",IFERROR(LEFT(TRIM(INDEX(Forms貼り付け!$A:$AZ,33,AL$3)),1),""))</f>
        <v/>
      </c>
      <c r="AM34" s="8">
        <f>IF(AM$3="","",IFERROR(LEFT(TRIM(INDEX(Forms貼り付け!$A:$AZ,33,AM$3)),1),""))</f>
        <v/>
      </c>
      <c r="AN34" s="8">
        <f>IF(AN$3="","",IFERROR(LEFT(TRIM(INDEX(Forms貼り付け!$A:$AZ,33,AN$3)),1),""))</f>
        <v/>
      </c>
      <c r="AO34" s="8">
        <f>IF(AO$3="","",IFERROR(LEFT(TRIM(INDEX(Forms貼り付け!$A:$AZ,33,AO$3)),1),""))</f>
        <v/>
      </c>
      <c r="AP34" s="8">
        <f>IF(AP$3="","",IFERROR(LEFT(TRIM(INDEX(Forms貼り付け!$A:$AZ,33,AP$3)),1),""))</f>
        <v/>
      </c>
      <c r="AQ34" s="8">
        <f>IF(AQ$3="","",IFERROR(LEFT(TRIM(INDEX(Forms貼り付け!$A:$AZ,33,AQ$3)),1),""))</f>
        <v/>
      </c>
      <c r="AR34" s="8">
        <f>IF(AR$3="","",IFERROR(LEFT(TRIM(INDEX(Forms貼り付け!$A:$AZ,33,AR$3)),1),""))</f>
        <v/>
      </c>
      <c r="AS34" s="8">
        <f>IF(AS$3="","",IFERROR(LEFT(TRIM(INDEX(Forms貼り付け!$A:$AZ,33,AS$3)),1),""))</f>
        <v/>
      </c>
      <c r="AT34" s="8">
        <f>IF(AT$3="","",IFERROR(LEFT(TRIM(INDEX(Forms貼り付け!$A:$AZ,33,AT$3)),1),""))</f>
        <v/>
      </c>
      <c r="AU34" s="8">
        <f>IF(AU$3="","",IFERROR(LEFT(TRIM(INDEX(Forms貼り付け!$A:$AZ,33,AU$3)),1),""))</f>
        <v/>
      </c>
      <c r="AV34" s="8">
        <f>IF(AV$3="","",IFERROR(LEFT(TRIM(INDEX(Forms貼り付け!$A:$AZ,33,AV$3)),1),""))</f>
        <v/>
      </c>
      <c r="AW34" s="8">
        <f>IF(AW$3="","",IFERROR(LEFT(TRIM(INDEX(Forms貼り付け!$A:$AZ,33,AW$3)),1),""))</f>
        <v/>
      </c>
      <c r="AX34" s="8">
        <f>IF(AX$3="","",IFERROR(LEFT(TRIM(INDEX(Forms貼り付け!$A:$AZ,33,AX$3)),1),""))</f>
        <v/>
      </c>
      <c r="AY34" s="8">
        <f>IF(AY$3="","",IFERROR(LEFT(TRIM(INDEX(Forms貼り付け!$A:$AZ,33,AY$3)),1),""))</f>
        <v/>
      </c>
      <c r="AZ34" s="8">
        <f>IF(AZ$3="","",IFERROR(LEFT(TRIM(INDEX(Forms貼り付け!$A:$AZ,33,AZ$3)),1),""))</f>
        <v/>
      </c>
      <c r="BA34" s="8">
        <f>IF(BA$3="","",IFERROR(LEFT(TRIM(INDEX(Forms貼り付け!$A:$AZ,33,BA$3)),1),""))</f>
        <v/>
      </c>
      <c r="BB34" s="8">
        <f>IF(BB$3="","",IFERROR(LEFT(TRIM(INDEX(Forms貼り付け!$A:$AZ,33,BB$3)),1),""))</f>
        <v/>
      </c>
      <c r="BC34" s="8">
        <f>IF(BC$3="","",IFERROR(LEFT(TRIM(INDEX(Forms貼り付け!$A:$AZ,33,BC$3)),1),""))</f>
        <v/>
      </c>
    </row>
    <row r="35">
      <c r="A35" s="8" t="inlineStr">
        <is>
          <t>U031</t>
        </is>
      </c>
      <c r="B35" s="9">
        <f>IF($B$3="","",INDEX(Forms貼り付け!$A:$AZ,34,$B$3))</f>
        <v/>
      </c>
      <c r="C35" s="9">
        <f>IF($C$3="","",INDEX(Forms貼り付け!$A:$AZ,34,$C$3))</f>
        <v/>
      </c>
      <c r="D35" s="8">
        <f>IF($D$3="","",INDEX(Forms貼り付け!$A:$AZ,34,$D$3))</f>
        <v/>
      </c>
      <c r="E35" s="8">
        <f>IF($E$3="","",INDEX(Forms貼り付け!$A:$AZ,34,$E$3))</f>
        <v/>
      </c>
      <c r="F35" s="8">
        <f>IF(F$3="","",IFERROR(LEFT(TRIM(INDEX(Forms貼り付け!$A:$AZ,34,F$3)),1),""))</f>
        <v/>
      </c>
      <c r="G35" s="8">
        <f>IF(G$3="","",IFERROR(LEFT(TRIM(INDEX(Forms貼り付け!$A:$AZ,34,G$3)),1),""))</f>
        <v/>
      </c>
      <c r="H35" s="8">
        <f>IF(H$3="","",IFERROR(LEFT(TRIM(INDEX(Forms貼り付け!$A:$AZ,34,H$3)),1),""))</f>
        <v/>
      </c>
      <c r="I35" s="8">
        <f>IF(I$3="","",IFERROR(LEFT(TRIM(INDEX(Forms貼り付け!$A:$AZ,34,I$3)),1),""))</f>
        <v/>
      </c>
      <c r="J35" s="8">
        <f>IF(J$3="","",IFERROR(LEFT(TRIM(INDEX(Forms貼り付け!$A:$AZ,34,J$3)),1),""))</f>
        <v/>
      </c>
      <c r="K35" s="8">
        <f>IF(K$3="","",IFERROR(LEFT(TRIM(INDEX(Forms貼り付け!$A:$AZ,34,K$3)),1),""))</f>
        <v/>
      </c>
      <c r="L35" s="8">
        <f>IF(L$3="","",IFERROR(LEFT(TRIM(INDEX(Forms貼り付け!$A:$AZ,34,L$3)),1),""))</f>
        <v/>
      </c>
      <c r="M35" s="8">
        <f>IF(M$3="","",IFERROR(LEFT(TRIM(INDEX(Forms貼り付け!$A:$AZ,34,M$3)),1),""))</f>
        <v/>
      </c>
      <c r="N35" s="8">
        <f>IF(N$3="","",IFERROR(LEFT(TRIM(INDEX(Forms貼り付け!$A:$AZ,34,N$3)),1),""))</f>
        <v/>
      </c>
      <c r="O35" s="8">
        <f>IF(O$3="","",IFERROR(LEFT(TRIM(INDEX(Forms貼り付け!$A:$AZ,34,O$3)),1),""))</f>
        <v/>
      </c>
      <c r="P35" s="8">
        <f>IF(P$3="","",IFERROR(LEFT(TRIM(INDEX(Forms貼り付け!$A:$AZ,34,P$3)),1),""))</f>
        <v/>
      </c>
      <c r="Q35" s="8">
        <f>IF(Q$3="","",IFERROR(LEFT(TRIM(INDEX(Forms貼り付け!$A:$AZ,34,Q$3)),1),""))</f>
        <v/>
      </c>
      <c r="R35" s="8">
        <f>IF(R$3="","",IFERROR(LEFT(TRIM(INDEX(Forms貼り付け!$A:$AZ,34,R$3)),1),""))</f>
        <v/>
      </c>
      <c r="S35" s="8">
        <f>IF(S$3="","",IFERROR(LEFT(TRIM(INDEX(Forms貼り付け!$A:$AZ,34,S$3)),1),""))</f>
        <v/>
      </c>
      <c r="T35" s="8">
        <f>IF(T$3="","",IFERROR(LEFT(TRIM(INDEX(Forms貼り付け!$A:$AZ,34,T$3)),1),""))</f>
        <v/>
      </c>
      <c r="U35" s="8">
        <f>IF(U$3="","",IFERROR(LEFT(TRIM(INDEX(Forms貼り付け!$A:$AZ,34,U$3)),1),""))</f>
        <v/>
      </c>
      <c r="V35" s="8">
        <f>IF(V$3="","",IFERROR(LEFT(TRIM(INDEX(Forms貼り付け!$A:$AZ,34,V$3)),1),""))</f>
        <v/>
      </c>
      <c r="W35" s="8">
        <f>IF(W$3="","",IFERROR(LEFT(TRIM(INDEX(Forms貼り付け!$A:$AZ,34,W$3)),1),""))</f>
        <v/>
      </c>
      <c r="X35" s="8">
        <f>IF(X$3="","",IFERROR(LEFT(TRIM(INDEX(Forms貼り付け!$A:$AZ,34,X$3)),1),""))</f>
        <v/>
      </c>
      <c r="Y35" s="8">
        <f>IF(Y$3="","",IFERROR(LEFT(TRIM(INDEX(Forms貼り付け!$A:$AZ,34,Y$3)),1),""))</f>
        <v/>
      </c>
      <c r="Z35" s="8">
        <f>IF(Z$3="","",IFERROR(LEFT(TRIM(INDEX(Forms貼り付け!$A:$AZ,34,Z$3)),1),""))</f>
        <v/>
      </c>
      <c r="AA35" s="8">
        <f>IF(AA$3="","",IFERROR(LEFT(TRIM(INDEX(Forms貼り付け!$A:$AZ,34,AA$3)),1),""))</f>
        <v/>
      </c>
      <c r="AB35" s="8">
        <f>IF(AB$3="","",IFERROR(LEFT(TRIM(INDEX(Forms貼り付け!$A:$AZ,34,AB$3)),1),""))</f>
        <v/>
      </c>
      <c r="AC35" s="8">
        <f>IF(AC$3="","",IFERROR(LEFT(TRIM(INDEX(Forms貼り付け!$A:$AZ,34,AC$3)),1),""))</f>
        <v/>
      </c>
      <c r="AD35" s="8">
        <f>IF(AD$3="","",IFERROR(LEFT(TRIM(INDEX(Forms貼り付け!$A:$AZ,34,AD$3)),1),""))</f>
        <v/>
      </c>
      <c r="AE35" s="8">
        <f>IF(AE$3="","",IFERROR(LEFT(TRIM(INDEX(Forms貼り付け!$A:$AZ,34,AE$3)),1),""))</f>
        <v/>
      </c>
      <c r="AF35" s="8">
        <f>IF(AF$3="","",IFERROR(LEFT(TRIM(INDEX(Forms貼り付け!$A:$AZ,34,AF$3)),1),""))</f>
        <v/>
      </c>
      <c r="AG35" s="8">
        <f>IF(AG$3="","",IFERROR(LEFT(TRIM(INDEX(Forms貼り付け!$A:$AZ,34,AG$3)),1),""))</f>
        <v/>
      </c>
      <c r="AH35" s="8">
        <f>IF(AH$3="","",IFERROR(LEFT(TRIM(INDEX(Forms貼り付け!$A:$AZ,34,AH$3)),1),""))</f>
        <v/>
      </c>
      <c r="AI35" s="8">
        <f>IF(AI$3="","",IFERROR(LEFT(TRIM(INDEX(Forms貼り付け!$A:$AZ,34,AI$3)),1),""))</f>
        <v/>
      </c>
      <c r="AJ35" s="8">
        <f>IF(AJ$3="","",IFERROR(LEFT(TRIM(INDEX(Forms貼り付け!$A:$AZ,34,AJ$3)),1),""))</f>
        <v/>
      </c>
      <c r="AK35" s="8">
        <f>IF(AK$3="","",IFERROR(LEFT(TRIM(INDEX(Forms貼り付け!$A:$AZ,34,AK$3)),1),""))</f>
        <v/>
      </c>
      <c r="AL35" s="8">
        <f>IF(AL$3="","",IFERROR(LEFT(TRIM(INDEX(Forms貼り付け!$A:$AZ,34,AL$3)),1),""))</f>
        <v/>
      </c>
      <c r="AM35" s="8">
        <f>IF(AM$3="","",IFERROR(LEFT(TRIM(INDEX(Forms貼り付け!$A:$AZ,34,AM$3)),1),""))</f>
        <v/>
      </c>
      <c r="AN35" s="8">
        <f>IF(AN$3="","",IFERROR(LEFT(TRIM(INDEX(Forms貼り付け!$A:$AZ,34,AN$3)),1),""))</f>
        <v/>
      </c>
      <c r="AO35" s="8">
        <f>IF(AO$3="","",IFERROR(LEFT(TRIM(INDEX(Forms貼り付け!$A:$AZ,34,AO$3)),1),""))</f>
        <v/>
      </c>
      <c r="AP35" s="8">
        <f>IF(AP$3="","",IFERROR(LEFT(TRIM(INDEX(Forms貼り付け!$A:$AZ,34,AP$3)),1),""))</f>
        <v/>
      </c>
      <c r="AQ35" s="8">
        <f>IF(AQ$3="","",IFERROR(LEFT(TRIM(INDEX(Forms貼り付け!$A:$AZ,34,AQ$3)),1),""))</f>
        <v/>
      </c>
      <c r="AR35" s="8">
        <f>IF(AR$3="","",IFERROR(LEFT(TRIM(INDEX(Forms貼り付け!$A:$AZ,34,AR$3)),1),""))</f>
        <v/>
      </c>
      <c r="AS35" s="8">
        <f>IF(AS$3="","",IFERROR(LEFT(TRIM(INDEX(Forms貼り付け!$A:$AZ,34,AS$3)),1),""))</f>
        <v/>
      </c>
      <c r="AT35" s="8">
        <f>IF(AT$3="","",IFERROR(LEFT(TRIM(INDEX(Forms貼り付け!$A:$AZ,34,AT$3)),1),""))</f>
        <v/>
      </c>
      <c r="AU35" s="8">
        <f>IF(AU$3="","",IFERROR(LEFT(TRIM(INDEX(Forms貼り付け!$A:$AZ,34,AU$3)),1),""))</f>
        <v/>
      </c>
      <c r="AV35" s="8">
        <f>IF(AV$3="","",IFERROR(LEFT(TRIM(INDEX(Forms貼り付け!$A:$AZ,34,AV$3)),1),""))</f>
        <v/>
      </c>
      <c r="AW35" s="8">
        <f>IF(AW$3="","",IFERROR(LEFT(TRIM(INDEX(Forms貼り付け!$A:$AZ,34,AW$3)),1),""))</f>
        <v/>
      </c>
      <c r="AX35" s="8">
        <f>IF(AX$3="","",IFERROR(LEFT(TRIM(INDEX(Forms貼り付け!$A:$AZ,34,AX$3)),1),""))</f>
        <v/>
      </c>
      <c r="AY35" s="8">
        <f>IF(AY$3="","",IFERROR(LEFT(TRIM(INDEX(Forms貼り付け!$A:$AZ,34,AY$3)),1),""))</f>
        <v/>
      </c>
      <c r="AZ35" s="8">
        <f>IF(AZ$3="","",IFERROR(LEFT(TRIM(INDEX(Forms貼り付け!$A:$AZ,34,AZ$3)),1),""))</f>
        <v/>
      </c>
      <c r="BA35" s="8">
        <f>IF(BA$3="","",IFERROR(LEFT(TRIM(INDEX(Forms貼り付け!$A:$AZ,34,BA$3)),1),""))</f>
        <v/>
      </c>
      <c r="BB35" s="8">
        <f>IF(BB$3="","",IFERROR(LEFT(TRIM(INDEX(Forms貼り付け!$A:$AZ,34,BB$3)),1),""))</f>
        <v/>
      </c>
      <c r="BC35" s="8">
        <f>IF(BC$3="","",IFERROR(LEFT(TRIM(INDEX(Forms貼り付け!$A:$AZ,34,BC$3)),1),""))</f>
        <v/>
      </c>
    </row>
    <row r="36">
      <c r="A36" s="8" t="inlineStr">
        <is>
          <t>U032</t>
        </is>
      </c>
      <c r="B36" s="9">
        <f>IF($B$3="","",INDEX(Forms貼り付け!$A:$AZ,35,$B$3))</f>
        <v/>
      </c>
      <c r="C36" s="9">
        <f>IF($C$3="","",INDEX(Forms貼り付け!$A:$AZ,35,$C$3))</f>
        <v/>
      </c>
      <c r="D36" s="8">
        <f>IF($D$3="","",INDEX(Forms貼り付け!$A:$AZ,35,$D$3))</f>
        <v/>
      </c>
      <c r="E36" s="8">
        <f>IF($E$3="","",INDEX(Forms貼り付け!$A:$AZ,35,$E$3))</f>
        <v/>
      </c>
      <c r="F36" s="8">
        <f>IF(F$3="","",IFERROR(LEFT(TRIM(INDEX(Forms貼り付け!$A:$AZ,35,F$3)),1),""))</f>
        <v/>
      </c>
      <c r="G36" s="8">
        <f>IF(G$3="","",IFERROR(LEFT(TRIM(INDEX(Forms貼り付け!$A:$AZ,35,G$3)),1),""))</f>
        <v/>
      </c>
      <c r="H36" s="8">
        <f>IF(H$3="","",IFERROR(LEFT(TRIM(INDEX(Forms貼り付け!$A:$AZ,35,H$3)),1),""))</f>
        <v/>
      </c>
      <c r="I36" s="8">
        <f>IF(I$3="","",IFERROR(LEFT(TRIM(INDEX(Forms貼り付け!$A:$AZ,35,I$3)),1),""))</f>
        <v/>
      </c>
      <c r="J36" s="8">
        <f>IF(J$3="","",IFERROR(LEFT(TRIM(INDEX(Forms貼り付け!$A:$AZ,35,J$3)),1),""))</f>
        <v/>
      </c>
      <c r="K36" s="8">
        <f>IF(K$3="","",IFERROR(LEFT(TRIM(INDEX(Forms貼り付け!$A:$AZ,35,K$3)),1),""))</f>
        <v/>
      </c>
      <c r="L36" s="8">
        <f>IF(L$3="","",IFERROR(LEFT(TRIM(INDEX(Forms貼り付け!$A:$AZ,35,L$3)),1),""))</f>
        <v/>
      </c>
      <c r="M36" s="8">
        <f>IF(M$3="","",IFERROR(LEFT(TRIM(INDEX(Forms貼り付け!$A:$AZ,35,M$3)),1),""))</f>
        <v/>
      </c>
      <c r="N36" s="8">
        <f>IF(N$3="","",IFERROR(LEFT(TRIM(INDEX(Forms貼り付け!$A:$AZ,35,N$3)),1),""))</f>
        <v/>
      </c>
      <c r="O36" s="8">
        <f>IF(O$3="","",IFERROR(LEFT(TRIM(INDEX(Forms貼り付け!$A:$AZ,35,O$3)),1),""))</f>
        <v/>
      </c>
      <c r="P36" s="8">
        <f>IF(P$3="","",IFERROR(LEFT(TRIM(INDEX(Forms貼り付け!$A:$AZ,35,P$3)),1),""))</f>
        <v/>
      </c>
      <c r="Q36" s="8">
        <f>IF(Q$3="","",IFERROR(LEFT(TRIM(INDEX(Forms貼り付け!$A:$AZ,35,Q$3)),1),""))</f>
        <v/>
      </c>
      <c r="R36" s="8">
        <f>IF(R$3="","",IFERROR(LEFT(TRIM(INDEX(Forms貼り付け!$A:$AZ,35,R$3)),1),""))</f>
        <v/>
      </c>
      <c r="S36" s="8">
        <f>IF(S$3="","",IFERROR(LEFT(TRIM(INDEX(Forms貼り付け!$A:$AZ,35,S$3)),1),""))</f>
        <v/>
      </c>
      <c r="T36" s="8">
        <f>IF(T$3="","",IFERROR(LEFT(TRIM(INDEX(Forms貼り付け!$A:$AZ,35,T$3)),1),""))</f>
        <v/>
      </c>
      <c r="U36" s="8">
        <f>IF(U$3="","",IFERROR(LEFT(TRIM(INDEX(Forms貼り付け!$A:$AZ,35,U$3)),1),""))</f>
        <v/>
      </c>
      <c r="V36" s="8">
        <f>IF(V$3="","",IFERROR(LEFT(TRIM(INDEX(Forms貼り付け!$A:$AZ,35,V$3)),1),""))</f>
        <v/>
      </c>
      <c r="W36" s="8">
        <f>IF(W$3="","",IFERROR(LEFT(TRIM(INDEX(Forms貼り付け!$A:$AZ,35,W$3)),1),""))</f>
        <v/>
      </c>
      <c r="X36" s="8">
        <f>IF(X$3="","",IFERROR(LEFT(TRIM(INDEX(Forms貼り付け!$A:$AZ,35,X$3)),1),""))</f>
        <v/>
      </c>
      <c r="Y36" s="8">
        <f>IF(Y$3="","",IFERROR(LEFT(TRIM(INDEX(Forms貼り付け!$A:$AZ,35,Y$3)),1),""))</f>
        <v/>
      </c>
      <c r="Z36" s="8">
        <f>IF(Z$3="","",IFERROR(LEFT(TRIM(INDEX(Forms貼り付け!$A:$AZ,35,Z$3)),1),""))</f>
        <v/>
      </c>
      <c r="AA36" s="8">
        <f>IF(AA$3="","",IFERROR(LEFT(TRIM(INDEX(Forms貼り付け!$A:$AZ,35,AA$3)),1),""))</f>
        <v/>
      </c>
      <c r="AB36" s="8">
        <f>IF(AB$3="","",IFERROR(LEFT(TRIM(INDEX(Forms貼り付け!$A:$AZ,35,AB$3)),1),""))</f>
        <v/>
      </c>
      <c r="AC36" s="8">
        <f>IF(AC$3="","",IFERROR(LEFT(TRIM(INDEX(Forms貼り付け!$A:$AZ,35,AC$3)),1),""))</f>
        <v/>
      </c>
      <c r="AD36" s="8">
        <f>IF(AD$3="","",IFERROR(LEFT(TRIM(INDEX(Forms貼り付け!$A:$AZ,35,AD$3)),1),""))</f>
        <v/>
      </c>
      <c r="AE36" s="8">
        <f>IF(AE$3="","",IFERROR(LEFT(TRIM(INDEX(Forms貼り付け!$A:$AZ,35,AE$3)),1),""))</f>
        <v/>
      </c>
      <c r="AF36" s="8">
        <f>IF(AF$3="","",IFERROR(LEFT(TRIM(INDEX(Forms貼り付け!$A:$AZ,35,AF$3)),1),""))</f>
        <v/>
      </c>
      <c r="AG36" s="8">
        <f>IF(AG$3="","",IFERROR(LEFT(TRIM(INDEX(Forms貼り付け!$A:$AZ,35,AG$3)),1),""))</f>
        <v/>
      </c>
      <c r="AH36" s="8">
        <f>IF(AH$3="","",IFERROR(LEFT(TRIM(INDEX(Forms貼り付け!$A:$AZ,35,AH$3)),1),""))</f>
        <v/>
      </c>
      <c r="AI36" s="8">
        <f>IF(AI$3="","",IFERROR(LEFT(TRIM(INDEX(Forms貼り付け!$A:$AZ,35,AI$3)),1),""))</f>
        <v/>
      </c>
      <c r="AJ36" s="8">
        <f>IF(AJ$3="","",IFERROR(LEFT(TRIM(INDEX(Forms貼り付け!$A:$AZ,35,AJ$3)),1),""))</f>
        <v/>
      </c>
      <c r="AK36" s="8">
        <f>IF(AK$3="","",IFERROR(LEFT(TRIM(INDEX(Forms貼り付け!$A:$AZ,35,AK$3)),1),""))</f>
        <v/>
      </c>
      <c r="AL36" s="8">
        <f>IF(AL$3="","",IFERROR(LEFT(TRIM(INDEX(Forms貼り付け!$A:$AZ,35,AL$3)),1),""))</f>
        <v/>
      </c>
      <c r="AM36" s="8">
        <f>IF(AM$3="","",IFERROR(LEFT(TRIM(INDEX(Forms貼り付け!$A:$AZ,35,AM$3)),1),""))</f>
        <v/>
      </c>
      <c r="AN36" s="8">
        <f>IF(AN$3="","",IFERROR(LEFT(TRIM(INDEX(Forms貼り付け!$A:$AZ,35,AN$3)),1),""))</f>
        <v/>
      </c>
      <c r="AO36" s="8">
        <f>IF(AO$3="","",IFERROR(LEFT(TRIM(INDEX(Forms貼り付け!$A:$AZ,35,AO$3)),1),""))</f>
        <v/>
      </c>
      <c r="AP36" s="8">
        <f>IF(AP$3="","",IFERROR(LEFT(TRIM(INDEX(Forms貼り付け!$A:$AZ,35,AP$3)),1),""))</f>
        <v/>
      </c>
      <c r="AQ36" s="8">
        <f>IF(AQ$3="","",IFERROR(LEFT(TRIM(INDEX(Forms貼り付け!$A:$AZ,35,AQ$3)),1),""))</f>
        <v/>
      </c>
      <c r="AR36" s="8">
        <f>IF(AR$3="","",IFERROR(LEFT(TRIM(INDEX(Forms貼り付け!$A:$AZ,35,AR$3)),1),""))</f>
        <v/>
      </c>
      <c r="AS36" s="8">
        <f>IF(AS$3="","",IFERROR(LEFT(TRIM(INDEX(Forms貼り付け!$A:$AZ,35,AS$3)),1),""))</f>
        <v/>
      </c>
      <c r="AT36" s="8">
        <f>IF(AT$3="","",IFERROR(LEFT(TRIM(INDEX(Forms貼り付け!$A:$AZ,35,AT$3)),1),""))</f>
        <v/>
      </c>
      <c r="AU36" s="8">
        <f>IF(AU$3="","",IFERROR(LEFT(TRIM(INDEX(Forms貼り付け!$A:$AZ,35,AU$3)),1),""))</f>
        <v/>
      </c>
      <c r="AV36" s="8">
        <f>IF(AV$3="","",IFERROR(LEFT(TRIM(INDEX(Forms貼り付け!$A:$AZ,35,AV$3)),1),""))</f>
        <v/>
      </c>
      <c r="AW36" s="8">
        <f>IF(AW$3="","",IFERROR(LEFT(TRIM(INDEX(Forms貼り付け!$A:$AZ,35,AW$3)),1),""))</f>
        <v/>
      </c>
      <c r="AX36" s="8">
        <f>IF(AX$3="","",IFERROR(LEFT(TRIM(INDEX(Forms貼り付け!$A:$AZ,35,AX$3)),1),""))</f>
        <v/>
      </c>
      <c r="AY36" s="8">
        <f>IF(AY$3="","",IFERROR(LEFT(TRIM(INDEX(Forms貼り付け!$A:$AZ,35,AY$3)),1),""))</f>
        <v/>
      </c>
      <c r="AZ36" s="8">
        <f>IF(AZ$3="","",IFERROR(LEFT(TRIM(INDEX(Forms貼り付け!$A:$AZ,35,AZ$3)),1),""))</f>
        <v/>
      </c>
      <c r="BA36" s="8">
        <f>IF(BA$3="","",IFERROR(LEFT(TRIM(INDEX(Forms貼り付け!$A:$AZ,35,BA$3)),1),""))</f>
        <v/>
      </c>
      <c r="BB36" s="8">
        <f>IF(BB$3="","",IFERROR(LEFT(TRIM(INDEX(Forms貼り付け!$A:$AZ,35,BB$3)),1),""))</f>
        <v/>
      </c>
      <c r="BC36" s="8">
        <f>IF(BC$3="","",IFERROR(LEFT(TRIM(INDEX(Forms貼り付け!$A:$AZ,35,BC$3)),1),""))</f>
        <v/>
      </c>
    </row>
    <row r="37">
      <c r="A37" s="8" t="inlineStr">
        <is>
          <t>U033</t>
        </is>
      </c>
      <c r="B37" s="9">
        <f>IF($B$3="","",INDEX(Forms貼り付け!$A:$AZ,36,$B$3))</f>
        <v/>
      </c>
      <c r="C37" s="9">
        <f>IF($C$3="","",INDEX(Forms貼り付け!$A:$AZ,36,$C$3))</f>
        <v/>
      </c>
      <c r="D37" s="8">
        <f>IF($D$3="","",INDEX(Forms貼り付け!$A:$AZ,36,$D$3))</f>
        <v/>
      </c>
      <c r="E37" s="8">
        <f>IF($E$3="","",INDEX(Forms貼り付け!$A:$AZ,36,$E$3))</f>
        <v/>
      </c>
      <c r="F37" s="8">
        <f>IF(F$3="","",IFERROR(LEFT(TRIM(INDEX(Forms貼り付け!$A:$AZ,36,F$3)),1),""))</f>
        <v/>
      </c>
      <c r="G37" s="8">
        <f>IF(G$3="","",IFERROR(LEFT(TRIM(INDEX(Forms貼り付け!$A:$AZ,36,G$3)),1),""))</f>
        <v/>
      </c>
      <c r="H37" s="8">
        <f>IF(H$3="","",IFERROR(LEFT(TRIM(INDEX(Forms貼り付け!$A:$AZ,36,H$3)),1),""))</f>
        <v/>
      </c>
      <c r="I37" s="8">
        <f>IF(I$3="","",IFERROR(LEFT(TRIM(INDEX(Forms貼り付け!$A:$AZ,36,I$3)),1),""))</f>
        <v/>
      </c>
      <c r="J37" s="8">
        <f>IF(J$3="","",IFERROR(LEFT(TRIM(INDEX(Forms貼り付け!$A:$AZ,36,J$3)),1),""))</f>
        <v/>
      </c>
      <c r="K37" s="8">
        <f>IF(K$3="","",IFERROR(LEFT(TRIM(INDEX(Forms貼り付け!$A:$AZ,36,K$3)),1),""))</f>
        <v/>
      </c>
      <c r="L37" s="8">
        <f>IF(L$3="","",IFERROR(LEFT(TRIM(INDEX(Forms貼り付け!$A:$AZ,36,L$3)),1),""))</f>
        <v/>
      </c>
      <c r="M37" s="8">
        <f>IF(M$3="","",IFERROR(LEFT(TRIM(INDEX(Forms貼り付け!$A:$AZ,36,M$3)),1),""))</f>
        <v/>
      </c>
      <c r="N37" s="8">
        <f>IF(N$3="","",IFERROR(LEFT(TRIM(INDEX(Forms貼り付け!$A:$AZ,36,N$3)),1),""))</f>
        <v/>
      </c>
      <c r="O37" s="8">
        <f>IF(O$3="","",IFERROR(LEFT(TRIM(INDEX(Forms貼り付け!$A:$AZ,36,O$3)),1),""))</f>
        <v/>
      </c>
      <c r="P37" s="8">
        <f>IF(P$3="","",IFERROR(LEFT(TRIM(INDEX(Forms貼り付け!$A:$AZ,36,P$3)),1),""))</f>
        <v/>
      </c>
      <c r="Q37" s="8">
        <f>IF(Q$3="","",IFERROR(LEFT(TRIM(INDEX(Forms貼り付け!$A:$AZ,36,Q$3)),1),""))</f>
        <v/>
      </c>
      <c r="R37" s="8">
        <f>IF(R$3="","",IFERROR(LEFT(TRIM(INDEX(Forms貼り付け!$A:$AZ,36,R$3)),1),""))</f>
        <v/>
      </c>
      <c r="S37" s="8">
        <f>IF(S$3="","",IFERROR(LEFT(TRIM(INDEX(Forms貼り付け!$A:$AZ,36,S$3)),1),""))</f>
        <v/>
      </c>
      <c r="T37" s="8">
        <f>IF(T$3="","",IFERROR(LEFT(TRIM(INDEX(Forms貼り付け!$A:$AZ,36,T$3)),1),""))</f>
        <v/>
      </c>
      <c r="U37" s="8">
        <f>IF(U$3="","",IFERROR(LEFT(TRIM(INDEX(Forms貼り付け!$A:$AZ,36,U$3)),1),""))</f>
        <v/>
      </c>
      <c r="V37" s="8">
        <f>IF(V$3="","",IFERROR(LEFT(TRIM(INDEX(Forms貼り付け!$A:$AZ,36,V$3)),1),""))</f>
        <v/>
      </c>
      <c r="W37" s="8">
        <f>IF(W$3="","",IFERROR(LEFT(TRIM(INDEX(Forms貼り付け!$A:$AZ,36,W$3)),1),""))</f>
        <v/>
      </c>
      <c r="X37" s="8">
        <f>IF(X$3="","",IFERROR(LEFT(TRIM(INDEX(Forms貼り付け!$A:$AZ,36,X$3)),1),""))</f>
        <v/>
      </c>
      <c r="Y37" s="8">
        <f>IF(Y$3="","",IFERROR(LEFT(TRIM(INDEX(Forms貼り付け!$A:$AZ,36,Y$3)),1),""))</f>
        <v/>
      </c>
      <c r="Z37" s="8">
        <f>IF(Z$3="","",IFERROR(LEFT(TRIM(INDEX(Forms貼り付け!$A:$AZ,36,Z$3)),1),""))</f>
        <v/>
      </c>
      <c r="AA37" s="8">
        <f>IF(AA$3="","",IFERROR(LEFT(TRIM(INDEX(Forms貼り付け!$A:$AZ,36,AA$3)),1),""))</f>
        <v/>
      </c>
      <c r="AB37" s="8">
        <f>IF(AB$3="","",IFERROR(LEFT(TRIM(INDEX(Forms貼り付け!$A:$AZ,36,AB$3)),1),""))</f>
        <v/>
      </c>
      <c r="AC37" s="8">
        <f>IF(AC$3="","",IFERROR(LEFT(TRIM(INDEX(Forms貼り付け!$A:$AZ,36,AC$3)),1),""))</f>
        <v/>
      </c>
      <c r="AD37" s="8">
        <f>IF(AD$3="","",IFERROR(LEFT(TRIM(INDEX(Forms貼り付け!$A:$AZ,36,AD$3)),1),""))</f>
        <v/>
      </c>
      <c r="AE37" s="8">
        <f>IF(AE$3="","",IFERROR(LEFT(TRIM(INDEX(Forms貼り付け!$A:$AZ,36,AE$3)),1),""))</f>
        <v/>
      </c>
      <c r="AF37" s="8">
        <f>IF(AF$3="","",IFERROR(LEFT(TRIM(INDEX(Forms貼り付け!$A:$AZ,36,AF$3)),1),""))</f>
        <v/>
      </c>
      <c r="AG37" s="8">
        <f>IF(AG$3="","",IFERROR(LEFT(TRIM(INDEX(Forms貼り付け!$A:$AZ,36,AG$3)),1),""))</f>
        <v/>
      </c>
      <c r="AH37" s="8">
        <f>IF(AH$3="","",IFERROR(LEFT(TRIM(INDEX(Forms貼り付け!$A:$AZ,36,AH$3)),1),""))</f>
        <v/>
      </c>
      <c r="AI37" s="8">
        <f>IF(AI$3="","",IFERROR(LEFT(TRIM(INDEX(Forms貼り付け!$A:$AZ,36,AI$3)),1),""))</f>
        <v/>
      </c>
      <c r="AJ37" s="8">
        <f>IF(AJ$3="","",IFERROR(LEFT(TRIM(INDEX(Forms貼り付け!$A:$AZ,36,AJ$3)),1),""))</f>
        <v/>
      </c>
      <c r="AK37" s="8">
        <f>IF(AK$3="","",IFERROR(LEFT(TRIM(INDEX(Forms貼り付け!$A:$AZ,36,AK$3)),1),""))</f>
        <v/>
      </c>
      <c r="AL37" s="8">
        <f>IF(AL$3="","",IFERROR(LEFT(TRIM(INDEX(Forms貼り付け!$A:$AZ,36,AL$3)),1),""))</f>
        <v/>
      </c>
      <c r="AM37" s="8">
        <f>IF(AM$3="","",IFERROR(LEFT(TRIM(INDEX(Forms貼り付け!$A:$AZ,36,AM$3)),1),""))</f>
        <v/>
      </c>
      <c r="AN37" s="8">
        <f>IF(AN$3="","",IFERROR(LEFT(TRIM(INDEX(Forms貼り付け!$A:$AZ,36,AN$3)),1),""))</f>
        <v/>
      </c>
      <c r="AO37" s="8">
        <f>IF(AO$3="","",IFERROR(LEFT(TRIM(INDEX(Forms貼り付け!$A:$AZ,36,AO$3)),1),""))</f>
        <v/>
      </c>
      <c r="AP37" s="8">
        <f>IF(AP$3="","",IFERROR(LEFT(TRIM(INDEX(Forms貼り付け!$A:$AZ,36,AP$3)),1),""))</f>
        <v/>
      </c>
      <c r="AQ37" s="8">
        <f>IF(AQ$3="","",IFERROR(LEFT(TRIM(INDEX(Forms貼り付け!$A:$AZ,36,AQ$3)),1),""))</f>
        <v/>
      </c>
      <c r="AR37" s="8">
        <f>IF(AR$3="","",IFERROR(LEFT(TRIM(INDEX(Forms貼り付け!$A:$AZ,36,AR$3)),1),""))</f>
        <v/>
      </c>
      <c r="AS37" s="8">
        <f>IF(AS$3="","",IFERROR(LEFT(TRIM(INDEX(Forms貼り付け!$A:$AZ,36,AS$3)),1),""))</f>
        <v/>
      </c>
      <c r="AT37" s="8">
        <f>IF(AT$3="","",IFERROR(LEFT(TRIM(INDEX(Forms貼り付け!$A:$AZ,36,AT$3)),1),""))</f>
        <v/>
      </c>
      <c r="AU37" s="8">
        <f>IF(AU$3="","",IFERROR(LEFT(TRIM(INDEX(Forms貼り付け!$A:$AZ,36,AU$3)),1),""))</f>
        <v/>
      </c>
      <c r="AV37" s="8">
        <f>IF(AV$3="","",IFERROR(LEFT(TRIM(INDEX(Forms貼り付け!$A:$AZ,36,AV$3)),1),""))</f>
        <v/>
      </c>
      <c r="AW37" s="8">
        <f>IF(AW$3="","",IFERROR(LEFT(TRIM(INDEX(Forms貼り付け!$A:$AZ,36,AW$3)),1),""))</f>
        <v/>
      </c>
      <c r="AX37" s="8">
        <f>IF(AX$3="","",IFERROR(LEFT(TRIM(INDEX(Forms貼り付け!$A:$AZ,36,AX$3)),1),""))</f>
        <v/>
      </c>
      <c r="AY37" s="8">
        <f>IF(AY$3="","",IFERROR(LEFT(TRIM(INDEX(Forms貼り付け!$A:$AZ,36,AY$3)),1),""))</f>
        <v/>
      </c>
      <c r="AZ37" s="8">
        <f>IF(AZ$3="","",IFERROR(LEFT(TRIM(INDEX(Forms貼り付け!$A:$AZ,36,AZ$3)),1),""))</f>
        <v/>
      </c>
      <c r="BA37" s="8">
        <f>IF(BA$3="","",IFERROR(LEFT(TRIM(INDEX(Forms貼り付け!$A:$AZ,36,BA$3)),1),""))</f>
        <v/>
      </c>
      <c r="BB37" s="8">
        <f>IF(BB$3="","",IFERROR(LEFT(TRIM(INDEX(Forms貼り付け!$A:$AZ,36,BB$3)),1),""))</f>
        <v/>
      </c>
      <c r="BC37" s="8">
        <f>IF(BC$3="","",IFERROR(LEFT(TRIM(INDEX(Forms貼り付け!$A:$AZ,36,BC$3)),1),""))</f>
        <v/>
      </c>
    </row>
    <row r="38">
      <c r="A38" s="8" t="inlineStr">
        <is>
          <t>U034</t>
        </is>
      </c>
      <c r="B38" s="9">
        <f>IF($B$3="","",INDEX(Forms貼り付け!$A:$AZ,37,$B$3))</f>
        <v/>
      </c>
      <c r="C38" s="9">
        <f>IF($C$3="","",INDEX(Forms貼り付け!$A:$AZ,37,$C$3))</f>
        <v/>
      </c>
      <c r="D38" s="8">
        <f>IF($D$3="","",INDEX(Forms貼り付け!$A:$AZ,37,$D$3))</f>
        <v/>
      </c>
      <c r="E38" s="8">
        <f>IF($E$3="","",INDEX(Forms貼り付け!$A:$AZ,37,$E$3))</f>
        <v/>
      </c>
      <c r="F38" s="8">
        <f>IF(F$3="","",IFERROR(LEFT(TRIM(INDEX(Forms貼り付け!$A:$AZ,37,F$3)),1),""))</f>
        <v/>
      </c>
      <c r="G38" s="8">
        <f>IF(G$3="","",IFERROR(LEFT(TRIM(INDEX(Forms貼り付け!$A:$AZ,37,G$3)),1),""))</f>
        <v/>
      </c>
      <c r="H38" s="8">
        <f>IF(H$3="","",IFERROR(LEFT(TRIM(INDEX(Forms貼り付け!$A:$AZ,37,H$3)),1),""))</f>
        <v/>
      </c>
      <c r="I38" s="8">
        <f>IF(I$3="","",IFERROR(LEFT(TRIM(INDEX(Forms貼り付け!$A:$AZ,37,I$3)),1),""))</f>
        <v/>
      </c>
      <c r="J38" s="8">
        <f>IF(J$3="","",IFERROR(LEFT(TRIM(INDEX(Forms貼り付け!$A:$AZ,37,J$3)),1),""))</f>
        <v/>
      </c>
      <c r="K38" s="8">
        <f>IF(K$3="","",IFERROR(LEFT(TRIM(INDEX(Forms貼り付け!$A:$AZ,37,K$3)),1),""))</f>
        <v/>
      </c>
      <c r="L38" s="8">
        <f>IF(L$3="","",IFERROR(LEFT(TRIM(INDEX(Forms貼り付け!$A:$AZ,37,L$3)),1),""))</f>
        <v/>
      </c>
      <c r="M38" s="8">
        <f>IF(M$3="","",IFERROR(LEFT(TRIM(INDEX(Forms貼り付け!$A:$AZ,37,M$3)),1),""))</f>
        <v/>
      </c>
      <c r="N38" s="8">
        <f>IF(N$3="","",IFERROR(LEFT(TRIM(INDEX(Forms貼り付け!$A:$AZ,37,N$3)),1),""))</f>
        <v/>
      </c>
      <c r="O38" s="8">
        <f>IF(O$3="","",IFERROR(LEFT(TRIM(INDEX(Forms貼り付け!$A:$AZ,37,O$3)),1),""))</f>
        <v/>
      </c>
      <c r="P38" s="8">
        <f>IF(P$3="","",IFERROR(LEFT(TRIM(INDEX(Forms貼り付け!$A:$AZ,37,P$3)),1),""))</f>
        <v/>
      </c>
      <c r="Q38" s="8">
        <f>IF(Q$3="","",IFERROR(LEFT(TRIM(INDEX(Forms貼り付け!$A:$AZ,37,Q$3)),1),""))</f>
        <v/>
      </c>
      <c r="R38" s="8">
        <f>IF(R$3="","",IFERROR(LEFT(TRIM(INDEX(Forms貼り付け!$A:$AZ,37,R$3)),1),""))</f>
        <v/>
      </c>
      <c r="S38" s="8">
        <f>IF(S$3="","",IFERROR(LEFT(TRIM(INDEX(Forms貼り付け!$A:$AZ,37,S$3)),1),""))</f>
        <v/>
      </c>
      <c r="T38" s="8">
        <f>IF(T$3="","",IFERROR(LEFT(TRIM(INDEX(Forms貼り付け!$A:$AZ,37,T$3)),1),""))</f>
        <v/>
      </c>
      <c r="U38" s="8">
        <f>IF(U$3="","",IFERROR(LEFT(TRIM(INDEX(Forms貼り付け!$A:$AZ,37,U$3)),1),""))</f>
        <v/>
      </c>
      <c r="V38" s="8">
        <f>IF(V$3="","",IFERROR(LEFT(TRIM(INDEX(Forms貼り付け!$A:$AZ,37,V$3)),1),""))</f>
        <v/>
      </c>
      <c r="W38" s="8">
        <f>IF(W$3="","",IFERROR(LEFT(TRIM(INDEX(Forms貼り付け!$A:$AZ,37,W$3)),1),""))</f>
        <v/>
      </c>
      <c r="X38" s="8">
        <f>IF(X$3="","",IFERROR(LEFT(TRIM(INDEX(Forms貼り付け!$A:$AZ,37,X$3)),1),""))</f>
        <v/>
      </c>
      <c r="Y38" s="8">
        <f>IF(Y$3="","",IFERROR(LEFT(TRIM(INDEX(Forms貼り付け!$A:$AZ,37,Y$3)),1),""))</f>
        <v/>
      </c>
      <c r="Z38" s="8">
        <f>IF(Z$3="","",IFERROR(LEFT(TRIM(INDEX(Forms貼り付け!$A:$AZ,37,Z$3)),1),""))</f>
        <v/>
      </c>
      <c r="AA38" s="8">
        <f>IF(AA$3="","",IFERROR(LEFT(TRIM(INDEX(Forms貼り付け!$A:$AZ,37,AA$3)),1),""))</f>
        <v/>
      </c>
      <c r="AB38" s="8">
        <f>IF(AB$3="","",IFERROR(LEFT(TRIM(INDEX(Forms貼り付け!$A:$AZ,37,AB$3)),1),""))</f>
        <v/>
      </c>
      <c r="AC38" s="8">
        <f>IF(AC$3="","",IFERROR(LEFT(TRIM(INDEX(Forms貼り付け!$A:$AZ,37,AC$3)),1),""))</f>
        <v/>
      </c>
      <c r="AD38" s="8">
        <f>IF(AD$3="","",IFERROR(LEFT(TRIM(INDEX(Forms貼り付け!$A:$AZ,37,AD$3)),1),""))</f>
        <v/>
      </c>
      <c r="AE38" s="8">
        <f>IF(AE$3="","",IFERROR(LEFT(TRIM(INDEX(Forms貼り付け!$A:$AZ,37,AE$3)),1),""))</f>
        <v/>
      </c>
      <c r="AF38" s="8">
        <f>IF(AF$3="","",IFERROR(LEFT(TRIM(INDEX(Forms貼り付け!$A:$AZ,37,AF$3)),1),""))</f>
        <v/>
      </c>
      <c r="AG38" s="8">
        <f>IF(AG$3="","",IFERROR(LEFT(TRIM(INDEX(Forms貼り付け!$A:$AZ,37,AG$3)),1),""))</f>
        <v/>
      </c>
      <c r="AH38" s="8">
        <f>IF(AH$3="","",IFERROR(LEFT(TRIM(INDEX(Forms貼り付け!$A:$AZ,37,AH$3)),1),""))</f>
        <v/>
      </c>
      <c r="AI38" s="8">
        <f>IF(AI$3="","",IFERROR(LEFT(TRIM(INDEX(Forms貼り付け!$A:$AZ,37,AI$3)),1),""))</f>
        <v/>
      </c>
      <c r="AJ38" s="8">
        <f>IF(AJ$3="","",IFERROR(LEFT(TRIM(INDEX(Forms貼り付け!$A:$AZ,37,AJ$3)),1),""))</f>
        <v/>
      </c>
      <c r="AK38" s="8">
        <f>IF(AK$3="","",IFERROR(LEFT(TRIM(INDEX(Forms貼り付け!$A:$AZ,37,AK$3)),1),""))</f>
        <v/>
      </c>
      <c r="AL38" s="8">
        <f>IF(AL$3="","",IFERROR(LEFT(TRIM(INDEX(Forms貼り付け!$A:$AZ,37,AL$3)),1),""))</f>
        <v/>
      </c>
      <c r="AM38" s="8">
        <f>IF(AM$3="","",IFERROR(LEFT(TRIM(INDEX(Forms貼り付け!$A:$AZ,37,AM$3)),1),""))</f>
        <v/>
      </c>
      <c r="AN38" s="8">
        <f>IF(AN$3="","",IFERROR(LEFT(TRIM(INDEX(Forms貼り付け!$A:$AZ,37,AN$3)),1),""))</f>
        <v/>
      </c>
      <c r="AO38" s="8">
        <f>IF(AO$3="","",IFERROR(LEFT(TRIM(INDEX(Forms貼り付け!$A:$AZ,37,AO$3)),1),""))</f>
        <v/>
      </c>
      <c r="AP38" s="8">
        <f>IF(AP$3="","",IFERROR(LEFT(TRIM(INDEX(Forms貼り付け!$A:$AZ,37,AP$3)),1),""))</f>
        <v/>
      </c>
      <c r="AQ38" s="8">
        <f>IF(AQ$3="","",IFERROR(LEFT(TRIM(INDEX(Forms貼り付け!$A:$AZ,37,AQ$3)),1),""))</f>
        <v/>
      </c>
      <c r="AR38" s="8">
        <f>IF(AR$3="","",IFERROR(LEFT(TRIM(INDEX(Forms貼り付け!$A:$AZ,37,AR$3)),1),""))</f>
        <v/>
      </c>
      <c r="AS38" s="8">
        <f>IF(AS$3="","",IFERROR(LEFT(TRIM(INDEX(Forms貼り付け!$A:$AZ,37,AS$3)),1),""))</f>
        <v/>
      </c>
      <c r="AT38" s="8">
        <f>IF(AT$3="","",IFERROR(LEFT(TRIM(INDEX(Forms貼り付け!$A:$AZ,37,AT$3)),1),""))</f>
        <v/>
      </c>
      <c r="AU38" s="8">
        <f>IF(AU$3="","",IFERROR(LEFT(TRIM(INDEX(Forms貼り付け!$A:$AZ,37,AU$3)),1),""))</f>
        <v/>
      </c>
      <c r="AV38" s="8">
        <f>IF(AV$3="","",IFERROR(LEFT(TRIM(INDEX(Forms貼り付け!$A:$AZ,37,AV$3)),1),""))</f>
        <v/>
      </c>
      <c r="AW38" s="8">
        <f>IF(AW$3="","",IFERROR(LEFT(TRIM(INDEX(Forms貼り付け!$A:$AZ,37,AW$3)),1),""))</f>
        <v/>
      </c>
      <c r="AX38" s="8">
        <f>IF(AX$3="","",IFERROR(LEFT(TRIM(INDEX(Forms貼り付け!$A:$AZ,37,AX$3)),1),""))</f>
        <v/>
      </c>
      <c r="AY38" s="8">
        <f>IF(AY$3="","",IFERROR(LEFT(TRIM(INDEX(Forms貼り付け!$A:$AZ,37,AY$3)),1),""))</f>
        <v/>
      </c>
      <c r="AZ38" s="8">
        <f>IF(AZ$3="","",IFERROR(LEFT(TRIM(INDEX(Forms貼り付け!$A:$AZ,37,AZ$3)),1),""))</f>
        <v/>
      </c>
      <c r="BA38" s="8">
        <f>IF(BA$3="","",IFERROR(LEFT(TRIM(INDEX(Forms貼り付け!$A:$AZ,37,BA$3)),1),""))</f>
        <v/>
      </c>
      <c r="BB38" s="8">
        <f>IF(BB$3="","",IFERROR(LEFT(TRIM(INDEX(Forms貼り付け!$A:$AZ,37,BB$3)),1),""))</f>
        <v/>
      </c>
      <c r="BC38" s="8">
        <f>IF(BC$3="","",IFERROR(LEFT(TRIM(INDEX(Forms貼り付け!$A:$AZ,37,BC$3)),1),""))</f>
        <v/>
      </c>
    </row>
    <row r="39">
      <c r="A39" s="8" t="inlineStr">
        <is>
          <t>U035</t>
        </is>
      </c>
      <c r="B39" s="9">
        <f>IF($B$3="","",INDEX(Forms貼り付け!$A:$AZ,38,$B$3))</f>
        <v/>
      </c>
      <c r="C39" s="9">
        <f>IF($C$3="","",INDEX(Forms貼り付け!$A:$AZ,38,$C$3))</f>
        <v/>
      </c>
      <c r="D39" s="8">
        <f>IF($D$3="","",INDEX(Forms貼り付け!$A:$AZ,38,$D$3))</f>
        <v/>
      </c>
      <c r="E39" s="8">
        <f>IF($E$3="","",INDEX(Forms貼り付け!$A:$AZ,38,$E$3))</f>
        <v/>
      </c>
      <c r="F39" s="8">
        <f>IF(F$3="","",IFERROR(LEFT(TRIM(INDEX(Forms貼り付け!$A:$AZ,38,F$3)),1),""))</f>
        <v/>
      </c>
      <c r="G39" s="8">
        <f>IF(G$3="","",IFERROR(LEFT(TRIM(INDEX(Forms貼り付け!$A:$AZ,38,G$3)),1),""))</f>
        <v/>
      </c>
      <c r="H39" s="8">
        <f>IF(H$3="","",IFERROR(LEFT(TRIM(INDEX(Forms貼り付け!$A:$AZ,38,H$3)),1),""))</f>
        <v/>
      </c>
      <c r="I39" s="8">
        <f>IF(I$3="","",IFERROR(LEFT(TRIM(INDEX(Forms貼り付け!$A:$AZ,38,I$3)),1),""))</f>
        <v/>
      </c>
      <c r="J39" s="8">
        <f>IF(J$3="","",IFERROR(LEFT(TRIM(INDEX(Forms貼り付け!$A:$AZ,38,J$3)),1),""))</f>
        <v/>
      </c>
      <c r="K39" s="8">
        <f>IF(K$3="","",IFERROR(LEFT(TRIM(INDEX(Forms貼り付け!$A:$AZ,38,K$3)),1),""))</f>
        <v/>
      </c>
      <c r="L39" s="8">
        <f>IF(L$3="","",IFERROR(LEFT(TRIM(INDEX(Forms貼り付け!$A:$AZ,38,L$3)),1),""))</f>
        <v/>
      </c>
      <c r="M39" s="8">
        <f>IF(M$3="","",IFERROR(LEFT(TRIM(INDEX(Forms貼り付け!$A:$AZ,38,M$3)),1),""))</f>
        <v/>
      </c>
      <c r="N39" s="8">
        <f>IF(N$3="","",IFERROR(LEFT(TRIM(INDEX(Forms貼り付け!$A:$AZ,38,N$3)),1),""))</f>
        <v/>
      </c>
      <c r="O39" s="8">
        <f>IF(O$3="","",IFERROR(LEFT(TRIM(INDEX(Forms貼り付け!$A:$AZ,38,O$3)),1),""))</f>
        <v/>
      </c>
      <c r="P39" s="8">
        <f>IF(P$3="","",IFERROR(LEFT(TRIM(INDEX(Forms貼り付け!$A:$AZ,38,P$3)),1),""))</f>
        <v/>
      </c>
      <c r="Q39" s="8">
        <f>IF(Q$3="","",IFERROR(LEFT(TRIM(INDEX(Forms貼り付け!$A:$AZ,38,Q$3)),1),""))</f>
        <v/>
      </c>
      <c r="R39" s="8">
        <f>IF(R$3="","",IFERROR(LEFT(TRIM(INDEX(Forms貼り付け!$A:$AZ,38,R$3)),1),""))</f>
        <v/>
      </c>
      <c r="S39" s="8">
        <f>IF(S$3="","",IFERROR(LEFT(TRIM(INDEX(Forms貼り付け!$A:$AZ,38,S$3)),1),""))</f>
        <v/>
      </c>
      <c r="T39" s="8">
        <f>IF(T$3="","",IFERROR(LEFT(TRIM(INDEX(Forms貼り付け!$A:$AZ,38,T$3)),1),""))</f>
        <v/>
      </c>
      <c r="U39" s="8">
        <f>IF(U$3="","",IFERROR(LEFT(TRIM(INDEX(Forms貼り付け!$A:$AZ,38,U$3)),1),""))</f>
        <v/>
      </c>
      <c r="V39" s="8">
        <f>IF(V$3="","",IFERROR(LEFT(TRIM(INDEX(Forms貼り付け!$A:$AZ,38,V$3)),1),""))</f>
        <v/>
      </c>
      <c r="W39" s="8">
        <f>IF(W$3="","",IFERROR(LEFT(TRIM(INDEX(Forms貼り付け!$A:$AZ,38,W$3)),1),""))</f>
        <v/>
      </c>
      <c r="X39" s="8">
        <f>IF(X$3="","",IFERROR(LEFT(TRIM(INDEX(Forms貼り付け!$A:$AZ,38,X$3)),1),""))</f>
        <v/>
      </c>
      <c r="Y39" s="8">
        <f>IF(Y$3="","",IFERROR(LEFT(TRIM(INDEX(Forms貼り付け!$A:$AZ,38,Y$3)),1),""))</f>
        <v/>
      </c>
      <c r="Z39" s="8">
        <f>IF(Z$3="","",IFERROR(LEFT(TRIM(INDEX(Forms貼り付け!$A:$AZ,38,Z$3)),1),""))</f>
        <v/>
      </c>
      <c r="AA39" s="8">
        <f>IF(AA$3="","",IFERROR(LEFT(TRIM(INDEX(Forms貼り付け!$A:$AZ,38,AA$3)),1),""))</f>
        <v/>
      </c>
      <c r="AB39" s="8">
        <f>IF(AB$3="","",IFERROR(LEFT(TRIM(INDEX(Forms貼り付け!$A:$AZ,38,AB$3)),1),""))</f>
        <v/>
      </c>
      <c r="AC39" s="8">
        <f>IF(AC$3="","",IFERROR(LEFT(TRIM(INDEX(Forms貼り付け!$A:$AZ,38,AC$3)),1),""))</f>
        <v/>
      </c>
      <c r="AD39" s="8">
        <f>IF(AD$3="","",IFERROR(LEFT(TRIM(INDEX(Forms貼り付け!$A:$AZ,38,AD$3)),1),""))</f>
        <v/>
      </c>
      <c r="AE39" s="8">
        <f>IF(AE$3="","",IFERROR(LEFT(TRIM(INDEX(Forms貼り付け!$A:$AZ,38,AE$3)),1),""))</f>
        <v/>
      </c>
      <c r="AF39" s="8">
        <f>IF(AF$3="","",IFERROR(LEFT(TRIM(INDEX(Forms貼り付け!$A:$AZ,38,AF$3)),1),""))</f>
        <v/>
      </c>
      <c r="AG39" s="8">
        <f>IF(AG$3="","",IFERROR(LEFT(TRIM(INDEX(Forms貼り付け!$A:$AZ,38,AG$3)),1),""))</f>
        <v/>
      </c>
      <c r="AH39" s="8">
        <f>IF(AH$3="","",IFERROR(LEFT(TRIM(INDEX(Forms貼り付け!$A:$AZ,38,AH$3)),1),""))</f>
        <v/>
      </c>
      <c r="AI39" s="8">
        <f>IF(AI$3="","",IFERROR(LEFT(TRIM(INDEX(Forms貼り付け!$A:$AZ,38,AI$3)),1),""))</f>
        <v/>
      </c>
      <c r="AJ39" s="8">
        <f>IF(AJ$3="","",IFERROR(LEFT(TRIM(INDEX(Forms貼り付け!$A:$AZ,38,AJ$3)),1),""))</f>
        <v/>
      </c>
      <c r="AK39" s="8">
        <f>IF(AK$3="","",IFERROR(LEFT(TRIM(INDEX(Forms貼り付け!$A:$AZ,38,AK$3)),1),""))</f>
        <v/>
      </c>
      <c r="AL39" s="8">
        <f>IF(AL$3="","",IFERROR(LEFT(TRIM(INDEX(Forms貼り付け!$A:$AZ,38,AL$3)),1),""))</f>
        <v/>
      </c>
      <c r="AM39" s="8">
        <f>IF(AM$3="","",IFERROR(LEFT(TRIM(INDEX(Forms貼り付け!$A:$AZ,38,AM$3)),1),""))</f>
        <v/>
      </c>
      <c r="AN39" s="8">
        <f>IF(AN$3="","",IFERROR(LEFT(TRIM(INDEX(Forms貼り付け!$A:$AZ,38,AN$3)),1),""))</f>
        <v/>
      </c>
      <c r="AO39" s="8">
        <f>IF(AO$3="","",IFERROR(LEFT(TRIM(INDEX(Forms貼り付け!$A:$AZ,38,AO$3)),1),""))</f>
        <v/>
      </c>
      <c r="AP39" s="8">
        <f>IF(AP$3="","",IFERROR(LEFT(TRIM(INDEX(Forms貼り付け!$A:$AZ,38,AP$3)),1),""))</f>
        <v/>
      </c>
      <c r="AQ39" s="8">
        <f>IF(AQ$3="","",IFERROR(LEFT(TRIM(INDEX(Forms貼り付け!$A:$AZ,38,AQ$3)),1),""))</f>
        <v/>
      </c>
      <c r="AR39" s="8">
        <f>IF(AR$3="","",IFERROR(LEFT(TRIM(INDEX(Forms貼り付け!$A:$AZ,38,AR$3)),1),""))</f>
        <v/>
      </c>
      <c r="AS39" s="8">
        <f>IF(AS$3="","",IFERROR(LEFT(TRIM(INDEX(Forms貼り付け!$A:$AZ,38,AS$3)),1),""))</f>
        <v/>
      </c>
      <c r="AT39" s="8">
        <f>IF(AT$3="","",IFERROR(LEFT(TRIM(INDEX(Forms貼り付け!$A:$AZ,38,AT$3)),1),""))</f>
        <v/>
      </c>
      <c r="AU39" s="8">
        <f>IF(AU$3="","",IFERROR(LEFT(TRIM(INDEX(Forms貼り付け!$A:$AZ,38,AU$3)),1),""))</f>
        <v/>
      </c>
      <c r="AV39" s="8">
        <f>IF(AV$3="","",IFERROR(LEFT(TRIM(INDEX(Forms貼り付け!$A:$AZ,38,AV$3)),1),""))</f>
        <v/>
      </c>
      <c r="AW39" s="8">
        <f>IF(AW$3="","",IFERROR(LEFT(TRIM(INDEX(Forms貼り付け!$A:$AZ,38,AW$3)),1),""))</f>
        <v/>
      </c>
      <c r="AX39" s="8">
        <f>IF(AX$3="","",IFERROR(LEFT(TRIM(INDEX(Forms貼り付け!$A:$AZ,38,AX$3)),1),""))</f>
        <v/>
      </c>
      <c r="AY39" s="8">
        <f>IF(AY$3="","",IFERROR(LEFT(TRIM(INDEX(Forms貼り付け!$A:$AZ,38,AY$3)),1),""))</f>
        <v/>
      </c>
      <c r="AZ39" s="8">
        <f>IF(AZ$3="","",IFERROR(LEFT(TRIM(INDEX(Forms貼り付け!$A:$AZ,38,AZ$3)),1),""))</f>
        <v/>
      </c>
      <c r="BA39" s="8">
        <f>IF(BA$3="","",IFERROR(LEFT(TRIM(INDEX(Forms貼り付け!$A:$AZ,38,BA$3)),1),""))</f>
        <v/>
      </c>
      <c r="BB39" s="8">
        <f>IF(BB$3="","",IFERROR(LEFT(TRIM(INDEX(Forms貼り付け!$A:$AZ,38,BB$3)),1),""))</f>
        <v/>
      </c>
      <c r="BC39" s="8">
        <f>IF(BC$3="","",IFERROR(LEFT(TRIM(INDEX(Forms貼り付け!$A:$AZ,38,BC$3)),1),""))</f>
        <v/>
      </c>
    </row>
    <row r="40">
      <c r="A40" s="8" t="inlineStr">
        <is>
          <t>U036</t>
        </is>
      </c>
      <c r="B40" s="9">
        <f>IF($B$3="","",INDEX(Forms貼り付け!$A:$AZ,39,$B$3))</f>
        <v/>
      </c>
      <c r="C40" s="9">
        <f>IF($C$3="","",INDEX(Forms貼り付け!$A:$AZ,39,$C$3))</f>
        <v/>
      </c>
      <c r="D40" s="8">
        <f>IF($D$3="","",INDEX(Forms貼り付け!$A:$AZ,39,$D$3))</f>
        <v/>
      </c>
      <c r="E40" s="8">
        <f>IF($E$3="","",INDEX(Forms貼り付け!$A:$AZ,39,$E$3))</f>
        <v/>
      </c>
      <c r="F40" s="8">
        <f>IF(F$3="","",IFERROR(LEFT(TRIM(INDEX(Forms貼り付け!$A:$AZ,39,F$3)),1),""))</f>
        <v/>
      </c>
      <c r="G40" s="8">
        <f>IF(G$3="","",IFERROR(LEFT(TRIM(INDEX(Forms貼り付け!$A:$AZ,39,G$3)),1),""))</f>
        <v/>
      </c>
      <c r="H40" s="8">
        <f>IF(H$3="","",IFERROR(LEFT(TRIM(INDEX(Forms貼り付け!$A:$AZ,39,H$3)),1),""))</f>
        <v/>
      </c>
      <c r="I40" s="8">
        <f>IF(I$3="","",IFERROR(LEFT(TRIM(INDEX(Forms貼り付け!$A:$AZ,39,I$3)),1),""))</f>
        <v/>
      </c>
      <c r="J40" s="8">
        <f>IF(J$3="","",IFERROR(LEFT(TRIM(INDEX(Forms貼り付け!$A:$AZ,39,J$3)),1),""))</f>
        <v/>
      </c>
      <c r="K40" s="8">
        <f>IF(K$3="","",IFERROR(LEFT(TRIM(INDEX(Forms貼り付け!$A:$AZ,39,K$3)),1),""))</f>
        <v/>
      </c>
      <c r="L40" s="8">
        <f>IF(L$3="","",IFERROR(LEFT(TRIM(INDEX(Forms貼り付け!$A:$AZ,39,L$3)),1),""))</f>
        <v/>
      </c>
      <c r="M40" s="8">
        <f>IF(M$3="","",IFERROR(LEFT(TRIM(INDEX(Forms貼り付け!$A:$AZ,39,M$3)),1),""))</f>
        <v/>
      </c>
      <c r="N40" s="8">
        <f>IF(N$3="","",IFERROR(LEFT(TRIM(INDEX(Forms貼り付け!$A:$AZ,39,N$3)),1),""))</f>
        <v/>
      </c>
      <c r="O40" s="8">
        <f>IF(O$3="","",IFERROR(LEFT(TRIM(INDEX(Forms貼り付け!$A:$AZ,39,O$3)),1),""))</f>
        <v/>
      </c>
      <c r="P40" s="8">
        <f>IF(P$3="","",IFERROR(LEFT(TRIM(INDEX(Forms貼り付け!$A:$AZ,39,P$3)),1),""))</f>
        <v/>
      </c>
      <c r="Q40" s="8">
        <f>IF(Q$3="","",IFERROR(LEFT(TRIM(INDEX(Forms貼り付け!$A:$AZ,39,Q$3)),1),""))</f>
        <v/>
      </c>
      <c r="R40" s="8">
        <f>IF(R$3="","",IFERROR(LEFT(TRIM(INDEX(Forms貼り付け!$A:$AZ,39,R$3)),1),""))</f>
        <v/>
      </c>
      <c r="S40" s="8">
        <f>IF(S$3="","",IFERROR(LEFT(TRIM(INDEX(Forms貼り付け!$A:$AZ,39,S$3)),1),""))</f>
        <v/>
      </c>
      <c r="T40" s="8">
        <f>IF(T$3="","",IFERROR(LEFT(TRIM(INDEX(Forms貼り付け!$A:$AZ,39,T$3)),1),""))</f>
        <v/>
      </c>
      <c r="U40" s="8">
        <f>IF(U$3="","",IFERROR(LEFT(TRIM(INDEX(Forms貼り付け!$A:$AZ,39,U$3)),1),""))</f>
        <v/>
      </c>
      <c r="V40" s="8">
        <f>IF(V$3="","",IFERROR(LEFT(TRIM(INDEX(Forms貼り付け!$A:$AZ,39,V$3)),1),""))</f>
        <v/>
      </c>
      <c r="W40" s="8">
        <f>IF(W$3="","",IFERROR(LEFT(TRIM(INDEX(Forms貼り付け!$A:$AZ,39,W$3)),1),""))</f>
        <v/>
      </c>
      <c r="X40" s="8">
        <f>IF(X$3="","",IFERROR(LEFT(TRIM(INDEX(Forms貼り付け!$A:$AZ,39,X$3)),1),""))</f>
        <v/>
      </c>
      <c r="Y40" s="8">
        <f>IF(Y$3="","",IFERROR(LEFT(TRIM(INDEX(Forms貼り付け!$A:$AZ,39,Y$3)),1),""))</f>
        <v/>
      </c>
      <c r="Z40" s="8">
        <f>IF(Z$3="","",IFERROR(LEFT(TRIM(INDEX(Forms貼り付け!$A:$AZ,39,Z$3)),1),""))</f>
        <v/>
      </c>
      <c r="AA40" s="8">
        <f>IF(AA$3="","",IFERROR(LEFT(TRIM(INDEX(Forms貼り付け!$A:$AZ,39,AA$3)),1),""))</f>
        <v/>
      </c>
      <c r="AB40" s="8">
        <f>IF(AB$3="","",IFERROR(LEFT(TRIM(INDEX(Forms貼り付け!$A:$AZ,39,AB$3)),1),""))</f>
        <v/>
      </c>
      <c r="AC40" s="8">
        <f>IF(AC$3="","",IFERROR(LEFT(TRIM(INDEX(Forms貼り付け!$A:$AZ,39,AC$3)),1),""))</f>
        <v/>
      </c>
      <c r="AD40" s="8">
        <f>IF(AD$3="","",IFERROR(LEFT(TRIM(INDEX(Forms貼り付け!$A:$AZ,39,AD$3)),1),""))</f>
        <v/>
      </c>
      <c r="AE40" s="8">
        <f>IF(AE$3="","",IFERROR(LEFT(TRIM(INDEX(Forms貼り付け!$A:$AZ,39,AE$3)),1),""))</f>
        <v/>
      </c>
      <c r="AF40" s="8">
        <f>IF(AF$3="","",IFERROR(LEFT(TRIM(INDEX(Forms貼り付け!$A:$AZ,39,AF$3)),1),""))</f>
        <v/>
      </c>
      <c r="AG40" s="8">
        <f>IF(AG$3="","",IFERROR(LEFT(TRIM(INDEX(Forms貼り付け!$A:$AZ,39,AG$3)),1),""))</f>
        <v/>
      </c>
      <c r="AH40" s="8">
        <f>IF(AH$3="","",IFERROR(LEFT(TRIM(INDEX(Forms貼り付け!$A:$AZ,39,AH$3)),1),""))</f>
        <v/>
      </c>
      <c r="AI40" s="8">
        <f>IF(AI$3="","",IFERROR(LEFT(TRIM(INDEX(Forms貼り付け!$A:$AZ,39,AI$3)),1),""))</f>
        <v/>
      </c>
      <c r="AJ40" s="8">
        <f>IF(AJ$3="","",IFERROR(LEFT(TRIM(INDEX(Forms貼り付け!$A:$AZ,39,AJ$3)),1),""))</f>
        <v/>
      </c>
      <c r="AK40" s="8">
        <f>IF(AK$3="","",IFERROR(LEFT(TRIM(INDEX(Forms貼り付け!$A:$AZ,39,AK$3)),1),""))</f>
        <v/>
      </c>
      <c r="AL40" s="8">
        <f>IF(AL$3="","",IFERROR(LEFT(TRIM(INDEX(Forms貼り付け!$A:$AZ,39,AL$3)),1),""))</f>
        <v/>
      </c>
      <c r="AM40" s="8">
        <f>IF(AM$3="","",IFERROR(LEFT(TRIM(INDEX(Forms貼り付け!$A:$AZ,39,AM$3)),1),""))</f>
        <v/>
      </c>
      <c r="AN40" s="8">
        <f>IF(AN$3="","",IFERROR(LEFT(TRIM(INDEX(Forms貼り付け!$A:$AZ,39,AN$3)),1),""))</f>
        <v/>
      </c>
      <c r="AO40" s="8">
        <f>IF(AO$3="","",IFERROR(LEFT(TRIM(INDEX(Forms貼り付け!$A:$AZ,39,AO$3)),1),""))</f>
        <v/>
      </c>
      <c r="AP40" s="8">
        <f>IF(AP$3="","",IFERROR(LEFT(TRIM(INDEX(Forms貼り付け!$A:$AZ,39,AP$3)),1),""))</f>
        <v/>
      </c>
      <c r="AQ40" s="8">
        <f>IF(AQ$3="","",IFERROR(LEFT(TRIM(INDEX(Forms貼り付け!$A:$AZ,39,AQ$3)),1),""))</f>
        <v/>
      </c>
      <c r="AR40" s="8">
        <f>IF(AR$3="","",IFERROR(LEFT(TRIM(INDEX(Forms貼り付け!$A:$AZ,39,AR$3)),1),""))</f>
        <v/>
      </c>
      <c r="AS40" s="8">
        <f>IF(AS$3="","",IFERROR(LEFT(TRIM(INDEX(Forms貼り付け!$A:$AZ,39,AS$3)),1),""))</f>
        <v/>
      </c>
      <c r="AT40" s="8">
        <f>IF(AT$3="","",IFERROR(LEFT(TRIM(INDEX(Forms貼り付け!$A:$AZ,39,AT$3)),1),""))</f>
        <v/>
      </c>
      <c r="AU40" s="8">
        <f>IF(AU$3="","",IFERROR(LEFT(TRIM(INDEX(Forms貼り付け!$A:$AZ,39,AU$3)),1),""))</f>
        <v/>
      </c>
      <c r="AV40" s="8">
        <f>IF(AV$3="","",IFERROR(LEFT(TRIM(INDEX(Forms貼り付け!$A:$AZ,39,AV$3)),1),""))</f>
        <v/>
      </c>
      <c r="AW40" s="8">
        <f>IF(AW$3="","",IFERROR(LEFT(TRIM(INDEX(Forms貼り付け!$A:$AZ,39,AW$3)),1),""))</f>
        <v/>
      </c>
      <c r="AX40" s="8">
        <f>IF(AX$3="","",IFERROR(LEFT(TRIM(INDEX(Forms貼り付け!$A:$AZ,39,AX$3)),1),""))</f>
        <v/>
      </c>
      <c r="AY40" s="8">
        <f>IF(AY$3="","",IFERROR(LEFT(TRIM(INDEX(Forms貼り付け!$A:$AZ,39,AY$3)),1),""))</f>
        <v/>
      </c>
      <c r="AZ40" s="8">
        <f>IF(AZ$3="","",IFERROR(LEFT(TRIM(INDEX(Forms貼り付け!$A:$AZ,39,AZ$3)),1),""))</f>
        <v/>
      </c>
      <c r="BA40" s="8">
        <f>IF(BA$3="","",IFERROR(LEFT(TRIM(INDEX(Forms貼り付け!$A:$AZ,39,BA$3)),1),""))</f>
        <v/>
      </c>
      <c r="BB40" s="8">
        <f>IF(BB$3="","",IFERROR(LEFT(TRIM(INDEX(Forms貼り付け!$A:$AZ,39,BB$3)),1),""))</f>
        <v/>
      </c>
      <c r="BC40" s="8">
        <f>IF(BC$3="","",IFERROR(LEFT(TRIM(INDEX(Forms貼り付け!$A:$AZ,39,BC$3)),1),""))</f>
        <v/>
      </c>
    </row>
    <row r="41">
      <c r="A41" s="8" t="inlineStr">
        <is>
          <t>U037</t>
        </is>
      </c>
      <c r="B41" s="9">
        <f>IF($B$3="","",INDEX(Forms貼り付け!$A:$AZ,40,$B$3))</f>
        <v/>
      </c>
      <c r="C41" s="9">
        <f>IF($C$3="","",INDEX(Forms貼り付け!$A:$AZ,40,$C$3))</f>
        <v/>
      </c>
      <c r="D41" s="8">
        <f>IF($D$3="","",INDEX(Forms貼り付け!$A:$AZ,40,$D$3))</f>
        <v/>
      </c>
      <c r="E41" s="8">
        <f>IF($E$3="","",INDEX(Forms貼り付け!$A:$AZ,40,$E$3))</f>
        <v/>
      </c>
      <c r="F41" s="8">
        <f>IF(F$3="","",IFERROR(LEFT(TRIM(INDEX(Forms貼り付け!$A:$AZ,40,F$3)),1),""))</f>
        <v/>
      </c>
      <c r="G41" s="8">
        <f>IF(G$3="","",IFERROR(LEFT(TRIM(INDEX(Forms貼り付け!$A:$AZ,40,G$3)),1),""))</f>
        <v/>
      </c>
      <c r="H41" s="8">
        <f>IF(H$3="","",IFERROR(LEFT(TRIM(INDEX(Forms貼り付け!$A:$AZ,40,H$3)),1),""))</f>
        <v/>
      </c>
      <c r="I41" s="8">
        <f>IF(I$3="","",IFERROR(LEFT(TRIM(INDEX(Forms貼り付け!$A:$AZ,40,I$3)),1),""))</f>
        <v/>
      </c>
      <c r="J41" s="8">
        <f>IF(J$3="","",IFERROR(LEFT(TRIM(INDEX(Forms貼り付け!$A:$AZ,40,J$3)),1),""))</f>
        <v/>
      </c>
      <c r="K41" s="8">
        <f>IF(K$3="","",IFERROR(LEFT(TRIM(INDEX(Forms貼り付け!$A:$AZ,40,K$3)),1),""))</f>
        <v/>
      </c>
      <c r="L41" s="8">
        <f>IF(L$3="","",IFERROR(LEFT(TRIM(INDEX(Forms貼り付け!$A:$AZ,40,L$3)),1),""))</f>
        <v/>
      </c>
      <c r="M41" s="8">
        <f>IF(M$3="","",IFERROR(LEFT(TRIM(INDEX(Forms貼り付け!$A:$AZ,40,M$3)),1),""))</f>
        <v/>
      </c>
      <c r="N41" s="8">
        <f>IF(N$3="","",IFERROR(LEFT(TRIM(INDEX(Forms貼り付け!$A:$AZ,40,N$3)),1),""))</f>
        <v/>
      </c>
      <c r="O41" s="8">
        <f>IF(O$3="","",IFERROR(LEFT(TRIM(INDEX(Forms貼り付け!$A:$AZ,40,O$3)),1),""))</f>
        <v/>
      </c>
      <c r="P41" s="8">
        <f>IF(P$3="","",IFERROR(LEFT(TRIM(INDEX(Forms貼り付け!$A:$AZ,40,P$3)),1),""))</f>
        <v/>
      </c>
      <c r="Q41" s="8">
        <f>IF(Q$3="","",IFERROR(LEFT(TRIM(INDEX(Forms貼り付け!$A:$AZ,40,Q$3)),1),""))</f>
        <v/>
      </c>
      <c r="R41" s="8">
        <f>IF(R$3="","",IFERROR(LEFT(TRIM(INDEX(Forms貼り付け!$A:$AZ,40,R$3)),1),""))</f>
        <v/>
      </c>
      <c r="S41" s="8">
        <f>IF(S$3="","",IFERROR(LEFT(TRIM(INDEX(Forms貼り付け!$A:$AZ,40,S$3)),1),""))</f>
        <v/>
      </c>
      <c r="T41" s="8">
        <f>IF(T$3="","",IFERROR(LEFT(TRIM(INDEX(Forms貼り付け!$A:$AZ,40,T$3)),1),""))</f>
        <v/>
      </c>
      <c r="U41" s="8">
        <f>IF(U$3="","",IFERROR(LEFT(TRIM(INDEX(Forms貼り付け!$A:$AZ,40,U$3)),1),""))</f>
        <v/>
      </c>
      <c r="V41" s="8">
        <f>IF(V$3="","",IFERROR(LEFT(TRIM(INDEX(Forms貼り付け!$A:$AZ,40,V$3)),1),""))</f>
        <v/>
      </c>
      <c r="W41" s="8">
        <f>IF(W$3="","",IFERROR(LEFT(TRIM(INDEX(Forms貼り付け!$A:$AZ,40,W$3)),1),""))</f>
        <v/>
      </c>
      <c r="X41" s="8">
        <f>IF(X$3="","",IFERROR(LEFT(TRIM(INDEX(Forms貼り付け!$A:$AZ,40,X$3)),1),""))</f>
        <v/>
      </c>
      <c r="Y41" s="8">
        <f>IF(Y$3="","",IFERROR(LEFT(TRIM(INDEX(Forms貼り付け!$A:$AZ,40,Y$3)),1),""))</f>
        <v/>
      </c>
      <c r="Z41" s="8">
        <f>IF(Z$3="","",IFERROR(LEFT(TRIM(INDEX(Forms貼り付け!$A:$AZ,40,Z$3)),1),""))</f>
        <v/>
      </c>
      <c r="AA41" s="8">
        <f>IF(AA$3="","",IFERROR(LEFT(TRIM(INDEX(Forms貼り付け!$A:$AZ,40,AA$3)),1),""))</f>
        <v/>
      </c>
      <c r="AB41" s="8">
        <f>IF(AB$3="","",IFERROR(LEFT(TRIM(INDEX(Forms貼り付け!$A:$AZ,40,AB$3)),1),""))</f>
        <v/>
      </c>
      <c r="AC41" s="8">
        <f>IF(AC$3="","",IFERROR(LEFT(TRIM(INDEX(Forms貼り付け!$A:$AZ,40,AC$3)),1),""))</f>
        <v/>
      </c>
      <c r="AD41" s="8">
        <f>IF(AD$3="","",IFERROR(LEFT(TRIM(INDEX(Forms貼り付け!$A:$AZ,40,AD$3)),1),""))</f>
        <v/>
      </c>
      <c r="AE41" s="8">
        <f>IF(AE$3="","",IFERROR(LEFT(TRIM(INDEX(Forms貼り付け!$A:$AZ,40,AE$3)),1),""))</f>
        <v/>
      </c>
      <c r="AF41" s="8">
        <f>IF(AF$3="","",IFERROR(LEFT(TRIM(INDEX(Forms貼り付け!$A:$AZ,40,AF$3)),1),""))</f>
        <v/>
      </c>
      <c r="AG41" s="8">
        <f>IF(AG$3="","",IFERROR(LEFT(TRIM(INDEX(Forms貼り付け!$A:$AZ,40,AG$3)),1),""))</f>
        <v/>
      </c>
      <c r="AH41" s="8">
        <f>IF(AH$3="","",IFERROR(LEFT(TRIM(INDEX(Forms貼り付け!$A:$AZ,40,AH$3)),1),""))</f>
        <v/>
      </c>
      <c r="AI41" s="8">
        <f>IF(AI$3="","",IFERROR(LEFT(TRIM(INDEX(Forms貼り付け!$A:$AZ,40,AI$3)),1),""))</f>
        <v/>
      </c>
      <c r="AJ41" s="8">
        <f>IF(AJ$3="","",IFERROR(LEFT(TRIM(INDEX(Forms貼り付け!$A:$AZ,40,AJ$3)),1),""))</f>
        <v/>
      </c>
      <c r="AK41" s="8">
        <f>IF(AK$3="","",IFERROR(LEFT(TRIM(INDEX(Forms貼り付け!$A:$AZ,40,AK$3)),1),""))</f>
        <v/>
      </c>
      <c r="AL41" s="8">
        <f>IF(AL$3="","",IFERROR(LEFT(TRIM(INDEX(Forms貼り付け!$A:$AZ,40,AL$3)),1),""))</f>
        <v/>
      </c>
      <c r="AM41" s="8">
        <f>IF(AM$3="","",IFERROR(LEFT(TRIM(INDEX(Forms貼り付け!$A:$AZ,40,AM$3)),1),""))</f>
        <v/>
      </c>
      <c r="AN41" s="8">
        <f>IF(AN$3="","",IFERROR(LEFT(TRIM(INDEX(Forms貼り付け!$A:$AZ,40,AN$3)),1),""))</f>
        <v/>
      </c>
      <c r="AO41" s="8">
        <f>IF(AO$3="","",IFERROR(LEFT(TRIM(INDEX(Forms貼り付け!$A:$AZ,40,AO$3)),1),""))</f>
        <v/>
      </c>
      <c r="AP41" s="8">
        <f>IF(AP$3="","",IFERROR(LEFT(TRIM(INDEX(Forms貼り付け!$A:$AZ,40,AP$3)),1),""))</f>
        <v/>
      </c>
      <c r="AQ41" s="8">
        <f>IF(AQ$3="","",IFERROR(LEFT(TRIM(INDEX(Forms貼り付け!$A:$AZ,40,AQ$3)),1),""))</f>
        <v/>
      </c>
      <c r="AR41" s="8">
        <f>IF(AR$3="","",IFERROR(LEFT(TRIM(INDEX(Forms貼り付け!$A:$AZ,40,AR$3)),1),""))</f>
        <v/>
      </c>
      <c r="AS41" s="8">
        <f>IF(AS$3="","",IFERROR(LEFT(TRIM(INDEX(Forms貼り付け!$A:$AZ,40,AS$3)),1),""))</f>
        <v/>
      </c>
      <c r="AT41" s="8">
        <f>IF(AT$3="","",IFERROR(LEFT(TRIM(INDEX(Forms貼り付け!$A:$AZ,40,AT$3)),1),""))</f>
        <v/>
      </c>
      <c r="AU41" s="8">
        <f>IF(AU$3="","",IFERROR(LEFT(TRIM(INDEX(Forms貼り付け!$A:$AZ,40,AU$3)),1),""))</f>
        <v/>
      </c>
      <c r="AV41" s="8">
        <f>IF(AV$3="","",IFERROR(LEFT(TRIM(INDEX(Forms貼り付け!$A:$AZ,40,AV$3)),1),""))</f>
        <v/>
      </c>
      <c r="AW41" s="8">
        <f>IF(AW$3="","",IFERROR(LEFT(TRIM(INDEX(Forms貼り付け!$A:$AZ,40,AW$3)),1),""))</f>
        <v/>
      </c>
      <c r="AX41" s="8">
        <f>IF(AX$3="","",IFERROR(LEFT(TRIM(INDEX(Forms貼り付け!$A:$AZ,40,AX$3)),1),""))</f>
        <v/>
      </c>
      <c r="AY41" s="8">
        <f>IF(AY$3="","",IFERROR(LEFT(TRIM(INDEX(Forms貼り付け!$A:$AZ,40,AY$3)),1),""))</f>
        <v/>
      </c>
      <c r="AZ41" s="8">
        <f>IF(AZ$3="","",IFERROR(LEFT(TRIM(INDEX(Forms貼り付け!$A:$AZ,40,AZ$3)),1),""))</f>
        <v/>
      </c>
      <c r="BA41" s="8">
        <f>IF(BA$3="","",IFERROR(LEFT(TRIM(INDEX(Forms貼り付け!$A:$AZ,40,BA$3)),1),""))</f>
        <v/>
      </c>
      <c r="BB41" s="8">
        <f>IF(BB$3="","",IFERROR(LEFT(TRIM(INDEX(Forms貼り付け!$A:$AZ,40,BB$3)),1),""))</f>
        <v/>
      </c>
      <c r="BC41" s="8">
        <f>IF(BC$3="","",IFERROR(LEFT(TRIM(INDEX(Forms貼り付け!$A:$AZ,40,BC$3)),1),""))</f>
        <v/>
      </c>
    </row>
    <row r="42">
      <c r="A42" s="8" t="inlineStr">
        <is>
          <t>U038</t>
        </is>
      </c>
      <c r="B42" s="9">
        <f>IF($B$3="","",INDEX(Forms貼り付け!$A:$AZ,41,$B$3))</f>
        <v/>
      </c>
      <c r="C42" s="9">
        <f>IF($C$3="","",INDEX(Forms貼り付け!$A:$AZ,41,$C$3))</f>
        <v/>
      </c>
      <c r="D42" s="8">
        <f>IF($D$3="","",INDEX(Forms貼り付け!$A:$AZ,41,$D$3))</f>
        <v/>
      </c>
      <c r="E42" s="8">
        <f>IF($E$3="","",INDEX(Forms貼り付け!$A:$AZ,41,$E$3))</f>
        <v/>
      </c>
      <c r="F42" s="8">
        <f>IF(F$3="","",IFERROR(LEFT(TRIM(INDEX(Forms貼り付け!$A:$AZ,41,F$3)),1),""))</f>
        <v/>
      </c>
      <c r="G42" s="8">
        <f>IF(G$3="","",IFERROR(LEFT(TRIM(INDEX(Forms貼り付け!$A:$AZ,41,G$3)),1),""))</f>
        <v/>
      </c>
      <c r="H42" s="8">
        <f>IF(H$3="","",IFERROR(LEFT(TRIM(INDEX(Forms貼り付け!$A:$AZ,41,H$3)),1),""))</f>
        <v/>
      </c>
      <c r="I42" s="8">
        <f>IF(I$3="","",IFERROR(LEFT(TRIM(INDEX(Forms貼り付け!$A:$AZ,41,I$3)),1),""))</f>
        <v/>
      </c>
      <c r="J42" s="8">
        <f>IF(J$3="","",IFERROR(LEFT(TRIM(INDEX(Forms貼り付け!$A:$AZ,41,J$3)),1),""))</f>
        <v/>
      </c>
      <c r="K42" s="8">
        <f>IF(K$3="","",IFERROR(LEFT(TRIM(INDEX(Forms貼り付け!$A:$AZ,41,K$3)),1),""))</f>
        <v/>
      </c>
      <c r="L42" s="8">
        <f>IF(L$3="","",IFERROR(LEFT(TRIM(INDEX(Forms貼り付け!$A:$AZ,41,L$3)),1),""))</f>
        <v/>
      </c>
      <c r="M42" s="8">
        <f>IF(M$3="","",IFERROR(LEFT(TRIM(INDEX(Forms貼り付け!$A:$AZ,41,M$3)),1),""))</f>
        <v/>
      </c>
      <c r="N42" s="8">
        <f>IF(N$3="","",IFERROR(LEFT(TRIM(INDEX(Forms貼り付け!$A:$AZ,41,N$3)),1),""))</f>
        <v/>
      </c>
      <c r="O42" s="8">
        <f>IF(O$3="","",IFERROR(LEFT(TRIM(INDEX(Forms貼り付け!$A:$AZ,41,O$3)),1),""))</f>
        <v/>
      </c>
      <c r="P42" s="8">
        <f>IF(P$3="","",IFERROR(LEFT(TRIM(INDEX(Forms貼り付け!$A:$AZ,41,P$3)),1),""))</f>
        <v/>
      </c>
      <c r="Q42" s="8">
        <f>IF(Q$3="","",IFERROR(LEFT(TRIM(INDEX(Forms貼り付け!$A:$AZ,41,Q$3)),1),""))</f>
        <v/>
      </c>
      <c r="R42" s="8">
        <f>IF(R$3="","",IFERROR(LEFT(TRIM(INDEX(Forms貼り付け!$A:$AZ,41,R$3)),1),""))</f>
        <v/>
      </c>
      <c r="S42" s="8">
        <f>IF(S$3="","",IFERROR(LEFT(TRIM(INDEX(Forms貼り付け!$A:$AZ,41,S$3)),1),""))</f>
        <v/>
      </c>
      <c r="T42" s="8">
        <f>IF(T$3="","",IFERROR(LEFT(TRIM(INDEX(Forms貼り付け!$A:$AZ,41,T$3)),1),""))</f>
        <v/>
      </c>
      <c r="U42" s="8">
        <f>IF(U$3="","",IFERROR(LEFT(TRIM(INDEX(Forms貼り付け!$A:$AZ,41,U$3)),1),""))</f>
        <v/>
      </c>
      <c r="V42" s="8">
        <f>IF(V$3="","",IFERROR(LEFT(TRIM(INDEX(Forms貼り付け!$A:$AZ,41,V$3)),1),""))</f>
        <v/>
      </c>
      <c r="W42" s="8">
        <f>IF(W$3="","",IFERROR(LEFT(TRIM(INDEX(Forms貼り付け!$A:$AZ,41,W$3)),1),""))</f>
        <v/>
      </c>
      <c r="X42" s="8">
        <f>IF(X$3="","",IFERROR(LEFT(TRIM(INDEX(Forms貼り付け!$A:$AZ,41,X$3)),1),""))</f>
        <v/>
      </c>
      <c r="Y42" s="8">
        <f>IF(Y$3="","",IFERROR(LEFT(TRIM(INDEX(Forms貼り付け!$A:$AZ,41,Y$3)),1),""))</f>
        <v/>
      </c>
      <c r="Z42" s="8">
        <f>IF(Z$3="","",IFERROR(LEFT(TRIM(INDEX(Forms貼り付け!$A:$AZ,41,Z$3)),1),""))</f>
        <v/>
      </c>
      <c r="AA42" s="8">
        <f>IF(AA$3="","",IFERROR(LEFT(TRIM(INDEX(Forms貼り付け!$A:$AZ,41,AA$3)),1),""))</f>
        <v/>
      </c>
      <c r="AB42" s="8">
        <f>IF(AB$3="","",IFERROR(LEFT(TRIM(INDEX(Forms貼り付け!$A:$AZ,41,AB$3)),1),""))</f>
        <v/>
      </c>
      <c r="AC42" s="8">
        <f>IF(AC$3="","",IFERROR(LEFT(TRIM(INDEX(Forms貼り付け!$A:$AZ,41,AC$3)),1),""))</f>
        <v/>
      </c>
      <c r="AD42" s="8">
        <f>IF(AD$3="","",IFERROR(LEFT(TRIM(INDEX(Forms貼り付け!$A:$AZ,41,AD$3)),1),""))</f>
        <v/>
      </c>
      <c r="AE42" s="8">
        <f>IF(AE$3="","",IFERROR(LEFT(TRIM(INDEX(Forms貼り付け!$A:$AZ,41,AE$3)),1),""))</f>
        <v/>
      </c>
      <c r="AF42" s="8">
        <f>IF(AF$3="","",IFERROR(LEFT(TRIM(INDEX(Forms貼り付け!$A:$AZ,41,AF$3)),1),""))</f>
        <v/>
      </c>
      <c r="AG42" s="8">
        <f>IF(AG$3="","",IFERROR(LEFT(TRIM(INDEX(Forms貼り付け!$A:$AZ,41,AG$3)),1),""))</f>
        <v/>
      </c>
      <c r="AH42" s="8">
        <f>IF(AH$3="","",IFERROR(LEFT(TRIM(INDEX(Forms貼り付け!$A:$AZ,41,AH$3)),1),""))</f>
        <v/>
      </c>
      <c r="AI42" s="8">
        <f>IF(AI$3="","",IFERROR(LEFT(TRIM(INDEX(Forms貼り付け!$A:$AZ,41,AI$3)),1),""))</f>
        <v/>
      </c>
      <c r="AJ42" s="8">
        <f>IF(AJ$3="","",IFERROR(LEFT(TRIM(INDEX(Forms貼り付け!$A:$AZ,41,AJ$3)),1),""))</f>
        <v/>
      </c>
      <c r="AK42" s="8">
        <f>IF(AK$3="","",IFERROR(LEFT(TRIM(INDEX(Forms貼り付け!$A:$AZ,41,AK$3)),1),""))</f>
        <v/>
      </c>
      <c r="AL42" s="8">
        <f>IF(AL$3="","",IFERROR(LEFT(TRIM(INDEX(Forms貼り付け!$A:$AZ,41,AL$3)),1),""))</f>
        <v/>
      </c>
      <c r="AM42" s="8">
        <f>IF(AM$3="","",IFERROR(LEFT(TRIM(INDEX(Forms貼り付け!$A:$AZ,41,AM$3)),1),""))</f>
        <v/>
      </c>
      <c r="AN42" s="8">
        <f>IF(AN$3="","",IFERROR(LEFT(TRIM(INDEX(Forms貼り付け!$A:$AZ,41,AN$3)),1),""))</f>
        <v/>
      </c>
      <c r="AO42" s="8">
        <f>IF(AO$3="","",IFERROR(LEFT(TRIM(INDEX(Forms貼り付け!$A:$AZ,41,AO$3)),1),""))</f>
        <v/>
      </c>
      <c r="AP42" s="8">
        <f>IF(AP$3="","",IFERROR(LEFT(TRIM(INDEX(Forms貼り付け!$A:$AZ,41,AP$3)),1),""))</f>
        <v/>
      </c>
      <c r="AQ42" s="8">
        <f>IF(AQ$3="","",IFERROR(LEFT(TRIM(INDEX(Forms貼り付け!$A:$AZ,41,AQ$3)),1),""))</f>
        <v/>
      </c>
      <c r="AR42" s="8">
        <f>IF(AR$3="","",IFERROR(LEFT(TRIM(INDEX(Forms貼り付け!$A:$AZ,41,AR$3)),1),""))</f>
        <v/>
      </c>
      <c r="AS42" s="8">
        <f>IF(AS$3="","",IFERROR(LEFT(TRIM(INDEX(Forms貼り付け!$A:$AZ,41,AS$3)),1),""))</f>
        <v/>
      </c>
      <c r="AT42" s="8">
        <f>IF(AT$3="","",IFERROR(LEFT(TRIM(INDEX(Forms貼り付け!$A:$AZ,41,AT$3)),1),""))</f>
        <v/>
      </c>
      <c r="AU42" s="8">
        <f>IF(AU$3="","",IFERROR(LEFT(TRIM(INDEX(Forms貼り付け!$A:$AZ,41,AU$3)),1),""))</f>
        <v/>
      </c>
      <c r="AV42" s="8">
        <f>IF(AV$3="","",IFERROR(LEFT(TRIM(INDEX(Forms貼り付け!$A:$AZ,41,AV$3)),1),""))</f>
        <v/>
      </c>
      <c r="AW42" s="8">
        <f>IF(AW$3="","",IFERROR(LEFT(TRIM(INDEX(Forms貼り付け!$A:$AZ,41,AW$3)),1),""))</f>
        <v/>
      </c>
      <c r="AX42" s="8">
        <f>IF(AX$3="","",IFERROR(LEFT(TRIM(INDEX(Forms貼り付け!$A:$AZ,41,AX$3)),1),""))</f>
        <v/>
      </c>
      <c r="AY42" s="8">
        <f>IF(AY$3="","",IFERROR(LEFT(TRIM(INDEX(Forms貼り付け!$A:$AZ,41,AY$3)),1),""))</f>
        <v/>
      </c>
      <c r="AZ42" s="8">
        <f>IF(AZ$3="","",IFERROR(LEFT(TRIM(INDEX(Forms貼り付け!$A:$AZ,41,AZ$3)),1),""))</f>
        <v/>
      </c>
      <c r="BA42" s="8">
        <f>IF(BA$3="","",IFERROR(LEFT(TRIM(INDEX(Forms貼り付け!$A:$AZ,41,BA$3)),1),""))</f>
        <v/>
      </c>
      <c r="BB42" s="8">
        <f>IF(BB$3="","",IFERROR(LEFT(TRIM(INDEX(Forms貼り付け!$A:$AZ,41,BB$3)),1),""))</f>
        <v/>
      </c>
      <c r="BC42" s="8">
        <f>IF(BC$3="","",IFERROR(LEFT(TRIM(INDEX(Forms貼り付け!$A:$AZ,41,BC$3)),1),""))</f>
        <v/>
      </c>
    </row>
    <row r="43">
      <c r="A43" s="8" t="inlineStr">
        <is>
          <t>U039</t>
        </is>
      </c>
      <c r="B43" s="9">
        <f>IF($B$3="","",INDEX(Forms貼り付け!$A:$AZ,42,$B$3))</f>
        <v/>
      </c>
      <c r="C43" s="9">
        <f>IF($C$3="","",INDEX(Forms貼り付け!$A:$AZ,42,$C$3))</f>
        <v/>
      </c>
      <c r="D43" s="8">
        <f>IF($D$3="","",INDEX(Forms貼り付け!$A:$AZ,42,$D$3))</f>
        <v/>
      </c>
      <c r="E43" s="8">
        <f>IF($E$3="","",INDEX(Forms貼り付け!$A:$AZ,42,$E$3))</f>
        <v/>
      </c>
      <c r="F43" s="8">
        <f>IF(F$3="","",IFERROR(LEFT(TRIM(INDEX(Forms貼り付け!$A:$AZ,42,F$3)),1),""))</f>
        <v/>
      </c>
      <c r="G43" s="8">
        <f>IF(G$3="","",IFERROR(LEFT(TRIM(INDEX(Forms貼り付け!$A:$AZ,42,G$3)),1),""))</f>
        <v/>
      </c>
      <c r="H43" s="8">
        <f>IF(H$3="","",IFERROR(LEFT(TRIM(INDEX(Forms貼り付け!$A:$AZ,42,H$3)),1),""))</f>
        <v/>
      </c>
      <c r="I43" s="8">
        <f>IF(I$3="","",IFERROR(LEFT(TRIM(INDEX(Forms貼り付け!$A:$AZ,42,I$3)),1),""))</f>
        <v/>
      </c>
      <c r="J43" s="8">
        <f>IF(J$3="","",IFERROR(LEFT(TRIM(INDEX(Forms貼り付け!$A:$AZ,42,J$3)),1),""))</f>
        <v/>
      </c>
      <c r="K43" s="8">
        <f>IF(K$3="","",IFERROR(LEFT(TRIM(INDEX(Forms貼り付け!$A:$AZ,42,K$3)),1),""))</f>
        <v/>
      </c>
      <c r="L43" s="8">
        <f>IF(L$3="","",IFERROR(LEFT(TRIM(INDEX(Forms貼り付け!$A:$AZ,42,L$3)),1),""))</f>
        <v/>
      </c>
      <c r="M43" s="8">
        <f>IF(M$3="","",IFERROR(LEFT(TRIM(INDEX(Forms貼り付け!$A:$AZ,42,M$3)),1),""))</f>
        <v/>
      </c>
      <c r="N43" s="8">
        <f>IF(N$3="","",IFERROR(LEFT(TRIM(INDEX(Forms貼り付け!$A:$AZ,42,N$3)),1),""))</f>
        <v/>
      </c>
      <c r="O43" s="8">
        <f>IF(O$3="","",IFERROR(LEFT(TRIM(INDEX(Forms貼り付け!$A:$AZ,42,O$3)),1),""))</f>
        <v/>
      </c>
      <c r="P43" s="8">
        <f>IF(P$3="","",IFERROR(LEFT(TRIM(INDEX(Forms貼り付け!$A:$AZ,42,P$3)),1),""))</f>
        <v/>
      </c>
      <c r="Q43" s="8">
        <f>IF(Q$3="","",IFERROR(LEFT(TRIM(INDEX(Forms貼り付け!$A:$AZ,42,Q$3)),1),""))</f>
        <v/>
      </c>
      <c r="R43" s="8">
        <f>IF(R$3="","",IFERROR(LEFT(TRIM(INDEX(Forms貼り付け!$A:$AZ,42,R$3)),1),""))</f>
        <v/>
      </c>
      <c r="S43" s="8">
        <f>IF(S$3="","",IFERROR(LEFT(TRIM(INDEX(Forms貼り付け!$A:$AZ,42,S$3)),1),""))</f>
        <v/>
      </c>
      <c r="T43" s="8">
        <f>IF(T$3="","",IFERROR(LEFT(TRIM(INDEX(Forms貼り付け!$A:$AZ,42,T$3)),1),""))</f>
        <v/>
      </c>
      <c r="U43" s="8">
        <f>IF(U$3="","",IFERROR(LEFT(TRIM(INDEX(Forms貼り付け!$A:$AZ,42,U$3)),1),""))</f>
        <v/>
      </c>
      <c r="V43" s="8">
        <f>IF(V$3="","",IFERROR(LEFT(TRIM(INDEX(Forms貼り付け!$A:$AZ,42,V$3)),1),""))</f>
        <v/>
      </c>
      <c r="W43" s="8">
        <f>IF(W$3="","",IFERROR(LEFT(TRIM(INDEX(Forms貼り付け!$A:$AZ,42,W$3)),1),""))</f>
        <v/>
      </c>
      <c r="X43" s="8">
        <f>IF(X$3="","",IFERROR(LEFT(TRIM(INDEX(Forms貼り付け!$A:$AZ,42,X$3)),1),""))</f>
        <v/>
      </c>
      <c r="Y43" s="8">
        <f>IF(Y$3="","",IFERROR(LEFT(TRIM(INDEX(Forms貼り付け!$A:$AZ,42,Y$3)),1),""))</f>
        <v/>
      </c>
      <c r="Z43" s="8">
        <f>IF(Z$3="","",IFERROR(LEFT(TRIM(INDEX(Forms貼り付け!$A:$AZ,42,Z$3)),1),""))</f>
        <v/>
      </c>
      <c r="AA43" s="8">
        <f>IF(AA$3="","",IFERROR(LEFT(TRIM(INDEX(Forms貼り付け!$A:$AZ,42,AA$3)),1),""))</f>
        <v/>
      </c>
      <c r="AB43" s="8">
        <f>IF(AB$3="","",IFERROR(LEFT(TRIM(INDEX(Forms貼り付け!$A:$AZ,42,AB$3)),1),""))</f>
        <v/>
      </c>
      <c r="AC43" s="8">
        <f>IF(AC$3="","",IFERROR(LEFT(TRIM(INDEX(Forms貼り付け!$A:$AZ,42,AC$3)),1),""))</f>
        <v/>
      </c>
      <c r="AD43" s="8">
        <f>IF(AD$3="","",IFERROR(LEFT(TRIM(INDEX(Forms貼り付け!$A:$AZ,42,AD$3)),1),""))</f>
        <v/>
      </c>
      <c r="AE43" s="8">
        <f>IF(AE$3="","",IFERROR(LEFT(TRIM(INDEX(Forms貼り付け!$A:$AZ,42,AE$3)),1),""))</f>
        <v/>
      </c>
      <c r="AF43" s="8">
        <f>IF(AF$3="","",IFERROR(LEFT(TRIM(INDEX(Forms貼り付け!$A:$AZ,42,AF$3)),1),""))</f>
        <v/>
      </c>
      <c r="AG43" s="8">
        <f>IF(AG$3="","",IFERROR(LEFT(TRIM(INDEX(Forms貼り付け!$A:$AZ,42,AG$3)),1),""))</f>
        <v/>
      </c>
      <c r="AH43" s="8">
        <f>IF(AH$3="","",IFERROR(LEFT(TRIM(INDEX(Forms貼り付け!$A:$AZ,42,AH$3)),1),""))</f>
        <v/>
      </c>
      <c r="AI43" s="8">
        <f>IF(AI$3="","",IFERROR(LEFT(TRIM(INDEX(Forms貼り付け!$A:$AZ,42,AI$3)),1),""))</f>
        <v/>
      </c>
      <c r="AJ43" s="8">
        <f>IF(AJ$3="","",IFERROR(LEFT(TRIM(INDEX(Forms貼り付け!$A:$AZ,42,AJ$3)),1),""))</f>
        <v/>
      </c>
      <c r="AK43" s="8">
        <f>IF(AK$3="","",IFERROR(LEFT(TRIM(INDEX(Forms貼り付け!$A:$AZ,42,AK$3)),1),""))</f>
        <v/>
      </c>
      <c r="AL43" s="8">
        <f>IF(AL$3="","",IFERROR(LEFT(TRIM(INDEX(Forms貼り付け!$A:$AZ,42,AL$3)),1),""))</f>
        <v/>
      </c>
      <c r="AM43" s="8">
        <f>IF(AM$3="","",IFERROR(LEFT(TRIM(INDEX(Forms貼り付け!$A:$AZ,42,AM$3)),1),""))</f>
        <v/>
      </c>
      <c r="AN43" s="8">
        <f>IF(AN$3="","",IFERROR(LEFT(TRIM(INDEX(Forms貼り付け!$A:$AZ,42,AN$3)),1),""))</f>
        <v/>
      </c>
      <c r="AO43" s="8">
        <f>IF(AO$3="","",IFERROR(LEFT(TRIM(INDEX(Forms貼り付け!$A:$AZ,42,AO$3)),1),""))</f>
        <v/>
      </c>
      <c r="AP43" s="8">
        <f>IF(AP$3="","",IFERROR(LEFT(TRIM(INDEX(Forms貼り付け!$A:$AZ,42,AP$3)),1),""))</f>
        <v/>
      </c>
      <c r="AQ43" s="8">
        <f>IF(AQ$3="","",IFERROR(LEFT(TRIM(INDEX(Forms貼り付け!$A:$AZ,42,AQ$3)),1),""))</f>
        <v/>
      </c>
      <c r="AR43" s="8">
        <f>IF(AR$3="","",IFERROR(LEFT(TRIM(INDEX(Forms貼り付け!$A:$AZ,42,AR$3)),1),""))</f>
        <v/>
      </c>
      <c r="AS43" s="8">
        <f>IF(AS$3="","",IFERROR(LEFT(TRIM(INDEX(Forms貼り付け!$A:$AZ,42,AS$3)),1),""))</f>
        <v/>
      </c>
      <c r="AT43" s="8">
        <f>IF(AT$3="","",IFERROR(LEFT(TRIM(INDEX(Forms貼り付け!$A:$AZ,42,AT$3)),1),""))</f>
        <v/>
      </c>
      <c r="AU43" s="8">
        <f>IF(AU$3="","",IFERROR(LEFT(TRIM(INDEX(Forms貼り付け!$A:$AZ,42,AU$3)),1),""))</f>
        <v/>
      </c>
      <c r="AV43" s="8">
        <f>IF(AV$3="","",IFERROR(LEFT(TRIM(INDEX(Forms貼り付け!$A:$AZ,42,AV$3)),1),""))</f>
        <v/>
      </c>
      <c r="AW43" s="8">
        <f>IF(AW$3="","",IFERROR(LEFT(TRIM(INDEX(Forms貼り付け!$A:$AZ,42,AW$3)),1),""))</f>
        <v/>
      </c>
      <c r="AX43" s="8">
        <f>IF(AX$3="","",IFERROR(LEFT(TRIM(INDEX(Forms貼り付け!$A:$AZ,42,AX$3)),1),""))</f>
        <v/>
      </c>
      <c r="AY43" s="8">
        <f>IF(AY$3="","",IFERROR(LEFT(TRIM(INDEX(Forms貼り付け!$A:$AZ,42,AY$3)),1),""))</f>
        <v/>
      </c>
      <c r="AZ43" s="8">
        <f>IF(AZ$3="","",IFERROR(LEFT(TRIM(INDEX(Forms貼り付け!$A:$AZ,42,AZ$3)),1),""))</f>
        <v/>
      </c>
      <c r="BA43" s="8">
        <f>IF(BA$3="","",IFERROR(LEFT(TRIM(INDEX(Forms貼り付け!$A:$AZ,42,BA$3)),1),""))</f>
        <v/>
      </c>
      <c r="BB43" s="8">
        <f>IF(BB$3="","",IFERROR(LEFT(TRIM(INDEX(Forms貼り付け!$A:$AZ,42,BB$3)),1),""))</f>
        <v/>
      </c>
      <c r="BC43" s="8">
        <f>IF(BC$3="","",IFERROR(LEFT(TRIM(INDEX(Forms貼り付け!$A:$AZ,42,BC$3)),1),""))</f>
        <v/>
      </c>
    </row>
    <row r="44">
      <c r="A44" s="8" t="inlineStr">
        <is>
          <t>U040</t>
        </is>
      </c>
      <c r="B44" s="9">
        <f>IF($B$3="","",INDEX(Forms貼り付け!$A:$AZ,43,$B$3))</f>
        <v/>
      </c>
      <c r="C44" s="9">
        <f>IF($C$3="","",INDEX(Forms貼り付け!$A:$AZ,43,$C$3))</f>
        <v/>
      </c>
      <c r="D44" s="8">
        <f>IF($D$3="","",INDEX(Forms貼り付け!$A:$AZ,43,$D$3))</f>
        <v/>
      </c>
      <c r="E44" s="8">
        <f>IF($E$3="","",INDEX(Forms貼り付け!$A:$AZ,43,$E$3))</f>
        <v/>
      </c>
      <c r="F44" s="8">
        <f>IF(F$3="","",IFERROR(LEFT(TRIM(INDEX(Forms貼り付け!$A:$AZ,43,F$3)),1),""))</f>
        <v/>
      </c>
      <c r="G44" s="8">
        <f>IF(G$3="","",IFERROR(LEFT(TRIM(INDEX(Forms貼り付け!$A:$AZ,43,G$3)),1),""))</f>
        <v/>
      </c>
      <c r="H44" s="8">
        <f>IF(H$3="","",IFERROR(LEFT(TRIM(INDEX(Forms貼り付け!$A:$AZ,43,H$3)),1),""))</f>
        <v/>
      </c>
      <c r="I44" s="8">
        <f>IF(I$3="","",IFERROR(LEFT(TRIM(INDEX(Forms貼り付け!$A:$AZ,43,I$3)),1),""))</f>
        <v/>
      </c>
      <c r="J44" s="8">
        <f>IF(J$3="","",IFERROR(LEFT(TRIM(INDEX(Forms貼り付け!$A:$AZ,43,J$3)),1),""))</f>
        <v/>
      </c>
      <c r="K44" s="8">
        <f>IF(K$3="","",IFERROR(LEFT(TRIM(INDEX(Forms貼り付け!$A:$AZ,43,K$3)),1),""))</f>
        <v/>
      </c>
      <c r="L44" s="8">
        <f>IF(L$3="","",IFERROR(LEFT(TRIM(INDEX(Forms貼り付け!$A:$AZ,43,L$3)),1),""))</f>
        <v/>
      </c>
      <c r="M44" s="8">
        <f>IF(M$3="","",IFERROR(LEFT(TRIM(INDEX(Forms貼り付け!$A:$AZ,43,M$3)),1),""))</f>
        <v/>
      </c>
      <c r="N44" s="8">
        <f>IF(N$3="","",IFERROR(LEFT(TRIM(INDEX(Forms貼り付け!$A:$AZ,43,N$3)),1),""))</f>
        <v/>
      </c>
      <c r="O44" s="8">
        <f>IF(O$3="","",IFERROR(LEFT(TRIM(INDEX(Forms貼り付け!$A:$AZ,43,O$3)),1),""))</f>
        <v/>
      </c>
      <c r="P44" s="8">
        <f>IF(P$3="","",IFERROR(LEFT(TRIM(INDEX(Forms貼り付け!$A:$AZ,43,P$3)),1),""))</f>
        <v/>
      </c>
      <c r="Q44" s="8">
        <f>IF(Q$3="","",IFERROR(LEFT(TRIM(INDEX(Forms貼り付け!$A:$AZ,43,Q$3)),1),""))</f>
        <v/>
      </c>
      <c r="R44" s="8">
        <f>IF(R$3="","",IFERROR(LEFT(TRIM(INDEX(Forms貼り付け!$A:$AZ,43,R$3)),1),""))</f>
        <v/>
      </c>
      <c r="S44" s="8">
        <f>IF(S$3="","",IFERROR(LEFT(TRIM(INDEX(Forms貼り付け!$A:$AZ,43,S$3)),1),""))</f>
        <v/>
      </c>
      <c r="T44" s="8">
        <f>IF(T$3="","",IFERROR(LEFT(TRIM(INDEX(Forms貼り付け!$A:$AZ,43,T$3)),1),""))</f>
        <v/>
      </c>
      <c r="U44" s="8">
        <f>IF(U$3="","",IFERROR(LEFT(TRIM(INDEX(Forms貼り付け!$A:$AZ,43,U$3)),1),""))</f>
        <v/>
      </c>
      <c r="V44" s="8">
        <f>IF(V$3="","",IFERROR(LEFT(TRIM(INDEX(Forms貼り付け!$A:$AZ,43,V$3)),1),""))</f>
        <v/>
      </c>
      <c r="W44" s="8">
        <f>IF(W$3="","",IFERROR(LEFT(TRIM(INDEX(Forms貼り付け!$A:$AZ,43,W$3)),1),""))</f>
        <v/>
      </c>
      <c r="X44" s="8">
        <f>IF(X$3="","",IFERROR(LEFT(TRIM(INDEX(Forms貼り付け!$A:$AZ,43,X$3)),1),""))</f>
        <v/>
      </c>
      <c r="Y44" s="8">
        <f>IF(Y$3="","",IFERROR(LEFT(TRIM(INDEX(Forms貼り付け!$A:$AZ,43,Y$3)),1),""))</f>
        <v/>
      </c>
      <c r="Z44" s="8">
        <f>IF(Z$3="","",IFERROR(LEFT(TRIM(INDEX(Forms貼り付け!$A:$AZ,43,Z$3)),1),""))</f>
        <v/>
      </c>
      <c r="AA44" s="8">
        <f>IF(AA$3="","",IFERROR(LEFT(TRIM(INDEX(Forms貼り付け!$A:$AZ,43,AA$3)),1),""))</f>
        <v/>
      </c>
      <c r="AB44" s="8">
        <f>IF(AB$3="","",IFERROR(LEFT(TRIM(INDEX(Forms貼り付け!$A:$AZ,43,AB$3)),1),""))</f>
        <v/>
      </c>
      <c r="AC44" s="8">
        <f>IF(AC$3="","",IFERROR(LEFT(TRIM(INDEX(Forms貼り付け!$A:$AZ,43,AC$3)),1),""))</f>
        <v/>
      </c>
      <c r="AD44" s="8">
        <f>IF(AD$3="","",IFERROR(LEFT(TRIM(INDEX(Forms貼り付け!$A:$AZ,43,AD$3)),1),""))</f>
        <v/>
      </c>
      <c r="AE44" s="8">
        <f>IF(AE$3="","",IFERROR(LEFT(TRIM(INDEX(Forms貼り付け!$A:$AZ,43,AE$3)),1),""))</f>
        <v/>
      </c>
      <c r="AF44" s="8">
        <f>IF(AF$3="","",IFERROR(LEFT(TRIM(INDEX(Forms貼り付け!$A:$AZ,43,AF$3)),1),""))</f>
        <v/>
      </c>
      <c r="AG44" s="8">
        <f>IF(AG$3="","",IFERROR(LEFT(TRIM(INDEX(Forms貼り付け!$A:$AZ,43,AG$3)),1),""))</f>
        <v/>
      </c>
      <c r="AH44" s="8">
        <f>IF(AH$3="","",IFERROR(LEFT(TRIM(INDEX(Forms貼り付け!$A:$AZ,43,AH$3)),1),""))</f>
        <v/>
      </c>
      <c r="AI44" s="8">
        <f>IF(AI$3="","",IFERROR(LEFT(TRIM(INDEX(Forms貼り付け!$A:$AZ,43,AI$3)),1),""))</f>
        <v/>
      </c>
      <c r="AJ44" s="8">
        <f>IF(AJ$3="","",IFERROR(LEFT(TRIM(INDEX(Forms貼り付け!$A:$AZ,43,AJ$3)),1),""))</f>
        <v/>
      </c>
      <c r="AK44" s="8">
        <f>IF(AK$3="","",IFERROR(LEFT(TRIM(INDEX(Forms貼り付け!$A:$AZ,43,AK$3)),1),""))</f>
        <v/>
      </c>
      <c r="AL44" s="8">
        <f>IF(AL$3="","",IFERROR(LEFT(TRIM(INDEX(Forms貼り付け!$A:$AZ,43,AL$3)),1),""))</f>
        <v/>
      </c>
      <c r="AM44" s="8">
        <f>IF(AM$3="","",IFERROR(LEFT(TRIM(INDEX(Forms貼り付け!$A:$AZ,43,AM$3)),1),""))</f>
        <v/>
      </c>
      <c r="AN44" s="8">
        <f>IF(AN$3="","",IFERROR(LEFT(TRIM(INDEX(Forms貼り付け!$A:$AZ,43,AN$3)),1),""))</f>
        <v/>
      </c>
      <c r="AO44" s="8">
        <f>IF(AO$3="","",IFERROR(LEFT(TRIM(INDEX(Forms貼り付け!$A:$AZ,43,AO$3)),1),""))</f>
        <v/>
      </c>
      <c r="AP44" s="8">
        <f>IF(AP$3="","",IFERROR(LEFT(TRIM(INDEX(Forms貼り付け!$A:$AZ,43,AP$3)),1),""))</f>
        <v/>
      </c>
      <c r="AQ44" s="8">
        <f>IF(AQ$3="","",IFERROR(LEFT(TRIM(INDEX(Forms貼り付け!$A:$AZ,43,AQ$3)),1),""))</f>
        <v/>
      </c>
      <c r="AR44" s="8">
        <f>IF(AR$3="","",IFERROR(LEFT(TRIM(INDEX(Forms貼り付け!$A:$AZ,43,AR$3)),1),""))</f>
        <v/>
      </c>
      <c r="AS44" s="8">
        <f>IF(AS$3="","",IFERROR(LEFT(TRIM(INDEX(Forms貼り付け!$A:$AZ,43,AS$3)),1),""))</f>
        <v/>
      </c>
      <c r="AT44" s="8">
        <f>IF(AT$3="","",IFERROR(LEFT(TRIM(INDEX(Forms貼り付け!$A:$AZ,43,AT$3)),1),""))</f>
        <v/>
      </c>
      <c r="AU44" s="8">
        <f>IF(AU$3="","",IFERROR(LEFT(TRIM(INDEX(Forms貼り付け!$A:$AZ,43,AU$3)),1),""))</f>
        <v/>
      </c>
      <c r="AV44" s="8">
        <f>IF(AV$3="","",IFERROR(LEFT(TRIM(INDEX(Forms貼り付け!$A:$AZ,43,AV$3)),1),""))</f>
        <v/>
      </c>
      <c r="AW44" s="8">
        <f>IF(AW$3="","",IFERROR(LEFT(TRIM(INDEX(Forms貼り付け!$A:$AZ,43,AW$3)),1),""))</f>
        <v/>
      </c>
      <c r="AX44" s="8">
        <f>IF(AX$3="","",IFERROR(LEFT(TRIM(INDEX(Forms貼り付け!$A:$AZ,43,AX$3)),1),""))</f>
        <v/>
      </c>
      <c r="AY44" s="8">
        <f>IF(AY$3="","",IFERROR(LEFT(TRIM(INDEX(Forms貼り付け!$A:$AZ,43,AY$3)),1),""))</f>
        <v/>
      </c>
      <c r="AZ44" s="8">
        <f>IF(AZ$3="","",IFERROR(LEFT(TRIM(INDEX(Forms貼り付け!$A:$AZ,43,AZ$3)),1),""))</f>
        <v/>
      </c>
      <c r="BA44" s="8">
        <f>IF(BA$3="","",IFERROR(LEFT(TRIM(INDEX(Forms貼り付け!$A:$AZ,43,BA$3)),1),""))</f>
        <v/>
      </c>
      <c r="BB44" s="8">
        <f>IF(BB$3="","",IFERROR(LEFT(TRIM(INDEX(Forms貼り付け!$A:$AZ,43,BB$3)),1),""))</f>
        <v/>
      </c>
      <c r="BC44" s="8">
        <f>IF(BC$3="","",IFERROR(LEFT(TRIM(INDEX(Forms貼り付け!$A:$AZ,43,BC$3)),1),""))</f>
        <v/>
      </c>
    </row>
    <row r="45">
      <c r="A45" s="8" t="inlineStr">
        <is>
          <t>U041</t>
        </is>
      </c>
      <c r="B45" s="9">
        <f>IF($B$3="","",INDEX(Forms貼り付け!$A:$AZ,44,$B$3))</f>
        <v/>
      </c>
      <c r="C45" s="9">
        <f>IF($C$3="","",INDEX(Forms貼り付け!$A:$AZ,44,$C$3))</f>
        <v/>
      </c>
      <c r="D45" s="8">
        <f>IF($D$3="","",INDEX(Forms貼り付け!$A:$AZ,44,$D$3))</f>
        <v/>
      </c>
      <c r="E45" s="8">
        <f>IF($E$3="","",INDEX(Forms貼り付け!$A:$AZ,44,$E$3))</f>
        <v/>
      </c>
      <c r="F45" s="8">
        <f>IF(F$3="","",IFERROR(LEFT(TRIM(INDEX(Forms貼り付け!$A:$AZ,44,F$3)),1),""))</f>
        <v/>
      </c>
      <c r="G45" s="8">
        <f>IF(G$3="","",IFERROR(LEFT(TRIM(INDEX(Forms貼り付け!$A:$AZ,44,G$3)),1),""))</f>
        <v/>
      </c>
      <c r="H45" s="8">
        <f>IF(H$3="","",IFERROR(LEFT(TRIM(INDEX(Forms貼り付け!$A:$AZ,44,H$3)),1),""))</f>
        <v/>
      </c>
      <c r="I45" s="8">
        <f>IF(I$3="","",IFERROR(LEFT(TRIM(INDEX(Forms貼り付け!$A:$AZ,44,I$3)),1),""))</f>
        <v/>
      </c>
      <c r="J45" s="8">
        <f>IF(J$3="","",IFERROR(LEFT(TRIM(INDEX(Forms貼り付け!$A:$AZ,44,J$3)),1),""))</f>
        <v/>
      </c>
      <c r="K45" s="8">
        <f>IF(K$3="","",IFERROR(LEFT(TRIM(INDEX(Forms貼り付け!$A:$AZ,44,K$3)),1),""))</f>
        <v/>
      </c>
      <c r="L45" s="8">
        <f>IF(L$3="","",IFERROR(LEFT(TRIM(INDEX(Forms貼り付け!$A:$AZ,44,L$3)),1),""))</f>
        <v/>
      </c>
      <c r="M45" s="8">
        <f>IF(M$3="","",IFERROR(LEFT(TRIM(INDEX(Forms貼り付け!$A:$AZ,44,M$3)),1),""))</f>
        <v/>
      </c>
      <c r="N45" s="8">
        <f>IF(N$3="","",IFERROR(LEFT(TRIM(INDEX(Forms貼り付け!$A:$AZ,44,N$3)),1),""))</f>
        <v/>
      </c>
      <c r="O45" s="8">
        <f>IF(O$3="","",IFERROR(LEFT(TRIM(INDEX(Forms貼り付け!$A:$AZ,44,O$3)),1),""))</f>
        <v/>
      </c>
      <c r="P45" s="8">
        <f>IF(P$3="","",IFERROR(LEFT(TRIM(INDEX(Forms貼り付け!$A:$AZ,44,P$3)),1),""))</f>
        <v/>
      </c>
      <c r="Q45" s="8">
        <f>IF(Q$3="","",IFERROR(LEFT(TRIM(INDEX(Forms貼り付け!$A:$AZ,44,Q$3)),1),""))</f>
        <v/>
      </c>
      <c r="R45" s="8">
        <f>IF(R$3="","",IFERROR(LEFT(TRIM(INDEX(Forms貼り付け!$A:$AZ,44,R$3)),1),""))</f>
        <v/>
      </c>
      <c r="S45" s="8">
        <f>IF(S$3="","",IFERROR(LEFT(TRIM(INDEX(Forms貼り付け!$A:$AZ,44,S$3)),1),""))</f>
        <v/>
      </c>
      <c r="T45" s="8">
        <f>IF(T$3="","",IFERROR(LEFT(TRIM(INDEX(Forms貼り付け!$A:$AZ,44,T$3)),1),""))</f>
        <v/>
      </c>
      <c r="U45" s="8">
        <f>IF(U$3="","",IFERROR(LEFT(TRIM(INDEX(Forms貼り付け!$A:$AZ,44,U$3)),1),""))</f>
        <v/>
      </c>
      <c r="V45" s="8">
        <f>IF(V$3="","",IFERROR(LEFT(TRIM(INDEX(Forms貼り付け!$A:$AZ,44,V$3)),1),""))</f>
        <v/>
      </c>
      <c r="W45" s="8">
        <f>IF(W$3="","",IFERROR(LEFT(TRIM(INDEX(Forms貼り付け!$A:$AZ,44,W$3)),1),""))</f>
        <v/>
      </c>
      <c r="X45" s="8">
        <f>IF(X$3="","",IFERROR(LEFT(TRIM(INDEX(Forms貼り付け!$A:$AZ,44,X$3)),1),""))</f>
        <v/>
      </c>
      <c r="Y45" s="8">
        <f>IF(Y$3="","",IFERROR(LEFT(TRIM(INDEX(Forms貼り付け!$A:$AZ,44,Y$3)),1),""))</f>
        <v/>
      </c>
      <c r="Z45" s="8">
        <f>IF(Z$3="","",IFERROR(LEFT(TRIM(INDEX(Forms貼り付け!$A:$AZ,44,Z$3)),1),""))</f>
        <v/>
      </c>
      <c r="AA45" s="8">
        <f>IF(AA$3="","",IFERROR(LEFT(TRIM(INDEX(Forms貼り付け!$A:$AZ,44,AA$3)),1),""))</f>
        <v/>
      </c>
      <c r="AB45" s="8">
        <f>IF(AB$3="","",IFERROR(LEFT(TRIM(INDEX(Forms貼り付け!$A:$AZ,44,AB$3)),1),""))</f>
        <v/>
      </c>
      <c r="AC45" s="8">
        <f>IF(AC$3="","",IFERROR(LEFT(TRIM(INDEX(Forms貼り付け!$A:$AZ,44,AC$3)),1),""))</f>
        <v/>
      </c>
      <c r="AD45" s="8">
        <f>IF(AD$3="","",IFERROR(LEFT(TRIM(INDEX(Forms貼り付け!$A:$AZ,44,AD$3)),1),""))</f>
        <v/>
      </c>
      <c r="AE45" s="8">
        <f>IF(AE$3="","",IFERROR(LEFT(TRIM(INDEX(Forms貼り付け!$A:$AZ,44,AE$3)),1),""))</f>
        <v/>
      </c>
      <c r="AF45" s="8">
        <f>IF(AF$3="","",IFERROR(LEFT(TRIM(INDEX(Forms貼り付け!$A:$AZ,44,AF$3)),1),""))</f>
        <v/>
      </c>
      <c r="AG45" s="8">
        <f>IF(AG$3="","",IFERROR(LEFT(TRIM(INDEX(Forms貼り付け!$A:$AZ,44,AG$3)),1),""))</f>
        <v/>
      </c>
      <c r="AH45" s="8">
        <f>IF(AH$3="","",IFERROR(LEFT(TRIM(INDEX(Forms貼り付け!$A:$AZ,44,AH$3)),1),""))</f>
        <v/>
      </c>
      <c r="AI45" s="8">
        <f>IF(AI$3="","",IFERROR(LEFT(TRIM(INDEX(Forms貼り付け!$A:$AZ,44,AI$3)),1),""))</f>
        <v/>
      </c>
      <c r="AJ45" s="8">
        <f>IF(AJ$3="","",IFERROR(LEFT(TRIM(INDEX(Forms貼り付け!$A:$AZ,44,AJ$3)),1),""))</f>
        <v/>
      </c>
      <c r="AK45" s="8">
        <f>IF(AK$3="","",IFERROR(LEFT(TRIM(INDEX(Forms貼り付け!$A:$AZ,44,AK$3)),1),""))</f>
        <v/>
      </c>
      <c r="AL45" s="8">
        <f>IF(AL$3="","",IFERROR(LEFT(TRIM(INDEX(Forms貼り付け!$A:$AZ,44,AL$3)),1),""))</f>
        <v/>
      </c>
      <c r="AM45" s="8">
        <f>IF(AM$3="","",IFERROR(LEFT(TRIM(INDEX(Forms貼り付け!$A:$AZ,44,AM$3)),1),""))</f>
        <v/>
      </c>
      <c r="AN45" s="8">
        <f>IF(AN$3="","",IFERROR(LEFT(TRIM(INDEX(Forms貼り付け!$A:$AZ,44,AN$3)),1),""))</f>
        <v/>
      </c>
      <c r="AO45" s="8">
        <f>IF(AO$3="","",IFERROR(LEFT(TRIM(INDEX(Forms貼り付け!$A:$AZ,44,AO$3)),1),""))</f>
        <v/>
      </c>
      <c r="AP45" s="8">
        <f>IF(AP$3="","",IFERROR(LEFT(TRIM(INDEX(Forms貼り付け!$A:$AZ,44,AP$3)),1),""))</f>
        <v/>
      </c>
      <c r="AQ45" s="8">
        <f>IF(AQ$3="","",IFERROR(LEFT(TRIM(INDEX(Forms貼り付け!$A:$AZ,44,AQ$3)),1),""))</f>
        <v/>
      </c>
      <c r="AR45" s="8">
        <f>IF(AR$3="","",IFERROR(LEFT(TRIM(INDEX(Forms貼り付け!$A:$AZ,44,AR$3)),1),""))</f>
        <v/>
      </c>
      <c r="AS45" s="8">
        <f>IF(AS$3="","",IFERROR(LEFT(TRIM(INDEX(Forms貼り付け!$A:$AZ,44,AS$3)),1),""))</f>
        <v/>
      </c>
      <c r="AT45" s="8">
        <f>IF(AT$3="","",IFERROR(LEFT(TRIM(INDEX(Forms貼り付け!$A:$AZ,44,AT$3)),1),""))</f>
        <v/>
      </c>
      <c r="AU45" s="8">
        <f>IF(AU$3="","",IFERROR(LEFT(TRIM(INDEX(Forms貼り付け!$A:$AZ,44,AU$3)),1),""))</f>
        <v/>
      </c>
      <c r="AV45" s="8">
        <f>IF(AV$3="","",IFERROR(LEFT(TRIM(INDEX(Forms貼り付け!$A:$AZ,44,AV$3)),1),""))</f>
        <v/>
      </c>
      <c r="AW45" s="8">
        <f>IF(AW$3="","",IFERROR(LEFT(TRIM(INDEX(Forms貼り付け!$A:$AZ,44,AW$3)),1),""))</f>
        <v/>
      </c>
      <c r="AX45" s="8">
        <f>IF(AX$3="","",IFERROR(LEFT(TRIM(INDEX(Forms貼り付け!$A:$AZ,44,AX$3)),1),""))</f>
        <v/>
      </c>
      <c r="AY45" s="8">
        <f>IF(AY$3="","",IFERROR(LEFT(TRIM(INDEX(Forms貼り付け!$A:$AZ,44,AY$3)),1),""))</f>
        <v/>
      </c>
      <c r="AZ45" s="8">
        <f>IF(AZ$3="","",IFERROR(LEFT(TRIM(INDEX(Forms貼り付け!$A:$AZ,44,AZ$3)),1),""))</f>
        <v/>
      </c>
      <c r="BA45" s="8">
        <f>IF(BA$3="","",IFERROR(LEFT(TRIM(INDEX(Forms貼り付け!$A:$AZ,44,BA$3)),1),""))</f>
        <v/>
      </c>
      <c r="BB45" s="8">
        <f>IF(BB$3="","",IFERROR(LEFT(TRIM(INDEX(Forms貼り付け!$A:$AZ,44,BB$3)),1),""))</f>
        <v/>
      </c>
      <c r="BC45" s="8">
        <f>IF(BC$3="","",IFERROR(LEFT(TRIM(INDEX(Forms貼り付け!$A:$AZ,44,BC$3)),1),""))</f>
        <v/>
      </c>
    </row>
    <row r="46">
      <c r="A46" s="8" t="inlineStr">
        <is>
          <t>U042</t>
        </is>
      </c>
      <c r="B46" s="9">
        <f>IF($B$3="","",INDEX(Forms貼り付け!$A:$AZ,45,$B$3))</f>
        <v/>
      </c>
      <c r="C46" s="9">
        <f>IF($C$3="","",INDEX(Forms貼り付け!$A:$AZ,45,$C$3))</f>
        <v/>
      </c>
      <c r="D46" s="8">
        <f>IF($D$3="","",INDEX(Forms貼り付け!$A:$AZ,45,$D$3))</f>
        <v/>
      </c>
      <c r="E46" s="8">
        <f>IF($E$3="","",INDEX(Forms貼り付け!$A:$AZ,45,$E$3))</f>
        <v/>
      </c>
      <c r="F46" s="8">
        <f>IF(F$3="","",IFERROR(LEFT(TRIM(INDEX(Forms貼り付け!$A:$AZ,45,F$3)),1),""))</f>
        <v/>
      </c>
      <c r="G46" s="8">
        <f>IF(G$3="","",IFERROR(LEFT(TRIM(INDEX(Forms貼り付け!$A:$AZ,45,G$3)),1),""))</f>
        <v/>
      </c>
      <c r="H46" s="8">
        <f>IF(H$3="","",IFERROR(LEFT(TRIM(INDEX(Forms貼り付け!$A:$AZ,45,H$3)),1),""))</f>
        <v/>
      </c>
      <c r="I46" s="8">
        <f>IF(I$3="","",IFERROR(LEFT(TRIM(INDEX(Forms貼り付け!$A:$AZ,45,I$3)),1),""))</f>
        <v/>
      </c>
      <c r="J46" s="8">
        <f>IF(J$3="","",IFERROR(LEFT(TRIM(INDEX(Forms貼り付け!$A:$AZ,45,J$3)),1),""))</f>
        <v/>
      </c>
      <c r="K46" s="8">
        <f>IF(K$3="","",IFERROR(LEFT(TRIM(INDEX(Forms貼り付け!$A:$AZ,45,K$3)),1),""))</f>
        <v/>
      </c>
      <c r="L46" s="8">
        <f>IF(L$3="","",IFERROR(LEFT(TRIM(INDEX(Forms貼り付け!$A:$AZ,45,L$3)),1),""))</f>
        <v/>
      </c>
      <c r="M46" s="8">
        <f>IF(M$3="","",IFERROR(LEFT(TRIM(INDEX(Forms貼り付け!$A:$AZ,45,M$3)),1),""))</f>
        <v/>
      </c>
      <c r="N46" s="8">
        <f>IF(N$3="","",IFERROR(LEFT(TRIM(INDEX(Forms貼り付け!$A:$AZ,45,N$3)),1),""))</f>
        <v/>
      </c>
      <c r="O46" s="8">
        <f>IF(O$3="","",IFERROR(LEFT(TRIM(INDEX(Forms貼り付け!$A:$AZ,45,O$3)),1),""))</f>
        <v/>
      </c>
      <c r="P46" s="8">
        <f>IF(P$3="","",IFERROR(LEFT(TRIM(INDEX(Forms貼り付け!$A:$AZ,45,P$3)),1),""))</f>
        <v/>
      </c>
      <c r="Q46" s="8">
        <f>IF(Q$3="","",IFERROR(LEFT(TRIM(INDEX(Forms貼り付け!$A:$AZ,45,Q$3)),1),""))</f>
        <v/>
      </c>
      <c r="R46" s="8">
        <f>IF(R$3="","",IFERROR(LEFT(TRIM(INDEX(Forms貼り付け!$A:$AZ,45,R$3)),1),""))</f>
        <v/>
      </c>
      <c r="S46" s="8">
        <f>IF(S$3="","",IFERROR(LEFT(TRIM(INDEX(Forms貼り付け!$A:$AZ,45,S$3)),1),""))</f>
        <v/>
      </c>
      <c r="T46" s="8">
        <f>IF(T$3="","",IFERROR(LEFT(TRIM(INDEX(Forms貼り付け!$A:$AZ,45,T$3)),1),""))</f>
        <v/>
      </c>
      <c r="U46" s="8">
        <f>IF(U$3="","",IFERROR(LEFT(TRIM(INDEX(Forms貼り付け!$A:$AZ,45,U$3)),1),""))</f>
        <v/>
      </c>
      <c r="V46" s="8">
        <f>IF(V$3="","",IFERROR(LEFT(TRIM(INDEX(Forms貼り付け!$A:$AZ,45,V$3)),1),""))</f>
        <v/>
      </c>
      <c r="W46" s="8">
        <f>IF(W$3="","",IFERROR(LEFT(TRIM(INDEX(Forms貼り付け!$A:$AZ,45,W$3)),1),""))</f>
        <v/>
      </c>
      <c r="X46" s="8">
        <f>IF(X$3="","",IFERROR(LEFT(TRIM(INDEX(Forms貼り付け!$A:$AZ,45,X$3)),1),""))</f>
        <v/>
      </c>
      <c r="Y46" s="8">
        <f>IF(Y$3="","",IFERROR(LEFT(TRIM(INDEX(Forms貼り付け!$A:$AZ,45,Y$3)),1),""))</f>
        <v/>
      </c>
      <c r="Z46" s="8">
        <f>IF(Z$3="","",IFERROR(LEFT(TRIM(INDEX(Forms貼り付け!$A:$AZ,45,Z$3)),1),""))</f>
        <v/>
      </c>
      <c r="AA46" s="8">
        <f>IF(AA$3="","",IFERROR(LEFT(TRIM(INDEX(Forms貼り付け!$A:$AZ,45,AA$3)),1),""))</f>
        <v/>
      </c>
      <c r="AB46" s="8">
        <f>IF(AB$3="","",IFERROR(LEFT(TRIM(INDEX(Forms貼り付け!$A:$AZ,45,AB$3)),1),""))</f>
        <v/>
      </c>
      <c r="AC46" s="8">
        <f>IF(AC$3="","",IFERROR(LEFT(TRIM(INDEX(Forms貼り付け!$A:$AZ,45,AC$3)),1),""))</f>
        <v/>
      </c>
      <c r="AD46" s="8">
        <f>IF(AD$3="","",IFERROR(LEFT(TRIM(INDEX(Forms貼り付け!$A:$AZ,45,AD$3)),1),""))</f>
        <v/>
      </c>
      <c r="AE46" s="8">
        <f>IF(AE$3="","",IFERROR(LEFT(TRIM(INDEX(Forms貼り付け!$A:$AZ,45,AE$3)),1),""))</f>
        <v/>
      </c>
      <c r="AF46" s="8">
        <f>IF(AF$3="","",IFERROR(LEFT(TRIM(INDEX(Forms貼り付け!$A:$AZ,45,AF$3)),1),""))</f>
        <v/>
      </c>
      <c r="AG46" s="8">
        <f>IF(AG$3="","",IFERROR(LEFT(TRIM(INDEX(Forms貼り付け!$A:$AZ,45,AG$3)),1),""))</f>
        <v/>
      </c>
      <c r="AH46" s="8">
        <f>IF(AH$3="","",IFERROR(LEFT(TRIM(INDEX(Forms貼り付け!$A:$AZ,45,AH$3)),1),""))</f>
        <v/>
      </c>
      <c r="AI46" s="8">
        <f>IF(AI$3="","",IFERROR(LEFT(TRIM(INDEX(Forms貼り付け!$A:$AZ,45,AI$3)),1),""))</f>
        <v/>
      </c>
      <c r="AJ46" s="8">
        <f>IF(AJ$3="","",IFERROR(LEFT(TRIM(INDEX(Forms貼り付け!$A:$AZ,45,AJ$3)),1),""))</f>
        <v/>
      </c>
      <c r="AK46" s="8">
        <f>IF(AK$3="","",IFERROR(LEFT(TRIM(INDEX(Forms貼り付け!$A:$AZ,45,AK$3)),1),""))</f>
        <v/>
      </c>
      <c r="AL46" s="8">
        <f>IF(AL$3="","",IFERROR(LEFT(TRIM(INDEX(Forms貼り付け!$A:$AZ,45,AL$3)),1),""))</f>
        <v/>
      </c>
      <c r="AM46" s="8">
        <f>IF(AM$3="","",IFERROR(LEFT(TRIM(INDEX(Forms貼り付け!$A:$AZ,45,AM$3)),1),""))</f>
        <v/>
      </c>
      <c r="AN46" s="8">
        <f>IF(AN$3="","",IFERROR(LEFT(TRIM(INDEX(Forms貼り付け!$A:$AZ,45,AN$3)),1),""))</f>
        <v/>
      </c>
      <c r="AO46" s="8">
        <f>IF(AO$3="","",IFERROR(LEFT(TRIM(INDEX(Forms貼り付け!$A:$AZ,45,AO$3)),1),""))</f>
        <v/>
      </c>
      <c r="AP46" s="8">
        <f>IF(AP$3="","",IFERROR(LEFT(TRIM(INDEX(Forms貼り付け!$A:$AZ,45,AP$3)),1),""))</f>
        <v/>
      </c>
      <c r="AQ46" s="8">
        <f>IF(AQ$3="","",IFERROR(LEFT(TRIM(INDEX(Forms貼り付け!$A:$AZ,45,AQ$3)),1),""))</f>
        <v/>
      </c>
      <c r="AR46" s="8">
        <f>IF(AR$3="","",IFERROR(LEFT(TRIM(INDEX(Forms貼り付け!$A:$AZ,45,AR$3)),1),""))</f>
        <v/>
      </c>
      <c r="AS46" s="8">
        <f>IF(AS$3="","",IFERROR(LEFT(TRIM(INDEX(Forms貼り付け!$A:$AZ,45,AS$3)),1),""))</f>
        <v/>
      </c>
      <c r="AT46" s="8">
        <f>IF(AT$3="","",IFERROR(LEFT(TRIM(INDEX(Forms貼り付け!$A:$AZ,45,AT$3)),1),""))</f>
        <v/>
      </c>
      <c r="AU46" s="8">
        <f>IF(AU$3="","",IFERROR(LEFT(TRIM(INDEX(Forms貼り付け!$A:$AZ,45,AU$3)),1),""))</f>
        <v/>
      </c>
      <c r="AV46" s="8">
        <f>IF(AV$3="","",IFERROR(LEFT(TRIM(INDEX(Forms貼り付け!$A:$AZ,45,AV$3)),1),""))</f>
        <v/>
      </c>
      <c r="AW46" s="8">
        <f>IF(AW$3="","",IFERROR(LEFT(TRIM(INDEX(Forms貼り付け!$A:$AZ,45,AW$3)),1),""))</f>
        <v/>
      </c>
      <c r="AX46" s="8">
        <f>IF(AX$3="","",IFERROR(LEFT(TRIM(INDEX(Forms貼り付け!$A:$AZ,45,AX$3)),1),""))</f>
        <v/>
      </c>
      <c r="AY46" s="8">
        <f>IF(AY$3="","",IFERROR(LEFT(TRIM(INDEX(Forms貼り付け!$A:$AZ,45,AY$3)),1),""))</f>
        <v/>
      </c>
      <c r="AZ46" s="8">
        <f>IF(AZ$3="","",IFERROR(LEFT(TRIM(INDEX(Forms貼り付け!$A:$AZ,45,AZ$3)),1),""))</f>
        <v/>
      </c>
      <c r="BA46" s="8">
        <f>IF(BA$3="","",IFERROR(LEFT(TRIM(INDEX(Forms貼り付け!$A:$AZ,45,BA$3)),1),""))</f>
        <v/>
      </c>
      <c r="BB46" s="8">
        <f>IF(BB$3="","",IFERROR(LEFT(TRIM(INDEX(Forms貼り付け!$A:$AZ,45,BB$3)),1),""))</f>
        <v/>
      </c>
      <c r="BC46" s="8">
        <f>IF(BC$3="","",IFERROR(LEFT(TRIM(INDEX(Forms貼り付け!$A:$AZ,45,BC$3)),1),""))</f>
        <v/>
      </c>
    </row>
    <row r="47">
      <c r="A47" s="8" t="inlineStr">
        <is>
          <t>U043</t>
        </is>
      </c>
      <c r="B47" s="9">
        <f>IF($B$3="","",INDEX(Forms貼り付け!$A:$AZ,46,$B$3))</f>
        <v/>
      </c>
      <c r="C47" s="9">
        <f>IF($C$3="","",INDEX(Forms貼り付け!$A:$AZ,46,$C$3))</f>
        <v/>
      </c>
      <c r="D47" s="8">
        <f>IF($D$3="","",INDEX(Forms貼り付け!$A:$AZ,46,$D$3))</f>
        <v/>
      </c>
      <c r="E47" s="8">
        <f>IF($E$3="","",INDEX(Forms貼り付け!$A:$AZ,46,$E$3))</f>
        <v/>
      </c>
      <c r="F47" s="8">
        <f>IF(F$3="","",IFERROR(LEFT(TRIM(INDEX(Forms貼り付け!$A:$AZ,46,F$3)),1),""))</f>
        <v/>
      </c>
      <c r="G47" s="8">
        <f>IF(G$3="","",IFERROR(LEFT(TRIM(INDEX(Forms貼り付け!$A:$AZ,46,G$3)),1),""))</f>
        <v/>
      </c>
      <c r="H47" s="8">
        <f>IF(H$3="","",IFERROR(LEFT(TRIM(INDEX(Forms貼り付け!$A:$AZ,46,H$3)),1),""))</f>
        <v/>
      </c>
      <c r="I47" s="8">
        <f>IF(I$3="","",IFERROR(LEFT(TRIM(INDEX(Forms貼り付け!$A:$AZ,46,I$3)),1),""))</f>
        <v/>
      </c>
      <c r="J47" s="8">
        <f>IF(J$3="","",IFERROR(LEFT(TRIM(INDEX(Forms貼り付け!$A:$AZ,46,J$3)),1),""))</f>
        <v/>
      </c>
      <c r="K47" s="8">
        <f>IF(K$3="","",IFERROR(LEFT(TRIM(INDEX(Forms貼り付け!$A:$AZ,46,K$3)),1),""))</f>
        <v/>
      </c>
      <c r="L47" s="8">
        <f>IF(L$3="","",IFERROR(LEFT(TRIM(INDEX(Forms貼り付け!$A:$AZ,46,L$3)),1),""))</f>
        <v/>
      </c>
      <c r="M47" s="8">
        <f>IF(M$3="","",IFERROR(LEFT(TRIM(INDEX(Forms貼り付け!$A:$AZ,46,M$3)),1),""))</f>
        <v/>
      </c>
      <c r="N47" s="8">
        <f>IF(N$3="","",IFERROR(LEFT(TRIM(INDEX(Forms貼り付け!$A:$AZ,46,N$3)),1),""))</f>
        <v/>
      </c>
      <c r="O47" s="8">
        <f>IF(O$3="","",IFERROR(LEFT(TRIM(INDEX(Forms貼り付け!$A:$AZ,46,O$3)),1),""))</f>
        <v/>
      </c>
      <c r="P47" s="8">
        <f>IF(P$3="","",IFERROR(LEFT(TRIM(INDEX(Forms貼り付け!$A:$AZ,46,P$3)),1),""))</f>
        <v/>
      </c>
      <c r="Q47" s="8">
        <f>IF(Q$3="","",IFERROR(LEFT(TRIM(INDEX(Forms貼り付け!$A:$AZ,46,Q$3)),1),""))</f>
        <v/>
      </c>
      <c r="R47" s="8">
        <f>IF(R$3="","",IFERROR(LEFT(TRIM(INDEX(Forms貼り付け!$A:$AZ,46,R$3)),1),""))</f>
        <v/>
      </c>
      <c r="S47" s="8">
        <f>IF(S$3="","",IFERROR(LEFT(TRIM(INDEX(Forms貼り付け!$A:$AZ,46,S$3)),1),""))</f>
        <v/>
      </c>
      <c r="T47" s="8">
        <f>IF(T$3="","",IFERROR(LEFT(TRIM(INDEX(Forms貼り付け!$A:$AZ,46,T$3)),1),""))</f>
        <v/>
      </c>
      <c r="U47" s="8">
        <f>IF(U$3="","",IFERROR(LEFT(TRIM(INDEX(Forms貼り付け!$A:$AZ,46,U$3)),1),""))</f>
        <v/>
      </c>
      <c r="V47" s="8">
        <f>IF(V$3="","",IFERROR(LEFT(TRIM(INDEX(Forms貼り付け!$A:$AZ,46,V$3)),1),""))</f>
        <v/>
      </c>
      <c r="W47" s="8">
        <f>IF(W$3="","",IFERROR(LEFT(TRIM(INDEX(Forms貼り付け!$A:$AZ,46,W$3)),1),""))</f>
        <v/>
      </c>
      <c r="X47" s="8">
        <f>IF(X$3="","",IFERROR(LEFT(TRIM(INDEX(Forms貼り付け!$A:$AZ,46,X$3)),1),""))</f>
        <v/>
      </c>
      <c r="Y47" s="8">
        <f>IF(Y$3="","",IFERROR(LEFT(TRIM(INDEX(Forms貼り付け!$A:$AZ,46,Y$3)),1),""))</f>
        <v/>
      </c>
      <c r="Z47" s="8">
        <f>IF(Z$3="","",IFERROR(LEFT(TRIM(INDEX(Forms貼り付け!$A:$AZ,46,Z$3)),1),""))</f>
        <v/>
      </c>
      <c r="AA47" s="8">
        <f>IF(AA$3="","",IFERROR(LEFT(TRIM(INDEX(Forms貼り付け!$A:$AZ,46,AA$3)),1),""))</f>
        <v/>
      </c>
      <c r="AB47" s="8">
        <f>IF(AB$3="","",IFERROR(LEFT(TRIM(INDEX(Forms貼り付け!$A:$AZ,46,AB$3)),1),""))</f>
        <v/>
      </c>
      <c r="AC47" s="8">
        <f>IF(AC$3="","",IFERROR(LEFT(TRIM(INDEX(Forms貼り付け!$A:$AZ,46,AC$3)),1),""))</f>
        <v/>
      </c>
      <c r="AD47" s="8">
        <f>IF(AD$3="","",IFERROR(LEFT(TRIM(INDEX(Forms貼り付け!$A:$AZ,46,AD$3)),1),""))</f>
        <v/>
      </c>
      <c r="AE47" s="8">
        <f>IF(AE$3="","",IFERROR(LEFT(TRIM(INDEX(Forms貼り付け!$A:$AZ,46,AE$3)),1),""))</f>
        <v/>
      </c>
      <c r="AF47" s="8">
        <f>IF(AF$3="","",IFERROR(LEFT(TRIM(INDEX(Forms貼り付け!$A:$AZ,46,AF$3)),1),""))</f>
        <v/>
      </c>
      <c r="AG47" s="8">
        <f>IF(AG$3="","",IFERROR(LEFT(TRIM(INDEX(Forms貼り付け!$A:$AZ,46,AG$3)),1),""))</f>
        <v/>
      </c>
      <c r="AH47" s="8">
        <f>IF(AH$3="","",IFERROR(LEFT(TRIM(INDEX(Forms貼り付け!$A:$AZ,46,AH$3)),1),""))</f>
        <v/>
      </c>
      <c r="AI47" s="8">
        <f>IF(AI$3="","",IFERROR(LEFT(TRIM(INDEX(Forms貼り付け!$A:$AZ,46,AI$3)),1),""))</f>
        <v/>
      </c>
      <c r="AJ47" s="8">
        <f>IF(AJ$3="","",IFERROR(LEFT(TRIM(INDEX(Forms貼り付け!$A:$AZ,46,AJ$3)),1),""))</f>
        <v/>
      </c>
      <c r="AK47" s="8">
        <f>IF(AK$3="","",IFERROR(LEFT(TRIM(INDEX(Forms貼り付け!$A:$AZ,46,AK$3)),1),""))</f>
        <v/>
      </c>
      <c r="AL47" s="8">
        <f>IF(AL$3="","",IFERROR(LEFT(TRIM(INDEX(Forms貼り付け!$A:$AZ,46,AL$3)),1),""))</f>
        <v/>
      </c>
      <c r="AM47" s="8">
        <f>IF(AM$3="","",IFERROR(LEFT(TRIM(INDEX(Forms貼り付け!$A:$AZ,46,AM$3)),1),""))</f>
        <v/>
      </c>
      <c r="AN47" s="8">
        <f>IF(AN$3="","",IFERROR(LEFT(TRIM(INDEX(Forms貼り付け!$A:$AZ,46,AN$3)),1),""))</f>
        <v/>
      </c>
      <c r="AO47" s="8">
        <f>IF(AO$3="","",IFERROR(LEFT(TRIM(INDEX(Forms貼り付け!$A:$AZ,46,AO$3)),1),""))</f>
        <v/>
      </c>
      <c r="AP47" s="8">
        <f>IF(AP$3="","",IFERROR(LEFT(TRIM(INDEX(Forms貼り付け!$A:$AZ,46,AP$3)),1),""))</f>
        <v/>
      </c>
      <c r="AQ47" s="8">
        <f>IF(AQ$3="","",IFERROR(LEFT(TRIM(INDEX(Forms貼り付け!$A:$AZ,46,AQ$3)),1),""))</f>
        <v/>
      </c>
      <c r="AR47" s="8">
        <f>IF(AR$3="","",IFERROR(LEFT(TRIM(INDEX(Forms貼り付け!$A:$AZ,46,AR$3)),1),""))</f>
        <v/>
      </c>
      <c r="AS47" s="8">
        <f>IF(AS$3="","",IFERROR(LEFT(TRIM(INDEX(Forms貼り付け!$A:$AZ,46,AS$3)),1),""))</f>
        <v/>
      </c>
      <c r="AT47" s="8">
        <f>IF(AT$3="","",IFERROR(LEFT(TRIM(INDEX(Forms貼り付け!$A:$AZ,46,AT$3)),1),""))</f>
        <v/>
      </c>
      <c r="AU47" s="8">
        <f>IF(AU$3="","",IFERROR(LEFT(TRIM(INDEX(Forms貼り付け!$A:$AZ,46,AU$3)),1),""))</f>
        <v/>
      </c>
      <c r="AV47" s="8">
        <f>IF(AV$3="","",IFERROR(LEFT(TRIM(INDEX(Forms貼り付け!$A:$AZ,46,AV$3)),1),""))</f>
        <v/>
      </c>
      <c r="AW47" s="8">
        <f>IF(AW$3="","",IFERROR(LEFT(TRIM(INDEX(Forms貼り付け!$A:$AZ,46,AW$3)),1),""))</f>
        <v/>
      </c>
      <c r="AX47" s="8">
        <f>IF(AX$3="","",IFERROR(LEFT(TRIM(INDEX(Forms貼り付け!$A:$AZ,46,AX$3)),1),""))</f>
        <v/>
      </c>
      <c r="AY47" s="8">
        <f>IF(AY$3="","",IFERROR(LEFT(TRIM(INDEX(Forms貼り付け!$A:$AZ,46,AY$3)),1),""))</f>
        <v/>
      </c>
      <c r="AZ47" s="8">
        <f>IF(AZ$3="","",IFERROR(LEFT(TRIM(INDEX(Forms貼り付け!$A:$AZ,46,AZ$3)),1),""))</f>
        <v/>
      </c>
      <c r="BA47" s="8">
        <f>IF(BA$3="","",IFERROR(LEFT(TRIM(INDEX(Forms貼り付け!$A:$AZ,46,BA$3)),1),""))</f>
        <v/>
      </c>
      <c r="BB47" s="8">
        <f>IF(BB$3="","",IFERROR(LEFT(TRIM(INDEX(Forms貼り付け!$A:$AZ,46,BB$3)),1),""))</f>
        <v/>
      </c>
      <c r="BC47" s="8">
        <f>IF(BC$3="","",IFERROR(LEFT(TRIM(INDEX(Forms貼り付け!$A:$AZ,46,BC$3)),1),""))</f>
        <v/>
      </c>
    </row>
    <row r="48">
      <c r="A48" s="8" t="inlineStr">
        <is>
          <t>U044</t>
        </is>
      </c>
      <c r="B48" s="9">
        <f>IF($B$3="","",INDEX(Forms貼り付け!$A:$AZ,47,$B$3))</f>
        <v/>
      </c>
      <c r="C48" s="9">
        <f>IF($C$3="","",INDEX(Forms貼り付け!$A:$AZ,47,$C$3))</f>
        <v/>
      </c>
      <c r="D48" s="8">
        <f>IF($D$3="","",INDEX(Forms貼り付け!$A:$AZ,47,$D$3))</f>
        <v/>
      </c>
      <c r="E48" s="8">
        <f>IF($E$3="","",INDEX(Forms貼り付け!$A:$AZ,47,$E$3))</f>
        <v/>
      </c>
      <c r="F48" s="8">
        <f>IF(F$3="","",IFERROR(LEFT(TRIM(INDEX(Forms貼り付け!$A:$AZ,47,F$3)),1),""))</f>
        <v/>
      </c>
      <c r="G48" s="8">
        <f>IF(G$3="","",IFERROR(LEFT(TRIM(INDEX(Forms貼り付け!$A:$AZ,47,G$3)),1),""))</f>
        <v/>
      </c>
      <c r="H48" s="8">
        <f>IF(H$3="","",IFERROR(LEFT(TRIM(INDEX(Forms貼り付け!$A:$AZ,47,H$3)),1),""))</f>
        <v/>
      </c>
      <c r="I48" s="8">
        <f>IF(I$3="","",IFERROR(LEFT(TRIM(INDEX(Forms貼り付け!$A:$AZ,47,I$3)),1),""))</f>
        <v/>
      </c>
      <c r="J48" s="8">
        <f>IF(J$3="","",IFERROR(LEFT(TRIM(INDEX(Forms貼り付け!$A:$AZ,47,J$3)),1),""))</f>
        <v/>
      </c>
      <c r="K48" s="8">
        <f>IF(K$3="","",IFERROR(LEFT(TRIM(INDEX(Forms貼り付け!$A:$AZ,47,K$3)),1),""))</f>
        <v/>
      </c>
      <c r="L48" s="8">
        <f>IF(L$3="","",IFERROR(LEFT(TRIM(INDEX(Forms貼り付け!$A:$AZ,47,L$3)),1),""))</f>
        <v/>
      </c>
      <c r="M48" s="8">
        <f>IF(M$3="","",IFERROR(LEFT(TRIM(INDEX(Forms貼り付け!$A:$AZ,47,M$3)),1),""))</f>
        <v/>
      </c>
      <c r="N48" s="8">
        <f>IF(N$3="","",IFERROR(LEFT(TRIM(INDEX(Forms貼り付け!$A:$AZ,47,N$3)),1),""))</f>
        <v/>
      </c>
      <c r="O48" s="8">
        <f>IF(O$3="","",IFERROR(LEFT(TRIM(INDEX(Forms貼り付け!$A:$AZ,47,O$3)),1),""))</f>
        <v/>
      </c>
      <c r="P48" s="8">
        <f>IF(P$3="","",IFERROR(LEFT(TRIM(INDEX(Forms貼り付け!$A:$AZ,47,P$3)),1),""))</f>
        <v/>
      </c>
      <c r="Q48" s="8">
        <f>IF(Q$3="","",IFERROR(LEFT(TRIM(INDEX(Forms貼り付け!$A:$AZ,47,Q$3)),1),""))</f>
        <v/>
      </c>
      <c r="R48" s="8">
        <f>IF(R$3="","",IFERROR(LEFT(TRIM(INDEX(Forms貼り付け!$A:$AZ,47,R$3)),1),""))</f>
        <v/>
      </c>
      <c r="S48" s="8">
        <f>IF(S$3="","",IFERROR(LEFT(TRIM(INDEX(Forms貼り付け!$A:$AZ,47,S$3)),1),""))</f>
        <v/>
      </c>
      <c r="T48" s="8">
        <f>IF(T$3="","",IFERROR(LEFT(TRIM(INDEX(Forms貼り付け!$A:$AZ,47,T$3)),1),""))</f>
        <v/>
      </c>
      <c r="U48" s="8">
        <f>IF(U$3="","",IFERROR(LEFT(TRIM(INDEX(Forms貼り付け!$A:$AZ,47,U$3)),1),""))</f>
        <v/>
      </c>
      <c r="V48" s="8">
        <f>IF(V$3="","",IFERROR(LEFT(TRIM(INDEX(Forms貼り付け!$A:$AZ,47,V$3)),1),""))</f>
        <v/>
      </c>
      <c r="W48" s="8">
        <f>IF(W$3="","",IFERROR(LEFT(TRIM(INDEX(Forms貼り付け!$A:$AZ,47,W$3)),1),""))</f>
        <v/>
      </c>
      <c r="X48" s="8">
        <f>IF(X$3="","",IFERROR(LEFT(TRIM(INDEX(Forms貼り付け!$A:$AZ,47,X$3)),1),""))</f>
        <v/>
      </c>
      <c r="Y48" s="8">
        <f>IF(Y$3="","",IFERROR(LEFT(TRIM(INDEX(Forms貼り付け!$A:$AZ,47,Y$3)),1),""))</f>
        <v/>
      </c>
      <c r="Z48" s="8">
        <f>IF(Z$3="","",IFERROR(LEFT(TRIM(INDEX(Forms貼り付け!$A:$AZ,47,Z$3)),1),""))</f>
        <v/>
      </c>
      <c r="AA48" s="8">
        <f>IF(AA$3="","",IFERROR(LEFT(TRIM(INDEX(Forms貼り付け!$A:$AZ,47,AA$3)),1),""))</f>
        <v/>
      </c>
      <c r="AB48" s="8">
        <f>IF(AB$3="","",IFERROR(LEFT(TRIM(INDEX(Forms貼り付け!$A:$AZ,47,AB$3)),1),""))</f>
        <v/>
      </c>
      <c r="AC48" s="8">
        <f>IF(AC$3="","",IFERROR(LEFT(TRIM(INDEX(Forms貼り付け!$A:$AZ,47,AC$3)),1),""))</f>
        <v/>
      </c>
      <c r="AD48" s="8">
        <f>IF(AD$3="","",IFERROR(LEFT(TRIM(INDEX(Forms貼り付け!$A:$AZ,47,AD$3)),1),""))</f>
        <v/>
      </c>
      <c r="AE48" s="8">
        <f>IF(AE$3="","",IFERROR(LEFT(TRIM(INDEX(Forms貼り付け!$A:$AZ,47,AE$3)),1),""))</f>
        <v/>
      </c>
      <c r="AF48" s="8">
        <f>IF(AF$3="","",IFERROR(LEFT(TRIM(INDEX(Forms貼り付け!$A:$AZ,47,AF$3)),1),""))</f>
        <v/>
      </c>
      <c r="AG48" s="8">
        <f>IF(AG$3="","",IFERROR(LEFT(TRIM(INDEX(Forms貼り付け!$A:$AZ,47,AG$3)),1),""))</f>
        <v/>
      </c>
      <c r="AH48" s="8">
        <f>IF(AH$3="","",IFERROR(LEFT(TRIM(INDEX(Forms貼り付け!$A:$AZ,47,AH$3)),1),""))</f>
        <v/>
      </c>
      <c r="AI48" s="8">
        <f>IF(AI$3="","",IFERROR(LEFT(TRIM(INDEX(Forms貼り付け!$A:$AZ,47,AI$3)),1),""))</f>
        <v/>
      </c>
      <c r="AJ48" s="8">
        <f>IF(AJ$3="","",IFERROR(LEFT(TRIM(INDEX(Forms貼り付け!$A:$AZ,47,AJ$3)),1),""))</f>
        <v/>
      </c>
      <c r="AK48" s="8">
        <f>IF(AK$3="","",IFERROR(LEFT(TRIM(INDEX(Forms貼り付け!$A:$AZ,47,AK$3)),1),""))</f>
        <v/>
      </c>
      <c r="AL48" s="8">
        <f>IF(AL$3="","",IFERROR(LEFT(TRIM(INDEX(Forms貼り付け!$A:$AZ,47,AL$3)),1),""))</f>
        <v/>
      </c>
      <c r="AM48" s="8">
        <f>IF(AM$3="","",IFERROR(LEFT(TRIM(INDEX(Forms貼り付け!$A:$AZ,47,AM$3)),1),""))</f>
        <v/>
      </c>
      <c r="AN48" s="8">
        <f>IF(AN$3="","",IFERROR(LEFT(TRIM(INDEX(Forms貼り付け!$A:$AZ,47,AN$3)),1),""))</f>
        <v/>
      </c>
      <c r="AO48" s="8">
        <f>IF(AO$3="","",IFERROR(LEFT(TRIM(INDEX(Forms貼り付け!$A:$AZ,47,AO$3)),1),""))</f>
        <v/>
      </c>
      <c r="AP48" s="8">
        <f>IF(AP$3="","",IFERROR(LEFT(TRIM(INDEX(Forms貼り付け!$A:$AZ,47,AP$3)),1),""))</f>
        <v/>
      </c>
      <c r="AQ48" s="8">
        <f>IF(AQ$3="","",IFERROR(LEFT(TRIM(INDEX(Forms貼り付け!$A:$AZ,47,AQ$3)),1),""))</f>
        <v/>
      </c>
      <c r="AR48" s="8">
        <f>IF(AR$3="","",IFERROR(LEFT(TRIM(INDEX(Forms貼り付け!$A:$AZ,47,AR$3)),1),""))</f>
        <v/>
      </c>
      <c r="AS48" s="8">
        <f>IF(AS$3="","",IFERROR(LEFT(TRIM(INDEX(Forms貼り付け!$A:$AZ,47,AS$3)),1),""))</f>
        <v/>
      </c>
      <c r="AT48" s="8">
        <f>IF(AT$3="","",IFERROR(LEFT(TRIM(INDEX(Forms貼り付け!$A:$AZ,47,AT$3)),1),""))</f>
        <v/>
      </c>
      <c r="AU48" s="8">
        <f>IF(AU$3="","",IFERROR(LEFT(TRIM(INDEX(Forms貼り付け!$A:$AZ,47,AU$3)),1),""))</f>
        <v/>
      </c>
      <c r="AV48" s="8">
        <f>IF(AV$3="","",IFERROR(LEFT(TRIM(INDEX(Forms貼り付け!$A:$AZ,47,AV$3)),1),""))</f>
        <v/>
      </c>
      <c r="AW48" s="8">
        <f>IF(AW$3="","",IFERROR(LEFT(TRIM(INDEX(Forms貼り付け!$A:$AZ,47,AW$3)),1),""))</f>
        <v/>
      </c>
      <c r="AX48" s="8">
        <f>IF(AX$3="","",IFERROR(LEFT(TRIM(INDEX(Forms貼り付け!$A:$AZ,47,AX$3)),1),""))</f>
        <v/>
      </c>
      <c r="AY48" s="8">
        <f>IF(AY$3="","",IFERROR(LEFT(TRIM(INDEX(Forms貼り付け!$A:$AZ,47,AY$3)),1),""))</f>
        <v/>
      </c>
      <c r="AZ48" s="8">
        <f>IF(AZ$3="","",IFERROR(LEFT(TRIM(INDEX(Forms貼り付け!$A:$AZ,47,AZ$3)),1),""))</f>
        <v/>
      </c>
      <c r="BA48" s="8">
        <f>IF(BA$3="","",IFERROR(LEFT(TRIM(INDEX(Forms貼り付け!$A:$AZ,47,BA$3)),1),""))</f>
        <v/>
      </c>
      <c r="BB48" s="8">
        <f>IF(BB$3="","",IFERROR(LEFT(TRIM(INDEX(Forms貼り付け!$A:$AZ,47,BB$3)),1),""))</f>
        <v/>
      </c>
      <c r="BC48" s="8">
        <f>IF(BC$3="","",IFERROR(LEFT(TRIM(INDEX(Forms貼り付け!$A:$AZ,47,BC$3)),1),""))</f>
        <v/>
      </c>
    </row>
    <row r="49">
      <c r="A49" s="8" t="inlineStr">
        <is>
          <t>U045</t>
        </is>
      </c>
      <c r="B49" s="9">
        <f>IF($B$3="","",INDEX(Forms貼り付け!$A:$AZ,48,$B$3))</f>
        <v/>
      </c>
      <c r="C49" s="9">
        <f>IF($C$3="","",INDEX(Forms貼り付け!$A:$AZ,48,$C$3))</f>
        <v/>
      </c>
      <c r="D49" s="8">
        <f>IF($D$3="","",INDEX(Forms貼り付け!$A:$AZ,48,$D$3))</f>
        <v/>
      </c>
      <c r="E49" s="8">
        <f>IF($E$3="","",INDEX(Forms貼り付け!$A:$AZ,48,$E$3))</f>
        <v/>
      </c>
      <c r="F49" s="8">
        <f>IF(F$3="","",IFERROR(LEFT(TRIM(INDEX(Forms貼り付け!$A:$AZ,48,F$3)),1),""))</f>
        <v/>
      </c>
      <c r="G49" s="8">
        <f>IF(G$3="","",IFERROR(LEFT(TRIM(INDEX(Forms貼り付け!$A:$AZ,48,G$3)),1),""))</f>
        <v/>
      </c>
      <c r="H49" s="8">
        <f>IF(H$3="","",IFERROR(LEFT(TRIM(INDEX(Forms貼り付け!$A:$AZ,48,H$3)),1),""))</f>
        <v/>
      </c>
      <c r="I49" s="8">
        <f>IF(I$3="","",IFERROR(LEFT(TRIM(INDEX(Forms貼り付け!$A:$AZ,48,I$3)),1),""))</f>
        <v/>
      </c>
      <c r="J49" s="8">
        <f>IF(J$3="","",IFERROR(LEFT(TRIM(INDEX(Forms貼り付け!$A:$AZ,48,J$3)),1),""))</f>
        <v/>
      </c>
      <c r="K49" s="8">
        <f>IF(K$3="","",IFERROR(LEFT(TRIM(INDEX(Forms貼り付け!$A:$AZ,48,K$3)),1),""))</f>
        <v/>
      </c>
      <c r="L49" s="8">
        <f>IF(L$3="","",IFERROR(LEFT(TRIM(INDEX(Forms貼り付け!$A:$AZ,48,L$3)),1),""))</f>
        <v/>
      </c>
      <c r="M49" s="8">
        <f>IF(M$3="","",IFERROR(LEFT(TRIM(INDEX(Forms貼り付け!$A:$AZ,48,M$3)),1),""))</f>
        <v/>
      </c>
      <c r="N49" s="8">
        <f>IF(N$3="","",IFERROR(LEFT(TRIM(INDEX(Forms貼り付け!$A:$AZ,48,N$3)),1),""))</f>
        <v/>
      </c>
      <c r="O49" s="8">
        <f>IF(O$3="","",IFERROR(LEFT(TRIM(INDEX(Forms貼り付け!$A:$AZ,48,O$3)),1),""))</f>
        <v/>
      </c>
      <c r="P49" s="8">
        <f>IF(P$3="","",IFERROR(LEFT(TRIM(INDEX(Forms貼り付け!$A:$AZ,48,P$3)),1),""))</f>
        <v/>
      </c>
      <c r="Q49" s="8">
        <f>IF(Q$3="","",IFERROR(LEFT(TRIM(INDEX(Forms貼り付け!$A:$AZ,48,Q$3)),1),""))</f>
        <v/>
      </c>
      <c r="R49" s="8">
        <f>IF(R$3="","",IFERROR(LEFT(TRIM(INDEX(Forms貼り付け!$A:$AZ,48,R$3)),1),""))</f>
        <v/>
      </c>
      <c r="S49" s="8">
        <f>IF(S$3="","",IFERROR(LEFT(TRIM(INDEX(Forms貼り付け!$A:$AZ,48,S$3)),1),""))</f>
        <v/>
      </c>
      <c r="T49" s="8">
        <f>IF(T$3="","",IFERROR(LEFT(TRIM(INDEX(Forms貼り付け!$A:$AZ,48,T$3)),1),""))</f>
        <v/>
      </c>
      <c r="U49" s="8">
        <f>IF(U$3="","",IFERROR(LEFT(TRIM(INDEX(Forms貼り付け!$A:$AZ,48,U$3)),1),""))</f>
        <v/>
      </c>
      <c r="V49" s="8">
        <f>IF(V$3="","",IFERROR(LEFT(TRIM(INDEX(Forms貼り付け!$A:$AZ,48,V$3)),1),""))</f>
        <v/>
      </c>
      <c r="W49" s="8">
        <f>IF(W$3="","",IFERROR(LEFT(TRIM(INDEX(Forms貼り付け!$A:$AZ,48,W$3)),1),""))</f>
        <v/>
      </c>
      <c r="X49" s="8">
        <f>IF(X$3="","",IFERROR(LEFT(TRIM(INDEX(Forms貼り付け!$A:$AZ,48,X$3)),1),""))</f>
        <v/>
      </c>
      <c r="Y49" s="8">
        <f>IF(Y$3="","",IFERROR(LEFT(TRIM(INDEX(Forms貼り付け!$A:$AZ,48,Y$3)),1),""))</f>
        <v/>
      </c>
      <c r="Z49" s="8">
        <f>IF(Z$3="","",IFERROR(LEFT(TRIM(INDEX(Forms貼り付け!$A:$AZ,48,Z$3)),1),""))</f>
        <v/>
      </c>
      <c r="AA49" s="8">
        <f>IF(AA$3="","",IFERROR(LEFT(TRIM(INDEX(Forms貼り付け!$A:$AZ,48,AA$3)),1),""))</f>
        <v/>
      </c>
      <c r="AB49" s="8">
        <f>IF(AB$3="","",IFERROR(LEFT(TRIM(INDEX(Forms貼り付け!$A:$AZ,48,AB$3)),1),""))</f>
        <v/>
      </c>
      <c r="AC49" s="8">
        <f>IF(AC$3="","",IFERROR(LEFT(TRIM(INDEX(Forms貼り付け!$A:$AZ,48,AC$3)),1),""))</f>
        <v/>
      </c>
      <c r="AD49" s="8">
        <f>IF(AD$3="","",IFERROR(LEFT(TRIM(INDEX(Forms貼り付け!$A:$AZ,48,AD$3)),1),""))</f>
        <v/>
      </c>
      <c r="AE49" s="8">
        <f>IF(AE$3="","",IFERROR(LEFT(TRIM(INDEX(Forms貼り付け!$A:$AZ,48,AE$3)),1),""))</f>
        <v/>
      </c>
      <c r="AF49" s="8">
        <f>IF(AF$3="","",IFERROR(LEFT(TRIM(INDEX(Forms貼り付け!$A:$AZ,48,AF$3)),1),""))</f>
        <v/>
      </c>
      <c r="AG49" s="8">
        <f>IF(AG$3="","",IFERROR(LEFT(TRIM(INDEX(Forms貼り付け!$A:$AZ,48,AG$3)),1),""))</f>
        <v/>
      </c>
      <c r="AH49" s="8">
        <f>IF(AH$3="","",IFERROR(LEFT(TRIM(INDEX(Forms貼り付け!$A:$AZ,48,AH$3)),1),""))</f>
        <v/>
      </c>
      <c r="AI49" s="8">
        <f>IF(AI$3="","",IFERROR(LEFT(TRIM(INDEX(Forms貼り付け!$A:$AZ,48,AI$3)),1),""))</f>
        <v/>
      </c>
      <c r="AJ49" s="8">
        <f>IF(AJ$3="","",IFERROR(LEFT(TRIM(INDEX(Forms貼り付け!$A:$AZ,48,AJ$3)),1),""))</f>
        <v/>
      </c>
      <c r="AK49" s="8">
        <f>IF(AK$3="","",IFERROR(LEFT(TRIM(INDEX(Forms貼り付け!$A:$AZ,48,AK$3)),1),""))</f>
        <v/>
      </c>
      <c r="AL49" s="8">
        <f>IF(AL$3="","",IFERROR(LEFT(TRIM(INDEX(Forms貼り付け!$A:$AZ,48,AL$3)),1),""))</f>
        <v/>
      </c>
      <c r="AM49" s="8">
        <f>IF(AM$3="","",IFERROR(LEFT(TRIM(INDEX(Forms貼り付け!$A:$AZ,48,AM$3)),1),""))</f>
        <v/>
      </c>
      <c r="AN49" s="8">
        <f>IF(AN$3="","",IFERROR(LEFT(TRIM(INDEX(Forms貼り付け!$A:$AZ,48,AN$3)),1),""))</f>
        <v/>
      </c>
      <c r="AO49" s="8">
        <f>IF(AO$3="","",IFERROR(LEFT(TRIM(INDEX(Forms貼り付け!$A:$AZ,48,AO$3)),1),""))</f>
        <v/>
      </c>
      <c r="AP49" s="8">
        <f>IF(AP$3="","",IFERROR(LEFT(TRIM(INDEX(Forms貼り付け!$A:$AZ,48,AP$3)),1),""))</f>
        <v/>
      </c>
      <c r="AQ49" s="8">
        <f>IF(AQ$3="","",IFERROR(LEFT(TRIM(INDEX(Forms貼り付け!$A:$AZ,48,AQ$3)),1),""))</f>
        <v/>
      </c>
      <c r="AR49" s="8">
        <f>IF(AR$3="","",IFERROR(LEFT(TRIM(INDEX(Forms貼り付け!$A:$AZ,48,AR$3)),1),""))</f>
        <v/>
      </c>
      <c r="AS49" s="8">
        <f>IF(AS$3="","",IFERROR(LEFT(TRIM(INDEX(Forms貼り付け!$A:$AZ,48,AS$3)),1),""))</f>
        <v/>
      </c>
      <c r="AT49" s="8">
        <f>IF(AT$3="","",IFERROR(LEFT(TRIM(INDEX(Forms貼り付け!$A:$AZ,48,AT$3)),1),""))</f>
        <v/>
      </c>
      <c r="AU49" s="8">
        <f>IF(AU$3="","",IFERROR(LEFT(TRIM(INDEX(Forms貼り付け!$A:$AZ,48,AU$3)),1),""))</f>
        <v/>
      </c>
      <c r="AV49" s="8">
        <f>IF(AV$3="","",IFERROR(LEFT(TRIM(INDEX(Forms貼り付け!$A:$AZ,48,AV$3)),1),""))</f>
        <v/>
      </c>
      <c r="AW49" s="8">
        <f>IF(AW$3="","",IFERROR(LEFT(TRIM(INDEX(Forms貼り付け!$A:$AZ,48,AW$3)),1),""))</f>
        <v/>
      </c>
      <c r="AX49" s="8">
        <f>IF(AX$3="","",IFERROR(LEFT(TRIM(INDEX(Forms貼り付け!$A:$AZ,48,AX$3)),1),""))</f>
        <v/>
      </c>
      <c r="AY49" s="8">
        <f>IF(AY$3="","",IFERROR(LEFT(TRIM(INDEX(Forms貼り付け!$A:$AZ,48,AY$3)),1),""))</f>
        <v/>
      </c>
      <c r="AZ49" s="8">
        <f>IF(AZ$3="","",IFERROR(LEFT(TRIM(INDEX(Forms貼り付け!$A:$AZ,48,AZ$3)),1),""))</f>
        <v/>
      </c>
      <c r="BA49" s="8">
        <f>IF(BA$3="","",IFERROR(LEFT(TRIM(INDEX(Forms貼り付け!$A:$AZ,48,BA$3)),1),""))</f>
        <v/>
      </c>
      <c r="BB49" s="8">
        <f>IF(BB$3="","",IFERROR(LEFT(TRIM(INDEX(Forms貼り付け!$A:$AZ,48,BB$3)),1),""))</f>
        <v/>
      </c>
      <c r="BC49" s="8">
        <f>IF(BC$3="","",IFERROR(LEFT(TRIM(INDEX(Forms貼り付け!$A:$AZ,48,BC$3)),1),""))</f>
        <v/>
      </c>
    </row>
    <row r="50">
      <c r="A50" s="8" t="inlineStr">
        <is>
          <t>U046</t>
        </is>
      </c>
      <c r="B50" s="9">
        <f>IF($B$3="","",INDEX(Forms貼り付け!$A:$AZ,49,$B$3))</f>
        <v/>
      </c>
      <c r="C50" s="9">
        <f>IF($C$3="","",INDEX(Forms貼り付け!$A:$AZ,49,$C$3))</f>
        <v/>
      </c>
      <c r="D50" s="8">
        <f>IF($D$3="","",INDEX(Forms貼り付け!$A:$AZ,49,$D$3))</f>
        <v/>
      </c>
      <c r="E50" s="8">
        <f>IF($E$3="","",INDEX(Forms貼り付け!$A:$AZ,49,$E$3))</f>
        <v/>
      </c>
      <c r="F50" s="8">
        <f>IF(F$3="","",IFERROR(LEFT(TRIM(INDEX(Forms貼り付け!$A:$AZ,49,F$3)),1),""))</f>
        <v/>
      </c>
      <c r="G50" s="8">
        <f>IF(G$3="","",IFERROR(LEFT(TRIM(INDEX(Forms貼り付け!$A:$AZ,49,G$3)),1),""))</f>
        <v/>
      </c>
      <c r="H50" s="8">
        <f>IF(H$3="","",IFERROR(LEFT(TRIM(INDEX(Forms貼り付け!$A:$AZ,49,H$3)),1),""))</f>
        <v/>
      </c>
      <c r="I50" s="8">
        <f>IF(I$3="","",IFERROR(LEFT(TRIM(INDEX(Forms貼り付け!$A:$AZ,49,I$3)),1),""))</f>
        <v/>
      </c>
      <c r="J50" s="8">
        <f>IF(J$3="","",IFERROR(LEFT(TRIM(INDEX(Forms貼り付け!$A:$AZ,49,J$3)),1),""))</f>
        <v/>
      </c>
      <c r="K50" s="8">
        <f>IF(K$3="","",IFERROR(LEFT(TRIM(INDEX(Forms貼り付け!$A:$AZ,49,K$3)),1),""))</f>
        <v/>
      </c>
      <c r="L50" s="8">
        <f>IF(L$3="","",IFERROR(LEFT(TRIM(INDEX(Forms貼り付け!$A:$AZ,49,L$3)),1),""))</f>
        <v/>
      </c>
      <c r="M50" s="8">
        <f>IF(M$3="","",IFERROR(LEFT(TRIM(INDEX(Forms貼り付け!$A:$AZ,49,M$3)),1),""))</f>
        <v/>
      </c>
      <c r="N50" s="8">
        <f>IF(N$3="","",IFERROR(LEFT(TRIM(INDEX(Forms貼り付け!$A:$AZ,49,N$3)),1),""))</f>
        <v/>
      </c>
      <c r="O50" s="8">
        <f>IF(O$3="","",IFERROR(LEFT(TRIM(INDEX(Forms貼り付け!$A:$AZ,49,O$3)),1),""))</f>
        <v/>
      </c>
      <c r="P50" s="8">
        <f>IF(P$3="","",IFERROR(LEFT(TRIM(INDEX(Forms貼り付け!$A:$AZ,49,P$3)),1),""))</f>
        <v/>
      </c>
      <c r="Q50" s="8">
        <f>IF(Q$3="","",IFERROR(LEFT(TRIM(INDEX(Forms貼り付け!$A:$AZ,49,Q$3)),1),""))</f>
        <v/>
      </c>
      <c r="R50" s="8">
        <f>IF(R$3="","",IFERROR(LEFT(TRIM(INDEX(Forms貼り付け!$A:$AZ,49,R$3)),1),""))</f>
        <v/>
      </c>
      <c r="S50" s="8">
        <f>IF(S$3="","",IFERROR(LEFT(TRIM(INDEX(Forms貼り付け!$A:$AZ,49,S$3)),1),""))</f>
        <v/>
      </c>
      <c r="T50" s="8">
        <f>IF(T$3="","",IFERROR(LEFT(TRIM(INDEX(Forms貼り付け!$A:$AZ,49,T$3)),1),""))</f>
        <v/>
      </c>
      <c r="U50" s="8">
        <f>IF(U$3="","",IFERROR(LEFT(TRIM(INDEX(Forms貼り付け!$A:$AZ,49,U$3)),1),""))</f>
        <v/>
      </c>
      <c r="V50" s="8">
        <f>IF(V$3="","",IFERROR(LEFT(TRIM(INDEX(Forms貼り付け!$A:$AZ,49,V$3)),1),""))</f>
        <v/>
      </c>
      <c r="W50" s="8">
        <f>IF(W$3="","",IFERROR(LEFT(TRIM(INDEX(Forms貼り付け!$A:$AZ,49,W$3)),1),""))</f>
        <v/>
      </c>
      <c r="X50" s="8">
        <f>IF(X$3="","",IFERROR(LEFT(TRIM(INDEX(Forms貼り付け!$A:$AZ,49,X$3)),1),""))</f>
        <v/>
      </c>
      <c r="Y50" s="8">
        <f>IF(Y$3="","",IFERROR(LEFT(TRIM(INDEX(Forms貼り付け!$A:$AZ,49,Y$3)),1),""))</f>
        <v/>
      </c>
      <c r="Z50" s="8">
        <f>IF(Z$3="","",IFERROR(LEFT(TRIM(INDEX(Forms貼り付け!$A:$AZ,49,Z$3)),1),""))</f>
        <v/>
      </c>
      <c r="AA50" s="8">
        <f>IF(AA$3="","",IFERROR(LEFT(TRIM(INDEX(Forms貼り付け!$A:$AZ,49,AA$3)),1),""))</f>
        <v/>
      </c>
      <c r="AB50" s="8">
        <f>IF(AB$3="","",IFERROR(LEFT(TRIM(INDEX(Forms貼り付け!$A:$AZ,49,AB$3)),1),""))</f>
        <v/>
      </c>
      <c r="AC50" s="8">
        <f>IF(AC$3="","",IFERROR(LEFT(TRIM(INDEX(Forms貼り付け!$A:$AZ,49,AC$3)),1),""))</f>
        <v/>
      </c>
      <c r="AD50" s="8">
        <f>IF(AD$3="","",IFERROR(LEFT(TRIM(INDEX(Forms貼り付け!$A:$AZ,49,AD$3)),1),""))</f>
        <v/>
      </c>
      <c r="AE50" s="8">
        <f>IF(AE$3="","",IFERROR(LEFT(TRIM(INDEX(Forms貼り付け!$A:$AZ,49,AE$3)),1),""))</f>
        <v/>
      </c>
      <c r="AF50" s="8">
        <f>IF(AF$3="","",IFERROR(LEFT(TRIM(INDEX(Forms貼り付け!$A:$AZ,49,AF$3)),1),""))</f>
        <v/>
      </c>
      <c r="AG50" s="8">
        <f>IF(AG$3="","",IFERROR(LEFT(TRIM(INDEX(Forms貼り付け!$A:$AZ,49,AG$3)),1),""))</f>
        <v/>
      </c>
      <c r="AH50" s="8">
        <f>IF(AH$3="","",IFERROR(LEFT(TRIM(INDEX(Forms貼り付け!$A:$AZ,49,AH$3)),1),""))</f>
        <v/>
      </c>
      <c r="AI50" s="8">
        <f>IF(AI$3="","",IFERROR(LEFT(TRIM(INDEX(Forms貼り付け!$A:$AZ,49,AI$3)),1),""))</f>
        <v/>
      </c>
      <c r="AJ50" s="8">
        <f>IF(AJ$3="","",IFERROR(LEFT(TRIM(INDEX(Forms貼り付け!$A:$AZ,49,AJ$3)),1),""))</f>
        <v/>
      </c>
      <c r="AK50" s="8">
        <f>IF(AK$3="","",IFERROR(LEFT(TRIM(INDEX(Forms貼り付け!$A:$AZ,49,AK$3)),1),""))</f>
        <v/>
      </c>
      <c r="AL50" s="8">
        <f>IF(AL$3="","",IFERROR(LEFT(TRIM(INDEX(Forms貼り付け!$A:$AZ,49,AL$3)),1),""))</f>
        <v/>
      </c>
      <c r="AM50" s="8">
        <f>IF(AM$3="","",IFERROR(LEFT(TRIM(INDEX(Forms貼り付け!$A:$AZ,49,AM$3)),1),""))</f>
        <v/>
      </c>
      <c r="AN50" s="8">
        <f>IF(AN$3="","",IFERROR(LEFT(TRIM(INDEX(Forms貼り付け!$A:$AZ,49,AN$3)),1),""))</f>
        <v/>
      </c>
      <c r="AO50" s="8">
        <f>IF(AO$3="","",IFERROR(LEFT(TRIM(INDEX(Forms貼り付け!$A:$AZ,49,AO$3)),1),""))</f>
        <v/>
      </c>
      <c r="AP50" s="8">
        <f>IF(AP$3="","",IFERROR(LEFT(TRIM(INDEX(Forms貼り付け!$A:$AZ,49,AP$3)),1),""))</f>
        <v/>
      </c>
      <c r="AQ50" s="8">
        <f>IF(AQ$3="","",IFERROR(LEFT(TRIM(INDEX(Forms貼り付け!$A:$AZ,49,AQ$3)),1),""))</f>
        <v/>
      </c>
      <c r="AR50" s="8">
        <f>IF(AR$3="","",IFERROR(LEFT(TRIM(INDEX(Forms貼り付け!$A:$AZ,49,AR$3)),1),""))</f>
        <v/>
      </c>
      <c r="AS50" s="8">
        <f>IF(AS$3="","",IFERROR(LEFT(TRIM(INDEX(Forms貼り付け!$A:$AZ,49,AS$3)),1),""))</f>
        <v/>
      </c>
      <c r="AT50" s="8">
        <f>IF(AT$3="","",IFERROR(LEFT(TRIM(INDEX(Forms貼り付け!$A:$AZ,49,AT$3)),1),""))</f>
        <v/>
      </c>
      <c r="AU50" s="8">
        <f>IF(AU$3="","",IFERROR(LEFT(TRIM(INDEX(Forms貼り付け!$A:$AZ,49,AU$3)),1),""))</f>
        <v/>
      </c>
      <c r="AV50" s="8">
        <f>IF(AV$3="","",IFERROR(LEFT(TRIM(INDEX(Forms貼り付け!$A:$AZ,49,AV$3)),1),""))</f>
        <v/>
      </c>
      <c r="AW50" s="8">
        <f>IF(AW$3="","",IFERROR(LEFT(TRIM(INDEX(Forms貼り付け!$A:$AZ,49,AW$3)),1),""))</f>
        <v/>
      </c>
      <c r="AX50" s="8">
        <f>IF(AX$3="","",IFERROR(LEFT(TRIM(INDEX(Forms貼り付け!$A:$AZ,49,AX$3)),1),""))</f>
        <v/>
      </c>
      <c r="AY50" s="8">
        <f>IF(AY$3="","",IFERROR(LEFT(TRIM(INDEX(Forms貼り付け!$A:$AZ,49,AY$3)),1),""))</f>
        <v/>
      </c>
      <c r="AZ50" s="8">
        <f>IF(AZ$3="","",IFERROR(LEFT(TRIM(INDEX(Forms貼り付け!$A:$AZ,49,AZ$3)),1),""))</f>
        <v/>
      </c>
      <c r="BA50" s="8">
        <f>IF(BA$3="","",IFERROR(LEFT(TRIM(INDEX(Forms貼り付け!$A:$AZ,49,BA$3)),1),""))</f>
        <v/>
      </c>
      <c r="BB50" s="8">
        <f>IF(BB$3="","",IFERROR(LEFT(TRIM(INDEX(Forms貼り付け!$A:$AZ,49,BB$3)),1),""))</f>
        <v/>
      </c>
      <c r="BC50" s="8">
        <f>IF(BC$3="","",IFERROR(LEFT(TRIM(INDEX(Forms貼り付け!$A:$AZ,49,BC$3)),1),""))</f>
        <v/>
      </c>
    </row>
    <row r="51">
      <c r="A51" s="8" t="inlineStr">
        <is>
          <t>U047</t>
        </is>
      </c>
      <c r="B51" s="9">
        <f>IF($B$3="","",INDEX(Forms貼り付け!$A:$AZ,50,$B$3))</f>
        <v/>
      </c>
      <c r="C51" s="9">
        <f>IF($C$3="","",INDEX(Forms貼り付け!$A:$AZ,50,$C$3))</f>
        <v/>
      </c>
      <c r="D51" s="8">
        <f>IF($D$3="","",INDEX(Forms貼り付け!$A:$AZ,50,$D$3))</f>
        <v/>
      </c>
      <c r="E51" s="8">
        <f>IF($E$3="","",INDEX(Forms貼り付け!$A:$AZ,50,$E$3))</f>
        <v/>
      </c>
      <c r="F51" s="8">
        <f>IF(F$3="","",IFERROR(LEFT(TRIM(INDEX(Forms貼り付け!$A:$AZ,50,F$3)),1),""))</f>
        <v/>
      </c>
      <c r="G51" s="8">
        <f>IF(G$3="","",IFERROR(LEFT(TRIM(INDEX(Forms貼り付け!$A:$AZ,50,G$3)),1),""))</f>
        <v/>
      </c>
      <c r="H51" s="8">
        <f>IF(H$3="","",IFERROR(LEFT(TRIM(INDEX(Forms貼り付け!$A:$AZ,50,H$3)),1),""))</f>
        <v/>
      </c>
      <c r="I51" s="8">
        <f>IF(I$3="","",IFERROR(LEFT(TRIM(INDEX(Forms貼り付け!$A:$AZ,50,I$3)),1),""))</f>
        <v/>
      </c>
      <c r="J51" s="8">
        <f>IF(J$3="","",IFERROR(LEFT(TRIM(INDEX(Forms貼り付け!$A:$AZ,50,J$3)),1),""))</f>
        <v/>
      </c>
      <c r="K51" s="8">
        <f>IF(K$3="","",IFERROR(LEFT(TRIM(INDEX(Forms貼り付け!$A:$AZ,50,K$3)),1),""))</f>
        <v/>
      </c>
      <c r="L51" s="8">
        <f>IF(L$3="","",IFERROR(LEFT(TRIM(INDEX(Forms貼り付け!$A:$AZ,50,L$3)),1),""))</f>
        <v/>
      </c>
      <c r="M51" s="8">
        <f>IF(M$3="","",IFERROR(LEFT(TRIM(INDEX(Forms貼り付け!$A:$AZ,50,M$3)),1),""))</f>
        <v/>
      </c>
      <c r="N51" s="8">
        <f>IF(N$3="","",IFERROR(LEFT(TRIM(INDEX(Forms貼り付け!$A:$AZ,50,N$3)),1),""))</f>
        <v/>
      </c>
      <c r="O51" s="8">
        <f>IF(O$3="","",IFERROR(LEFT(TRIM(INDEX(Forms貼り付け!$A:$AZ,50,O$3)),1),""))</f>
        <v/>
      </c>
      <c r="P51" s="8">
        <f>IF(P$3="","",IFERROR(LEFT(TRIM(INDEX(Forms貼り付け!$A:$AZ,50,P$3)),1),""))</f>
        <v/>
      </c>
      <c r="Q51" s="8">
        <f>IF(Q$3="","",IFERROR(LEFT(TRIM(INDEX(Forms貼り付け!$A:$AZ,50,Q$3)),1),""))</f>
        <v/>
      </c>
      <c r="R51" s="8">
        <f>IF(R$3="","",IFERROR(LEFT(TRIM(INDEX(Forms貼り付け!$A:$AZ,50,R$3)),1),""))</f>
        <v/>
      </c>
      <c r="S51" s="8">
        <f>IF(S$3="","",IFERROR(LEFT(TRIM(INDEX(Forms貼り付け!$A:$AZ,50,S$3)),1),""))</f>
        <v/>
      </c>
      <c r="T51" s="8">
        <f>IF(T$3="","",IFERROR(LEFT(TRIM(INDEX(Forms貼り付け!$A:$AZ,50,T$3)),1),""))</f>
        <v/>
      </c>
      <c r="U51" s="8">
        <f>IF(U$3="","",IFERROR(LEFT(TRIM(INDEX(Forms貼り付け!$A:$AZ,50,U$3)),1),""))</f>
        <v/>
      </c>
      <c r="V51" s="8">
        <f>IF(V$3="","",IFERROR(LEFT(TRIM(INDEX(Forms貼り付け!$A:$AZ,50,V$3)),1),""))</f>
        <v/>
      </c>
      <c r="W51" s="8">
        <f>IF(W$3="","",IFERROR(LEFT(TRIM(INDEX(Forms貼り付け!$A:$AZ,50,W$3)),1),""))</f>
        <v/>
      </c>
      <c r="X51" s="8">
        <f>IF(X$3="","",IFERROR(LEFT(TRIM(INDEX(Forms貼り付け!$A:$AZ,50,X$3)),1),""))</f>
        <v/>
      </c>
      <c r="Y51" s="8">
        <f>IF(Y$3="","",IFERROR(LEFT(TRIM(INDEX(Forms貼り付け!$A:$AZ,50,Y$3)),1),""))</f>
        <v/>
      </c>
      <c r="Z51" s="8">
        <f>IF(Z$3="","",IFERROR(LEFT(TRIM(INDEX(Forms貼り付け!$A:$AZ,50,Z$3)),1),""))</f>
        <v/>
      </c>
      <c r="AA51" s="8">
        <f>IF(AA$3="","",IFERROR(LEFT(TRIM(INDEX(Forms貼り付け!$A:$AZ,50,AA$3)),1),""))</f>
        <v/>
      </c>
      <c r="AB51" s="8">
        <f>IF(AB$3="","",IFERROR(LEFT(TRIM(INDEX(Forms貼り付け!$A:$AZ,50,AB$3)),1),""))</f>
        <v/>
      </c>
      <c r="AC51" s="8">
        <f>IF(AC$3="","",IFERROR(LEFT(TRIM(INDEX(Forms貼り付け!$A:$AZ,50,AC$3)),1),""))</f>
        <v/>
      </c>
      <c r="AD51" s="8">
        <f>IF(AD$3="","",IFERROR(LEFT(TRIM(INDEX(Forms貼り付け!$A:$AZ,50,AD$3)),1),""))</f>
        <v/>
      </c>
      <c r="AE51" s="8">
        <f>IF(AE$3="","",IFERROR(LEFT(TRIM(INDEX(Forms貼り付け!$A:$AZ,50,AE$3)),1),""))</f>
        <v/>
      </c>
      <c r="AF51" s="8">
        <f>IF(AF$3="","",IFERROR(LEFT(TRIM(INDEX(Forms貼り付け!$A:$AZ,50,AF$3)),1),""))</f>
        <v/>
      </c>
      <c r="AG51" s="8">
        <f>IF(AG$3="","",IFERROR(LEFT(TRIM(INDEX(Forms貼り付け!$A:$AZ,50,AG$3)),1),""))</f>
        <v/>
      </c>
      <c r="AH51" s="8">
        <f>IF(AH$3="","",IFERROR(LEFT(TRIM(INDEX(Forms貼り付け!$A:$AZ,50,AH$3)),1),""))</f>
        <v/>
      </c>
      <c r="AI51" s="8">
        <f>IF(AI$3="","",IFERROR(LEFT(TRIM(INDEX(Forms貼り付け!$A:$AZ,50,AI$3)),1),""))</f>
        <v/>
      </c>
      <c r="AJ51" s="8">
        <f>IF(AJ$3="","",IFERROR(LEFT(TRIM(INDEX(Forms貼り付け!$A:$AZ,50,AJ$3)),1),""))</f>
        <v/>
      </c>
      <c r="AK51" s="8">
        <f>IF(AK$3="","",IFERROR(LEFT(TRIM(INDEX(Forms貼り付け!$A:$AZ,50,AK$3)),1),""))</f>
        <v/>
      </c>
      <c r="AL51" s="8">
        <f>IF(AL$3="","",IFERROR(LEFT(TRIM(INDEX(Forms貼り付け!$A:$AZ,50,AL$3)),1),""))</f>
        <v/>
      </c>
      <c r="AM51" s="8">
        <f>IF(AM$3="","",IFERROR(LEFT(TRIM(INDEX(Forms貼り付け!$A:$AZ,50,AM$3)),1),""))</f>
        <v/>
      </c>
      <c r="AN51" s="8">
        <f>IF(AN$3="","",IFERROR(LEFT(TRIM(INDEX(Forms貼り付け!$A:$AZ,50,AN$3)),1),""))</f>
        <v/>
      </c>
      <c r="AO51" s="8">
        <f>IF(AO$3="","",IFERROR(LEFT(TRIM(INDEX(Forms貼り付け!$A:$AZ,50,AO$3)),1),""))</f>
        <v/>
      </c>
      <c r="AP51" s="8">
        <f>IF(AP$3="","",IFERROR(LEFT(TRIM(INDEX(Forms貼り付け!$A:$AZ,50,AP$3)),1),""))</f>
        <v/>
      </c>
      <c r="AQ51" s="8">
        <f>IF(AQ$3="","",IFERROR(LEFT(TRIM(INDEX(Forms貼り付け!$A:$AZ,50,AQ$3)),1),""))</f>
        <v/>
      </c>
      <c r="AR51" s="8">
        <f>IF(AR$3="","",IFERROR(LEFT(TRIM(INDEX(Forms貼り付け!$A:$AZ,50,AR$3)),1),""))</f>
        <v/>
      </c>
      <c r="AS51" s="8">
        <f>IF(AS$3="","",IFERROR(LEFT(TRIM(INDEX(Forms貼り付け!$A:$AZ,50,AS$3)),1),""))</f>
        <v/>
      </c>
      <c r="AT51" s="8">
        <f>IF(AT$3="","",IFERROR(LEFT(TRIM(INDEX(Forms貼り付け!$A:$AZ,50,AT$3)),1),""))</f>
        <v/>
      </c>
      <c r="AU51" s="8">
        <f>IF(AU$3="","",IFERROR(LEFT(TRIM(INDEX(Forms貼り付け!$A:$AZ,50,AU$3)),1),""))</f>
        <v/>
      </c>
      <c r="AV51" s="8">
        <f>IF(AV$3="","",IFERROR(LEFT(TRIM(INDEX(Forms貼り付け!$A:$AZ,50,AV$3)),1),""))</f>
        <v/>
      </c>
      <c r="AW51" s="8">
        <f>IF(AW$3="","",IFERROR(LEFT(TRIM(INDEX(Forms貼り付け!$A:$AZ,50,AW$3)),1),""))</f>
        <v/>
      </c>
      <c r="AX51" s="8">
        <f>IF(AX$3="","",IFERROR(LEFT(TRIM(INDEX(Forms貼り付け!$A:$AZ,50,AX$3)),1),""))</f>
        <v/>
      </c>
      <c r="AY51" s="8">
        <f>IF(AY$3="","",IFERROR(LEFT(TRIM(INDEX(Forms貼り付け!$A:$AZ,50,AY$3)),1),""))</f>
        <v/>
      </c>
      <c r="AZ51" s="8">
        <f>IF(AZ$3="","",IFERROR(LEFT(TRIM(INDEX(Forms貼り付け!$A:$AZ,50,AZ$3)),1),""))</f>
        <v/>
      </c>
      <c r="BA51" s="8">
        <f>IF(BA$3="","",IFERROR(LEFT(TRIM(INDEX(Forms貼り付け!$A:$AZ,50,BA$3)),1),""))</f>
        <v/>
      </c>
      <c r="BB51" s="8">
        <f>IF(BB$3="","",IFERROR(LEFT(TRIM(INDEX(Forms貼り付け!$A:$AZ,50,BB$3)),1),""))</f>
        <v/>
      </c>
      <c r="BC51" s="8">
        <f>IF(BC$3="","",IFERROR(LEFT(TRIM(INDEX(Forms貼り付け!$A:$AZ,50,BC$3)),1),""))</f>
        <v/>
      </c>
    </row>
    <row r="52">
      <c r="A52" s="8" t="inlineStr">
        <is>
          <t>U048</t>
        </is>
      </c>
      <c r="B52" s="9">
        <f>IF($B$3="","",INDEX(Forms貼り付け!$A:$AZ,51,$B$3))</f>
        <v/>
      </c>
      <c r="C52" s="9">
        <f>IF($C$3="","",INDEX(Forms貼り付け!$A:$AZ,51,$C$3))</f>
        <v/>
      </c>
      <c r="D52" s="8">
        <f>IF($D$3="","",INDEX(Forms貼り付け!$A:$AZ,51,$D$3))</f>
        <v/>
      </c>
      <c r="E52" s="8">
        <f>IF($E$3="","",INDEX(Forms貼り付け!$A:$AZ,51,$E$3))</f>
        <v/>
      </c>
      <c r="F52" s="8">
        <f>IF(F$3="","",IFERROR(LEFT(TRIM(INDEX(Forms貼り付け!$A:$AZ,51,F$3)),1),""))</f>
        <v/>
      </c>
      <c r="G52" s="8">
        <f>IF(G$3="","",IFERROR(LEFT(TRIM(INDEX(Forms貼り付け!$A:$AZ,51,G$3)),1),""))</f>
        <v/>
      </c>
      <c r="H52" s="8">
        <f>IF(H$3="","",IFERROR(LEFT(TRIM(INDEX(Forms貼り付け!$A:$AZ,51,H$3)),1),""))</f>
        <v/>
      </c>
      <c r="I52" s="8">
        <f>IF(I$3="","",IFERROR(LEFT(TRIM(INDEX(Forms貼り付け!$A:$AZ,51,I$3)),1),""))</f>
        <v/>
      </c>
      <c r="J52" s="8">
        <f>IF(J$3="","",IFERROR(LEFT(TRIM(INDEX(Forms貼り付け!$A:$AZ,51,J$3)),1),""))</f>
        <v/>
      </c>
      <c r="K52" s="8">
        <f>IF(K$3="","",IFERROR(LEFT(TRIM(INDEX(Forms貼り付け!$A:$AZ,51,K$3)),1),""))</f>
        <v/>
      </c>
      <c r="L52" s="8">
        <f>IF(L$3="","",IFERROR(LEFT(TRIM(INDEX(Forms貼り付け!$A:$AZ,51,L$3)),1),""))</f>
        <v/>
      </c>
      <c r="M52" s="8">
        <f>IF(M$3="","",IFERROR(LEFT(TRIM(INDEX(Forms貼り付け!$A:$AZ,51,M$3)),1),""))</f>
        <v/>
      </c>
      <c r="N52" s="8">
        <f>IF(N$3="","",IFERROR(LEFT(TRIM(INDEX(Forms貼り付け!$A:$AZ,51,N$3)),1),""))</f>
        <v/>
      </c>
      <c r="O52" s="8">
        <f>IF(O$3="","",IFERROR(LEFT(TRIM(INDEX(Forms貼り付け!$A:$AZ,51,O$3)),1),""))</f>
        <v/>
      </c>
      <c r="P52" s="8">
        <f>IF(P$3="","",IFERROR(LEFT(TRIM(INDEX(Forms貼り付け!$A:$AZ,51,P$3)),1),""))</f>
        <v/>
      </c>
      <c r="Q52" s="8">
        <f>IF(Q$3="","",IFERROR(LEFT(TRIM(INDEX(Forms貼り付け!$A:$AZ,51,Q$3)),1),""))</f>
        <v/>
      </c>
      <c r="R52" s="8">
        <f>IF(R$3="","",IFERROR(LEFT(TRIM(INDEX(Forms貼り付け!$A:$AZ,51,R$3)),1),""))</f>
        <v/>
      </c>
      <c r="S52" s="8">
        <f>IF(S$3="","",IFERROR(LEFT(TRIM(INDEX(Forms貼り付け!$A:$AZ,51,S$3)),1),""))</f>
        <v/>
      </c>
      <c r="T52" s="8">
        <f>IF(T$3="","",IFERROR(LEFT(TRIM(INDEX(Forms貼り付け!$A:$AZ,51,T$3)),1),""))</f>
        <v/>
      </c>
      <c r="U52" s="8">
        <f>IF(U$3="","",IFERROR(LEFT(TRIM(INDEX(Forms貼り付け!$A:$AZ,51,U$3)),1),""))</f>
        <v/>
      </c>
      <c r="V52" s="8">
        <f>IF(V$3="","",IFERROR(LEFT(TRIM(INDEX(Forms貼り付け!$A:$AZ,51,V$3)),1),""))</f>
        <v/>
      </c>
      <c r="W52" s="8">
        <f>IF(W$3="","",IFERROR(LEFT(TRIM(INDEX(Forms貼り付け!$A:$AZ,51,W$3)),1),""))</f>
        <v/>
      </c>
      <c r="X52" s="8">
        <f>IF(X$3="","",IFERROR(LEFT(TRIM(INDEX(Forms貼り付け!$A:$AZ,51,X$3)),1),""))</f>
        <v/>
      </c>
      <c r="Y52" s="8">
        <f>IF(Y$3="","",IFERROR(LEFT(TRIM(INDEX(Forms貼り付け!$A:$AZ,51,Y$3)),1),""))</f>
        <v/>
      </c>
      <c r="Z52" s="8">
        <f>IF(Z$3="","",IFERROR(LEFT(TRIM(INDEX(Forms貼り付け!$A:$AZ,51,Z$3)),1),""))</f>
        <v/>
      </c>
      <c r="AA52" s="8">
        <f>IF(AA$3="","",IFERROR(LEFT(TRIM(INDEX(Forms貼り付け!$A:$AZ,51,AA$3)),1),""))</f>
        <v/>
      </c>
      <c r="AB52" s="8">
        <f>IF(AB$3="","",IFERROR(LEFT(TRIM(INDEX(Forms貼り付け!$A:$AZ,51,AB$3)),1),""))</f>
        <v/>
      </c>
      <c r="AC52" s="8">
        <f>IF(AC$3="","",IFERROR(LEFT(TRIM(INDEX(Forms貼り付け!$A:$AZ,51,AC$3)),1),""))</f>
        <v/>
      </c>
      <c r="AD52" s="8">
        <f>IF(AD$3="","",IFERROR(LEFT(TRIM(INDEX(Forms貼り付け!$A:$AZ,51,AD$3)),1),""))</f>
        <v/>
      </c>
      <c r="AE52" s="8">
        <f>IF(AE$3="","",IFERROR(LEFT(TRIM(INDEX(Forms貼り付け!$A:$AZ,51,AE$3)),1),""))</f>
        <v/>
      </c>
      <c r="AF52" s="8">
        <f>IF(AF$3="","",IFERROR(LEFT(TRIM(INDEX(Forms貼り付け!$A:$AZ,51,AF$3)),1),""))</f>
        <v/>
      </c>
      <c r="AG52" s="8">
        <f>IF(AG$3="","",IFERROR(LEFT(TRIM(INDEX(Forms貼り付け!$A:$AZ,51,AG$3)),1),""))</f>
        <v/>
      </c>
      <c r="AH52" s="8">
        <f>IF(AH$3="","",IFERROR(LEFT(TRIM(INDEX(Forms貼り付け!$A:$AZ,51,AH$3)),1),""))</f>
        <v/>
      </c>
      <c r="AI52" s="8">
        <f>IF(AI$3="","",IFERROR(LEFT(TRIM(INDEX(Forms貼り付け!$A:$AZ,51,AI$3)),1),""))</f>
        <v/>
      </c>
      <c r="AJ52" s="8">
        <f>IF(AJ$3="","",IFERROR(LEFT(TRIM(INDEX(Forms貼り付け!$A:$AZ,51,AJ$3)),1),""))</f>
        <v/>
      </c>
      <c r="AK52" s="8">
        <f>IF(AK$3="","",IFERROR(LEFT(TRIM(INDEX(Forms貼り付け!$A:$AZ,51,AK$3)),1),""))</f>
        <v/>
      </c>
      <c r="AL52" s="8">
        <f>IF(AL$3="","",IFERROR(LEFT(TRIM(INDEX(Forms貼り付け!$A:$AZ,51,AL$3)),1),""))</f>
        <v/>
      </c>
      <c r="AM52" s="8">
        <f>IF(AM$3="","",IFERROR(LEFT(TRIM(INDEX(Forms貼り付け!$A:$AZ,51,AM$3)),1),""))</f>
        <v/>
      </c>
      <c r="AN52" s="8">
        <f>IF(AN$3="","",IFERROR(LEFT(TRIM(INDEX(Forms貼り付け!$A:$AZ,51,AN$3)),1),""))</f>
        <v/>
      </c>
      <c r="AO52" s="8">
        <f>IF(AO$3="","",IFERROR(LEFT(TRIM(INDEX(Forms貼り付け!$A:$AZ,51,AO$3)),1),""))</f>
        <v/>
      </c>
      <c r="AP52" s="8">
        <f>IF(AP$3="","",IFERROR(LEFT(TRIM(INDEX(Forms貼り付け!$A:$AZ,51,AP$3)),1),""))</f>
        <v/>
      </c>
      <c r="AQ52" s="8">
        <f>IF(AQ$3="","",IFERROR(LEFT(TRIM(INDEX(Forms貼り付け!$A:$AZ,51,AQ$3)),1),""))</f>
        <v/>
      </c>
      <c r="AR52" s="8">
        <f>IF(AR$3="","",IFERROR(LEFT(TRIM(INDEX(Forms貼り付け!$A:$AZ,51,AR$3)),1),""))</f>
        <v/>
      </c>
      <c r="AS52" s="8">
        <f>IF(AS$3="","",IFERROR(LEFT(TRIM(INDEX(Forms貼り付け!$A:$AZ,51,AS$3)),1),""))</f>
        <v/>
      </c>
      <c r="AT52" s="8">
        <f>IF(AT$3="","",IFERROR(LEFT(TRIM(INDEX(Forms貼り付け!$A:$AZ,51,AT$3)),1),""))</f>
        <v/>
      </c>
      <c r="AU52" s="8">
        <f>IF(AU$3="","",IFERROR(LEFT(TRIM(INDEX(Forms貼り付け!$A:$AZ,51,AU$3)),1),""))</f>
        <v/>
      </c>
      <c r="AV52" s="8">
        <f>IF(AV$3="","",IFERROR(LEFT(TRIM(INDEX(Forms貼り付け!$A:$AZ,51,AV$3)),1),""))</f>
        <v/>
      </c>
      <c r="AW52" s="8">
        <f>IF(AW$3="","",IFERROR(LEFT(TRIM(INDEX(Forms貼り付け!$A:$AZ,51,AW$3)),1),""))</f>
        <v/>
      </c>
      <c r="AX52" s="8">
        <f>IF(AX$3="","",IFERROR(LEFT(TRIM(INDEX(Forms貼り付け!$A:$AZ,51,AX$3)),1),""))</f>
        <v/>
      </c>
      <c r="AY52" s="8">
        <f>IF(AY$3="","",IFERROR(LEFT(TRIM(INDEX(Forms貼り付け!$A:$AZ,51,AY$3)),1),""))</f>
        <v/>
      </c>
      <c r="AZ52" s="8">
        <f>IF(AZ$3="","",IFERROR(LEFT(TRIM(INDEX(Forms貼り付け!$A:$AZ,51,AZ$3)),1),""))</f>
        <v/>
      </c>
      <c r="BA52" s="8">
        <f>IF(BA$3="","",IFERROR(LEFT(TRIM(INDEX(Forms貼り付け!$A:$AZ,51,BA$3)),1),""))</f>
        <v/>
      </c>
      <c r="BB52" s="8">
        <f>IF(BB$3="","",IFERROR(LEFT(TRIM(INDEX(Forms貼り付け!$A:$AZ,51,BB$3)),1),""))</f>
        <v/>
      </c>
      <c r="BC52" s="8">
        <f>IF(BC$3="","",IFERROR(LEFT(TRIM(INDEX(Forms貼り付け!$A:$AZ,51,BC$3)),1),""))</f>
        <v/>
      </c>
    </row>
    <row r="53">
      <c r="A53" s="8" t="inlineStr">
        <is>
          <t>U049</t>
        </is>
      </c>
      <c r="B53" s="9">
        <f>IF($B$3="","",INDEX(Forms貼り付け!$A:$AZ,52,$B$3))</f>
        <v/>
      </c>
      <c r="C53" s="9">
        <f>IF($C$3="","",INDEX(Forms貼り付け!$A:$AZ,52,$C$3))</f>
        <v/>
      </c>
      <c r="D53" s="8">
        <f>IF($D$3="","",INDEX(Forms貼り付け!$A:$AZ,52,$D$3))</f>
        <v/>
      </c>
      <c r="E53" s="8">
        <f>IF($E$3="","",INDEX(Forms貼り付け!$A:$AZ,52,$E$3))</f>
        <v/>
      </c>
      <c r="F53" s="8">
        <f>IF(F$3="","",IFERROR(LEFT(TRIM(INDEX(Forms貼り付け!$A:$AZ,52,F$3)),1),""))</f>
        <v/>
      </c>
      <c r="G53" s="8">
        <f>IF(G$3="","",IFERROR(LEFT(TRIM(INDEX(Forms貼り付け!$A:$AZ,52,G$3)),1),""))</f>
        <v/>
      </c>
      <c r="H53" s="8">
        <f>IF(H$3="","",IFERROR(LEFT(TRIM(INDEX(Forms貼り付け!$A:$AZ,52,H$3)),1),""))</f>
        <v/>
      </c>
      <c r="I53" s="8">
        <f>IF(I$3="","",IFERROR(LEFT(TRIM(INDEX(Forms貼り付け!$A:$AZ,52,I$3)),1),""))</f>
        <v/>
      </c>
      <c r="J53" s="8">
        <f>IF(J$3="","",IFERROR(LEFT(TRIM(INDEX(Forms貼り付け!$A:$AZ,52,J$3)),1),""))</f>
        <v/>
      </c>
      <c r="K53" s="8">
        <f>IF(K$3="","",IFERROR(LEFT(TRIM(INDEX(Forms貼り付け!$A:$AZ,52,K$3)),1),""))</f>
        <v/>
      </c>
      <c r="L53" s="8">
        <f>IF(L$3="","",IFERROR(LEFT(TRIM(INDEX(Forms貼り付け!$A:$AZ,52,L$3)),1),""))</f>
        <v/>
      </c>
      <c r="M53" s="8">
        <f>IF(M$3="","",IFERROR(LEFT(TRIM(INDEX(Forms貼り付け!$A:$AZ,52,M$3)),1),""))</f>
        <v/>
      </c>
      <c r="N53" s="8">
        <f>IF(N$3="","",IFERROR(LEFT(TRIM(INDEX(Forms貼り付け!$A:$AZ,52,N$3)),1),""))</f>
        <v/>
      </c>
      <c r="O53" s="8">
        <f>IF(O$3="","",IFERROR(LEFT(TRIM(INDEX(Forms貼り付け!$A:$AZ,52,O$3)),1),""))</f>
        <v/>
      </c>
      <c r="P53" s="8">
        <f>IF(P$3="","",IFERROR(LEFT(TRIM(INDEX(Forms貼り付け!$A:$AZ,52,P$3)),1),""))</f>
        <v/>
      </c>
      <c r="Q53" s="8">
        <f>IF(Q$3="","",IFERROR(LEFT(TRIM(INDEX(Forms貼り付け!$A:$AZ,52,Q$3)),1),""))</f>
        <v/>
      </c>
      <c r="R53" s="8">
        <f>IF(R$3="","",IFERROR(LEFT(TRIM(INDEX(Forms貼り付け!$A:$AZ,52,R$3)),1),""))</f>
        <v/>
      </c>
      <c r="S53" s="8">
        <f>IF(S$3="","",IFERROR(LEFT(TRIM(INDEX(Forms貼り付け!$A:$AZ,52,S$3)),1),""))</f>
        <v/>
      </c>
      <c r="T53" s="8">
        <f>IF(T$3="","",IFERROR(LEFT(TRIM(INDEX(Forms貼り付け!$A:$AZ,52,T$3)),1),""))</f>
        <v/>
      </c>
      <c r="U53" s="8">
        <f>IF(U$3="","",IFERROR(LEFT(TRIM(INDEX(Forms貼り付け!$A:$AZ,52,U$3)),1),""))</f>
        <v/>
      </c>
      <c r="V53" s="8">
        <f>IF(V$3="","",IFERROR(LEFT(TRIM(INDEX(Forms貼り付け!$A:$AZ,52,V$3)),1),""))</f>
        <v/>
      </c>
      <c r="W53" s="8">
        <f>IF(W$3="","",IFERROR(LEFT(TRIM(INDEX(Forms貼り付け!$A:$AZ,52,W$3)),1),""))</f>
        <v/>
      </c>
      <c r="X53" s="8">
        <f>IF(X$3="","",IFERROR(LEFT(TRIM(INDEX(Forms貼り付け!$A:$AZ,52,X$3)),1),""))</f>
        <v/>
      </c>
      <c r="Y53" s="8">
        <f>IF(Y$3="","",IFERROR(LEFT(TRIM(INDEX(Forms貼り付け!$A:$AZ,52,Y$3)),1),""))</f>
        <v/>
      </c>
      <c r="Z53" s="8">
        <f>IF(Z$3="","",IFERROR(LEFT(TRIM(INDEX(Forms貼り付け!$A:$AZ,52,Z$3)),1),""))</f>
        <v/>
      </c>
      <c r="AA53" s="8">
        <f>IF(AA$3="","",IFERROR(LEFT(TRIM(INDEX(Forms貼り付け!$A:$AZ,52,AA$3)),1),""))</f>
        <v/>
      </c>
      <c r="AB53" s="8">
        <f>IF(AB$3="","",IFERROR(LEFT(TRIM(INDEX(Forms貼り付け!$A:$AZ,52,AB$3)),1),""))</f>
        <v/>
      </c>
      <c r="AC53" s="8">
        <f>IF(AC$3="","",IFERROR(LEFT(TRIM(INDEX(Forms貼り付け!$A:$AZ,52,AC$3)),1),""))</f>
        <v/>
      </c>
      <c r="AD53" s="8">
        <f>IF(AD$3="","",IFERROR(LEFT(TRIM(INDEX(Forms貼り付け!$A:$AZ,52,AD$3)),1),""))</f>
        <v/>
      </c>
      <c r="AE53" s="8">
        <f>IF(AE$3="","",IFERROR(LEFT(TRIM(INDEX(Forms貼り付け!$A:$AZ,52,AE$3)),1),""))</f>
        <v/>
      </c>
      <c r="AF53" s="8">
        <f>IF(AF$3="","",IFERROR(LEFT(TRIM(INDEX(Forms貼り付け!$A:$AZ,52,AF$3)),1),""))</f>
        <v/>
      </c>
      <c r="AG53" s="8">
        <f>IF(AG$3="","",IFERROR(LEFT(TRIM(INDEX(Forms貼り付け!$A:$AZ,52,AG$3)),1),""))</f>
        <v/>
      </c>
      <c r="AH53" s="8">
        <f>IF(AH$3="","",IFERROR(LEFT(TRIM(INDEX(Forms貼り付け!$A:$AZ,52,AH$3)),1),""))</f>
        <v/>
      </c>
      <c r="AI53" s="8">
        <f>IF(AI$3="","",IFERROR(LEFT(TRIM(INDEX(Forms貼り付け!$A:$AZ,52,AI$3)),1),""))</f>
        <v/>
      </c>
      <c r="AJ53" s="8">
        <f>IF(AJ$3="","",IFERROR(LEFT(TRIM(INDEX(Forms貼り付け!$A:$AZ,52,AJ$3)),1),""))</f>
        <v/>
      </c>
      <c r="AK53" s="8">
        <f>IF(AK$3="","",IFERROR(LEFT(TRIM(INDEX(Forms貼り付け!$A:$AZ,52,AK$3)),1),""))</f>
        <v/>
      </c>
      <c r="AL53" s="8">
        <f>IF(AL$3="","",IFERROR(LEFT(TRIM(INDEX(Forms貼り付け!$A:$AZ,52,AL$3)),1),""))</f>
        <v/>
      </c>
      <c r="AM53" s="8">
        <f>IF(AM$3="","",IFERROR(LEFT(TRIM(INDEX(Forms貼り付け!$A:$AZ,52,AM$3)),1),""))</f>
        <v/>
      </c>
      <c r="AN53" s="8">
        <f>IF(AN$3="","",IFERROR(LEFT(TRIM(INDEX(Forms貼り付け!$A:$AZ,52,AN$3)),1),""))</f>
        <v/>
      </c>
      <c r="AO53" s="8">
        <f>IF(AO$3="","",IFERROR(LEFT(TRIM(INDEX(Forms貼り付け!$A:$AZ,52,AO$3)),1),""))</f>
        <v/>
      </c>
      <c r="AP53" s="8">
        <f>IF(AP$3="","",IFERROR(LEFT(TRIM(INDEX(Forms貼り付け!$A:$AZ,52,AP$3)),1),""))</f>
        <v/>
      </c>
      <c r="AQ53" s="8">
        <f>IF(AQ$3="","",IFERROR(LEFT(TRIM(INDEX(Forms貼り付け!$A:$AZ,52,AQ$3)),1),""))</f>
        <v/>
      </c>
      <c r="AR53" s="8">
        <f>IF(AR$3="","",IFERROR(LEFT(TRIM(INDEX(Forms貼り付け!$A:$AZ,52,AR$3)),1),""))</f>
        <v/>
      </c>
      <c r="AS53" s="8">
        <f>IF(AS$3="","",IFERROR(LEFT(TRIM(INDEX(Forms貼り付け!$A:$AZ,52,AS$3)),1),""))</f>
        <v/>
      </c>
      <c r="AT53" s="8">
        <f>IF(AT$3="","",IFERROR(LEFT(TRIM(INDEX(Forms貼り付け!$A:$AZ,52,AT$3)),1),""))</f>
        <v/>
      </c>
      <c r="AU53" s="8">
        <f>IF(AU$3="","",IFERROR(LEFT(TRIM(INDEX(Forms貼り付け!$A:$AZ,52,AU$3)),1),""))</f>
        <v/>
      </c>
      <c r="AV53" s="8">
        <f>IF(AV$3="","",IFERROR(LEFT(TRIM(INDEX(Forms貼り付け!$A:$AZ,52,AV$3)),1),""))</f>
        <v/>
      </c>
      <c r="AW53" s="8">
        <f>IF(AW$3="","",IFERROR(LEFT(TRIM(INDEX(Forms貼り付け!$A:$AZ,52,AW$3)),1),""))</f>
        <v/>
      </c>
      <c r="AX53" s="8">
        <f>IF(AX$3="","",IFERROR(LEFT(TRIM(INDEX(Forms貼り付け!$A:$AZ,52,AX$3)),1),""))</f>
        <v/>
      </c>
      <c r="AY53" s="8">
        <f>IF(AY$3="","",IFERROR(LEFT(TRIM(INDEX(Forms貼り付け!$A:$AZ,52,AY$3)),1),""))</f>
        <v/>
      </c>
      <c r="AZ53" s="8">
        <f>IF(AZ$3="","",IFERROR(LEFT(TRIM(INDEX(Forms貼り付け!$A:$AZ,52,AZ$3)),1),""))</f>
        <v/>
      </c>
      <c r="BA53" s="8">
        <f>IF(BA$3="","",IFERROR(LEFT(TRIM(INDEX(Forms貼り付け!$A:$AZ,52,BA$3)),1),""))</f>
        <v/>
      </c>
      <c r="BB53" s="8">
        <f>IF(BB$3="","",IFERROR(LEFT(TRIM(INDEX(Forms貼り付け!$A:$AZ,52,BB$3)),1),""))</f>
        <v/>
      </c>
      <c r="BC53" s="8">
        <f>IF(BC$3="","",IFERROR(LEFT(TRIM(INDEX(Forms貼り付け!$A:$AZ,52,BC$3)),1),""))</f>
        <v/>
      </c>
    </row>
    <row r="54">
      <c r="A54" s="8" t="inlineStr">
        <is>
          <t>U050</t>
        </is>
      </c>
      <c r="B54" s="9">
        <f>IF($B$3="","",INDEX(Forms貼り付け!$A:$AZ,53,$B$3))</f>
        <v/>
      </c>
      <c r="C54" s="9">
        <f>IF($C$3="","",INDEX(Forms貼り付け!$A:$AZ,53,$C$3))</f>
        <v/>
      </c>
      <c r="D54" s="8">
        <f>IF($D$3="","",INDEX(Forms貼り付け!$A:$AZ,53,$D$3))</f>
        <v/>
      </c>
      <c r="E54" s="8">
        <f>IF($E$3="","",INDEX(Forms貼り付け!$A:$AZ,53,$E$3))</f>
        <v/>
      </c>
      <c r="F54" s="8">
        <f>IF(F$3="","",IFERROR(LEFT(TRIM(INDEX(Forms貼り付け!$A:$AZ,53,F$3)),1),""))</f>
        <v/>
      </c>
      <c r="G54" s="8">
        <f>IF(G$3="","",IFERROR(LEFT(TRIM(INDEX(Forms貼り付け!$A:$AZ,53,G$3)),1),""))</f>
        <v/>
      </c>
      <c r="H54" s="8">
        <f>IF(H$3="","",IFERROR(LEFT(TRIM(INDEX(Forms貼り付け!$A:$AZ,53,H$3)),1),""))</f>
        <v/>
      </c>
      <c r="I54" s="8">
        <f>IF(I$3="","",IFERROR(LEFT(TRIM(INDEX(Forms貼り付け!$A:$AZ,53,I$3)),1),""))</f>
        <v/>
      </c>
      <c r="J54" s="8">
        <f>IF(J$3="","",IFERROR(LEFT(TRIM(INDEX(Forms貼り付け!$A:$AZ,53,J$3)),1),""))</f>
        <v/>
      </c>
      <c r="K54" s="8">
        <f>IF(K$3="","",IFERROR(LEFT(TRIM(INDEX(Forms貼り付け!$A:$AZ,53,K$3)),1),""))</f>
        <v/>
      </c>
      <c r="L54" s="8">
        <f>IF(L$3="","",IFERROR(LEFT(TRIM(INDEX(Forms貼り付け!$A:$AZ,53,L$3)),1),""))</f>
        <v/>
      </c>
      <c r="M54" s="8">
        <f>IF(M$3="","",IFERROR(LEFT(TRIM(INDEX(Forms貼り付け!$A:$AZ,53,M$3)),1),""))</f>
        <v/>
      </c>
      <c r="N54" s="8">
        <f>IF(N$3="","",IFERROR(LEFT(TRIM(INDEX(Forms貼り付け!$A:$AZ,53,N$3)),1),""))</f>
        <v/>
      </c>
      <c r="O54" s="8">
        <f>IF(O$3="","",IFERROR(LEFT(TRIM(INDEX(Forms貼り付け!$A:$AZ,53,O$3)),1),""))</f>
        <v/>
      </c>
      <c r="P54" s="8">
        <f>IF(P$3="","",IFERROR(LEFT(TRIM(INDEX(Forms貼り付け!$A:$AZ,53,P$3)),1),""))</f>
        <v/>
      </c>
      <c r="Q54" s="8">
        <f>IF(Q$3="","",IFERROR(LEFT(TRIM(INDEX(Forms貼り付け!$A:$AZ,53,Q$3)),1),""))</f>
        <v/>
      </c>
      <c r="R54" s="8">
        <f>IF(R$3="","",IFERROR(LEFT(TRIM(INDEX(Forms貼り付け!$A:$AZ,53,R$3)),1),""))</f>
        <v/>
      </c>
      <c r="S54" s="8">
        <f>IF(S$3="","",IFERROR(LEFT(TRIM(INDEX(Forms貼り付け!$A:$AZ,53,S$3)),1),""))</f>
        <v/>
      </c>
      <c r="T54" s="8">
        <f>IF(T$3="","",IFERROR(LEFT(TRIM(INDEX(Forms貼り付け!$A:$AZ,53,T$3)),1),""))</f>
        <v/>
      </c>
      <c r="U54" s="8">
        <f>IF(U$3="","",IFERROR(LEFT(TRIM(INDEX(Forms貼り付け!$A:$AZ,53,U$3)),1),""))</f>
        <v/>
      </c>
      <c r="V54" s="8">
        <f>IF(V$3="","",IFERROR(LEFT(TRIM(INDEX(Forms貼り付け!$A:$AZ,53,V$3)),1),""))</f>
        <v/>
      </c>
      <c r="W54" s="8">
        <f>IF(W$3="","",IFERROR(LEFT(TRIM(INDEX(Forms貼り付け!$A:$AZ,53,W$3)),1),""))</f>
        <v/>
      </c>
      <c r="X54" s="8">
        <f>IF(X$3="","",IFERROR(LEFT(TRIM(INDEX(Forms貼り付け!$A:$AZ,53,X$3)),1),""))</f>
        <v/>
      </c>
      <c r="Y54" s="8">
        <f>IF(Y$3="","",IFERROR(LEFT(TRIM(INDEX(Forms貼り付け!$A:$AZ,53,Y$3)),1),""))</f>
        <v/>
      </c>
      <c r="Z54" s="8">
        <f>IF(Z$3="","",IFERROR(LEFT(TRIM(INDEX(Forms貼り付け!$A:$AZ,53,Z$3)),1),""))</f>
        <v/>
      </c>
      <c r="AA54" s="8">
        <f>IF(AA$3="","",IFERROR(LEFT(TRIM(INDEX(Forms貼り付け!$A:$AZ,53,AA$3)),1),""))</f>
        <v/>
      </c>
      <c r="AB54" s="8">
        <f>IF(AB$3="","",IFERROR(LEFT(TRIM(INDEX(Forms貼り付け!$A:$AZ,53,AB$3)),1),""))</f>
        <v/>
      </c>
      <c r="AC54" s="8">
        <f>IF(AC$3="","",IFERROR(LEFT(TRIM(INDEX(Forms貼り付け!$A:$AZ,53,AC$3)),1),""))</f>
        <v/>
      </c>
      <c r="AD54" s="8">
        <f>IF(AD$3="","",IFERROR(LEFT(TRIM(INDEX(Forms貼り付け!$A:$AZ,53,AD$3)),1),""))</f>
        <v/>
      </c>
      <c r="AE54" s="8">
        <f>IF(AE$3="","",IFERROR(LEFT(TRIM(INDEX(Forms貼り付け!$A:$AZ,53,AE$3)),1),""))</f>
        <v/>
      </c>
      <c r="AF54" s="8">
        <f>IF(AF$3="","",IFERROR(LEFT(TRIM(INDEX(Forms貼り付け!$A:$AZ,53,AF$3)),1),""))</f>
        <v/>
      </c>
      <c r="AG54" s="8">
        <f>IF(AG$3="","",IFERROR(LEFT(TRIM(INDEX(Forms貼り付け!$A:$AZ,53,AG$3)),1),""))</f>
        <v/>
      </c>
      <c r="AH54" s="8">
        <f>IF(AH$3="","",IFERROR(LEFT(TRIM(INDEX(Forms貼り付け!$A:$AZ,53,AH$3)),1),""))</f>
        <v/>
      </c>
      <c r="AI54" s="8">
        <f>IF(AI$3="","",IFERROR(LEFT(TRIM(INDEX(Forms貼り付け!$A:$AZ,53,AI$3)),1),""))</f>
        <v/>
      </c>
      <c r="AJ54" s="8">
        <f>IF(AJ$3="","",IFERROR(LEFT(TRIM(INDEX(Forms貼り付け!$A:$AZ,53,AJ$3)),1),""))</f>
        <v/>
      </c>
      <c r="AK54" s="8">
        <f>IF(AK$3="","",IFERROR(LEFT(TRIM(INDEX(Forms貼り付け!$A:$AZ,53,AK$3)),1),""))</f>
        <v/>
      </c>
      <c r="AL54" s="8">
        <f>IF(AL$3="","",IFERROR(LEFT(TRIM(INDEX(Forms貼り付け!$A:$AZ,53,AL$3)),1),""))</f>
        <v/>
      </c>
      <c r="AM54" s="8">
        <f>IF(AM$3="","",IFERROR(LEFT(TRIM(INDEX(Forms貼り付け!$A:$AZ,53,AM$3)),1),""))</f>
        <v/>
      </c>
      <c r="AN54" s="8">
        <f>IF(AN$3="","",IFERROR(LEFT(TRIM(INDEX(Forms貼り付け!$A:$AZ,53,AN$3)),1),""))</f>
        <v/>
      </c>
      <c r="AO54" s="8">
        <f>IF(AO$3="","",IFERROR(LEFT(TRIM(INDEX(Forms貼り付け!$A:$AZ,53,AO$3)),1),""))</f>
        <v/>
      </c>
      <c r="AP54" s="8">
        <f>IF(AP$3="","",IFERROR(LEFT(TRIM(INDEX(Forms貼り付け!$A:$AZ,53,AP$3)),1),""))</f>
        <v/>
      </c>
      <c r="AQ54" s="8">
        <f>IF(AQ$3="","",IFERROR(LEFT(TRIM(INDEX(Forms貼り付け!$A:$AZ,53,AQ$3)),1),""))</f>
        <v/>
      </c>
      <c r="AR54" s="8">
        <f>IF(AR$3="","",IFERROR(LEFT(TRIM(INDEX(Forms貼り付け!$A:$AZ,53,AR$3)),1),""))</f>
        <v/>
      </c>
      <c r="AS54" s="8">
        <f>IF(AS$3="","",IFERROR(LEFT(TRIM(INDEX(Forms貼り付け!$A:$AZ,53,AS$3)),1),""))</f>
        <v/>
      </c>
      <c r="AT54" s="8">
        <f>IF(AT$3="","",IFERROR(LEFT(TRIM(INDEX(Forms貼り付け!$A:$AZ,53,AT$3)),1),""))</f>
        <v/>
      </c>
      <c r="AU54" s="8">
        <f>IF(AU$3="","",IFERROR(LEFT(TRIM(INDEX(Forms貼り付け!$A:$AZ,53,AU$3)),1),""))</f>
        <v/>
      </c>
      <c r="AV54" s="8">
        <f>IF(AV$3="","",IFERROR(LEFT(TRIM(INDEX(Forms貼り付け!$A:$AZ,53,AV$3)),1),""))</f>
        <v/>
      </c>
      <c r="AW54" s="8">
        <f>IF(AW$3="","",IFERROR(LEFT(TRIM(INDEX(Forms貼り付け!$A:$AZ,53,AW$3)),1),""))</f>
        <v/>
      </c>
      <c r="AX54" s="8">
        <f>IF(AX$3="","",IFERROR(LEFT(TRIM(INDEX(Forms貼り付け!$A:$AZ,53,AX$3)),1),""))</f>
        <v/>
      </c>
      <c r="AY54" s="8">
        <f>IF(AY$3="","",IFERROR(LEFT(TRIM(INDEX(Forms貼り付け!$A:$AZ,53,AY$3)),1),""))</f>
        <v/>
      </c>
      <c r="AZ54" s="8">
        <f>IF(AZ$3="","",IFERROR(LEFT(TRIM(INDEX(Forms貼り付け!$A:$AZ,53,AZ$3)),1),""))</f>
        <v/>
      </c>
      <c r="BA54" s="8">
        <f>IF(BA$3="","",IFERROR(LEFT(TRIM(INDEX(Forms貼り付け!$A:$AZ,53,BA$3)),1),""))</f>
        <v/>
      </c>
      <c r="BB54" s="8">
        <f>IF(BB$3="","",IFERROR(LEFT(TRIM(INDEX(Forms貼り付け!$A:$AZ,53,BB$3)),1),""))</f>
        <v/>
      </c>
      <c r="BC54" s="8">
        <f>IF(BC$3="","",IFERROR(LEFT(TRIM(INDEX(Forms貼り付け!$A:$AZ,53,BC$3)),1),""))</f>
        <v/>
      </c>
    </row>
    <row r="55">
      <c r="A55" s="8" t="inlineStr">
        <is>
          <t>U051</t>
        </is>
      </c>
      <c r="B55" s="9">
        <f>IF($B$3="","",INDEX(Forms貼り付け!$A:$AZ,54,$B$3))</f>
        <v/>
      </c>
      <c r="C55" s="9">
        <f>IF($C$3="","",INDEX(Forms貼り付け!$A:$AZ,54,$C$3))</f>
        <v/>
      </c>
      <c r="D55" s="8">
        <f>IF($D$3="","",INDEX(Forms貼り付け!$A:$AZ,54,$D$3))</f>
        <v/>
      </c>
      <c r="E55" s="8">
        <f>IF($E$3="","",INDEX(Forms貼り付け!$A:$AZ,54,$E$3))</f>
        <v/>
      </c>
      <c r="F55" s="8">
        <f>IF(F$3="","",IFERROR(LEFT(TRIM(INDEX(Forms貼り付け!$A:$AZ,54,F$3)),1),""))</f>
        <v/>
      </c>
      <c r="G55" s="8">
        <f>IF(G$3="","",IFERROR(LEFT(TRIM(INDEX(Forms貼り付け!$A:$AZ,54,G$3)),1),""))</f>
        <v/>
      </c>
      <c r="H55" s="8">
        <f>IF(H$3="","",IFERROR(LEFT(TRIM(INDEX(Forms貼り付け!$A:$AZ,54,H$3)),1),""))</f>
        <v/>
      </c>
      <c r="I55" s="8">
        <f>IF(I$3="","",IFERROR(LEFT(TRIM(INDEX(Forms貼り付け!$A:$AZ,54,I$3)),1),""))</f>
        <v/>
      </c>
      <c r="J55" s="8">
        <f>IF(J$3="","",IFERROR(LEFT(TRIM(INDEX(Forms貼り付け!$A:$AZ,54,J$3)),1),""))</f>
        <v/>
      </c>
      <c r="K55" s="8">
        <f>IF(K$3="","",IFERROR(LEFT(TRIM(INDEX(Forms貼り付け!$A:$AZ,54,K$3)),1),""))</f>
        <v/>
      </c>
      <c r="L55" s="8">
        <f>IF(L$3="","",IFERROR(LEFT(TRIM(INDEX(Forms貼り付け!$A:$AZ,54,L$3)),1),""))</f>
        <v/>
      </c>
      <c r="M55" s="8">
        <f>IF(M$3="","",IFERROR(LEFT(TRIM(INDEX(Forms貼り付け!$A:$AZ,54,M$3)),1),""))</f>
        <v/>
      </c>
      <c r="N55" s="8">
        <f>IF(N$3="","",IFERROR(LEFT(TRIM(INDEX(Forms貼り付け!$A:$AZ,54,N$3)),1),""))</f>
        <v/>
      </c>
      <c r="O55" s="8">
        <f>IF(O$3="","",IFERROR(LEFT(TRIM(INDEX(Forms貼り付け!$A:$AZ,54,O$3)),1),""))</f>
        <v/>
      </c>
      <c r="P55" s="8">
        <f>IF(P$3="","",IFERROR(LEFT(TRIM(INDEX(Forms貼り付け!$A:$AZ,54,P$3)),1),""))</f>
        <v/>
      </c>
      <c r="Q55" s="8">
        <f>IF(Q$3="","",IFERROR(LEFT(TRIM(INDEX(Forms貼り付け!$A:$AZ,54,Q$3)),1),""))</f>
        <v/>
      </c>
      <c r="R55" s="8">
        <f>IF(R$3="","",IFERROR(LEFT(TRIM(INDEX(Forms貼り付け!$A:$AZ,54,R$3)),1),""))</f>
        <v/>
      </c>
      <c r="S55" s="8">
        <f>IF(S$3="","",IFERROR(LEFT(TRIM(INDEX(Forms貼り付け!$A:$AZ,54,S$3)),1),""))</f>
        <v/>
      </c>
      <c r="T55" s="8">
        <f>IF(T$3="","",IFERROR(LEFT(TRIM(INDEX(Forms貼り付け!$A:$AZ,54,T$3)),1),""))</f>
        <v/>
      </c>
      <c r="U55" s="8">
        <f>IF(U$3="","",IFERROR(LEFT(TRIM(INDEX(Forms貼り付け!$A:$AZ,54,U$3)),1),""))</f>
        <v/>
      </c>
      <c r="V55" s="8">
        <f>IF(V$3="","",IFERROR(LEFT(TRIM(INDEX(Forms貼り付け!$A:$AZ,54,V$3)),1),""))</f>
        <v/>
      </c>
      <c r="W55" s="8">
        <f>IF(W$3="","",IFERROR(LEFT(TRIM(INDEX(Forms貼り付け!$A:$AZ,54,W$3)),1),""))</f>
        <v/>
      </c>
      <c r="X55" s="8">
        <f>IF(X$3="","",IFERROR(LEFT(TRIM(INDEX(Forms貼り付け!$A:$AZ,54,X$3)),1),""))</f>
        <v/>
      </c>
      <c r="Y55" s="8">
        <f>IF(Y$3="","",IFERROR(LEFT(TRIM(INDEX(Forms貼り付け!$A:$AZ,54,Y$3)),1),""))</f>
        <v/>
      </c>
      <c r="Z55" s="8">
        <f>IF(Z$3="","",IFERROR(LEFT(TRIM(INDEX(Forms貼り付け!$A:$AZ,54,Z$3)),1),""))</f>
        <v/>
      </c>
      <c r="AA55" s="8">
        <f>IF(AA$3="","",IFERROR(LEFT(TRIM(INDEX(Forms貼り付け!$A:$AZ,54,AA$3)),1),""))</f>
        <v/>
      </c>
      <c r="AB55" s="8">
        <f>IF(AB$3="","",IFERROR(LEFT(TRIM(INDEX(Forms貼り付け!$A:$AZ,54,AB$3)),1),""))</f>
        <v/>
      </c>
      <c r="AC55" s="8">
        <f>IF(AC$3="","",IFERROR(LEFT(TRIM(INDEX(Forms貼り付け!$A:$AZ,54,AC$3)),1),""))</f>
        <v/>
      </c>
      <c r="AD55" s="8">
        <f>IF(AD$3="","",IFERROR(LEFT(TRIM(INDEX(Forms貼り付け!$A:$AZ,54,AD$3)),1),""))</f>
        <v/>
      </c>
      <c r="AE55" s="8">
        <f>IF(AE$3="","",IFERROR(LEFT(TRIM(INDEX(Forms貼り付け!$A:$AZ,54,AE$3)),1),""))</f>
        <v/>
      </c>
      <c r="AF55" s="8">
        <f>IF(AF$3="","",IFERROR(LEFT(TRIM(INDEX(Forms貼り付け!$A:$AZ,54,AF$3)),1),""))</f>
        <v/>
      </c>
      <c r="AG55" s="8">
        <f>IF(AG$3="","",IFERROR(LEFT(TRIM(INDEX(Forms貼り付け!$A:$AZ,54,AG$3)),1),""))</f>
        <v/>
      </c>
      <c r="AH55" s="8">
        <f>IF(AH$3="","",IFERROR(LEFT(TRIM(INDEX(Forms貼り付け!$A:$AZ,54,AH$3)),1),""))</f>
        <v/>
      </c>
      <c r="AI55" s="8">
        <f>IF(AI$3="","",IFERROR(LEFT(TRIM(INDEX(Forms貼り付け!$A:$AZ,54,AI$3)),1),""))</f>
        <v/>
      </c>
      <c r="AJ55" s="8">
        <f>IF(AJ$3="","",IFERROR(LEFT(TRIM(INDEX(Forms貼り付け!$A:$AZ,54,AJ$3)),1),""))</f>
        <v/>
      </c>
      <c r="AK55" s="8">
        <f>IF(AK$3="","",IFERROR(LEFT(TRIM(INDEX(Forms貼り付け!$A:$AZ,54,AK$3)),1),""))</f>
        <v/>
      </c>
      <c r="AL55" s="8">
        <f>IF(AL$3="","",IFERROR(LEFT(TRIM(INDEX(Forms貼り付け!$A:$AZ,54,AL$3)),1),""))</f>
        <v/>
      </c>
      <c r="AM55" s="8">
        <f>IF(AM$3="","",IFERROR(LEFT(TRIM(INDEX(Forms貼り付け!$A:$AZ,54,AM$3)),1),""))</f>
        <v/>
      </c>
      <c r="AN55" s="8">
        <f>IF(AN$3="","",IFERROR(LEFT(TRIM(INDEX(Forms貼り付け!$A:$AZ,54,AN$3)),1),""))</f>
        <v/>
      </c>
      <c r="AO55" s="8">
        <f>IF(AO$3="","",IFERROR(LEFT(TRIM(INDEX(Forms貼り付け!$A:$AZ,54,AO$3)),1),""))</f>
        <v/>
      </c>
      <c r="AP55" s="8">
        <f>IF(AP$3="","",IFERROR(LEFT(TRIM(INDEX(Forms貼り付け!$A:$AZ,54,AP$3)),1),""))</f>
        <v/>
      </c>
      <c r="AQ55" s="8">
        <f>IF(AQ$3="","",IFERROR(LEFT(TRIM(INDEX(Forms貼り付け!$A:$AZ,54,AQ$3)),1),""))</f>
        <v/>
      </c>
      <c r="AR55" s="8">
        <f>IF(AR$3="","",IFERROR(LEFT(TRIM(INDEX(Forms貼り付け!$A:$AZ,54,AR$3)),1),""))</f>
        <v/>
      </c>
      <c r="AS55" s="8">
        <f>IF(AS$3="","",IFERROR(LEFT(TRIM(INDEX(Forms貼り付け!$A:$AZ,54,AS$3)),1),""))</f>
        <v/>
      </c>
      <c r="AT55" s="8">
        <f>IF(AT$3="","",IFERROR(LEFT(TRIM(INDEX(Forms貼り付け!$A:$AZ,54,AT$3)),1),""))</f>
        <v/>
      </c>
      <c r="AU55" s="8">
        <f>IF(AU$3="","",IFERROR(LEFT(TRIM(INDEX(Forms貼り付け!$A:$AZ,54,AU$3)),1),""))</f>
        <v/>
      </c>
      <c r="AV55" s="8">
        <f>IF(AV$3="","",IFERROR(LEFT(TRIM(INDEX(Forms貼り付け!$A:$AZ,54,AV$3)),1),""))</f>
        <v/>
      </c>
      <c r="AW55" s="8">
        <f>IF(AW$3="","",IFERROR(LEFT(TRIM(INDEX(Forms貼り付け!$A:$AZ,54,AW$3)),1),""))</f>
        <v/>
      </c>
      <c r="AX55" s="8">
        <f>IF(AX$3="","",IFERROR(LEFT(TRIM(INDEX(Forms貼り付け!$A:$AZ,54,AX$3)),1),""))</f>
        <v/>
      </c>
      <c r="AY55" s="8">
        <f>IF(AY$3="","",IFERROR(LEFT(TRIM(INDEX(Forms貼り付け!$A:$AZ,54,AY$3)),1),""))</f>
        <v/>
      </c>
      <c r="AZ55" s="8">
        <f>IF(AZ$3="","",IFERROR(LEFT(TRIM(INDEX(Forms貼り付け!$A:$AZ,54,AZ$3)),1),""))</f>
        <v/>
      </c>
      <c r="BA55" s="8">
        <f>IF(BA$3="","",IFERROR(LEFT(TRIM(INDEX(Forms貼り付け!$A:$AZ,54,BA$3)),1),""))</f>
        <v/>
      </c>
      <c r="BB55" s="8">
        <f>IF(BB$3="","",IFERROR(LEFT(TRIM(INDEX(Forms貼り付け!$A:$AZ,54,BB$3)),1),""))</f>
        <v/>
      </c>
      <c r="BC55" s="8">
        <f>IF(BC$3="","",IFERROR(LEFT(TRIM(INDEX(Forms貼り付け!$A:$AZ,54,BC$3)),1),""))</f>
        <v/>
      </c>
    </row>
    <row r="56">
      <c r="A56" s="8" t="inlineStr">
        <is>
          <t>U052</t>
        </is>
      </c>
      <c r="B56" s="9">
        <f>IF($B$3="","",INDEX(Forms貼り付け!$A:$AZ,55,$B$3))</f>
        <v/>
      </c>
      <c r="C56" s="9">
        <f>IF($C$3="","",INDEX(Forms貼り付け!$A:$AZ,55,$C$3))</f>
        <v/>
      </c>
      <c r="D56" s="8">
        <f>IF($D$3="","",INDEX(Forms貼り付け!$A:$AZ,55,$D$3))</f>
        <v/>
      </c>
      <c r="E56" s="8">
        <f>IF($E$3="","",INDEX(Forms貼り付け!$A:$AZ,55,$E$3))</f>
        <v/>
      </c>
      <c r="F56" s="8">
        <f>IF(F$3="","",IFERROR(LEFT(TRIM(INDEX(Forms貼り付け!$A:$AZ,55,F$3)),1),""))</f>
        <v/>
      </c>
      <c r="G56" s="8">
        <f>IF(G$3="","",IFERROR(LEFT(TRIM(INDEX(Forms貼り付け!$A:$AZ,55,G$3)),1),""))</f>
        <v/>
      </c>
      <c r="H56" s="8">
        <f>IF(H$3="","",IFERROR(LEFT(TRIM(INDEX(Forms貼り付け!$A:$AZ,55,H$3)),1),""))</f>
        <v/>
      </c>
      <c r="I56" s="8">
        <f>IF(I$3="","",IFERROR(LEFT(TRIM(INDEX(Forms貼り付け!$A:$AZ,55,I$3)),1),""))</f>
        <v/>
      </c>
      <c r="J56" s="8">
        <f>IF(J$3="","",IFERROR(LEFT(TRIM(INDEX(Forms貼り付け!$A:$AZ,55,J$3)),1),""))</f>
        <v/>
      </c>
      <c r="K56" s="8">
        <f>IF(K$3="","",IFERROR(LEFT(TRIM(INDEX(Forms貼り付け!$A:$AZ,55,K$3)),1),""))</f>
        <v/>
      </c>
      <c r="L56" s="8">
        <f>IF(L$3="","",IFERROR(LEFT(TRIM(INDEX(Forms貼り付け!$A:$AZ,55,L$3)),1),""))</f>
        <v/>
      </c>
      <c r="M56" s="8">
        <f>IF(M$3="","",IFERROR(LEFT(TRIM(INDEX(Forms貼り付け!$A:$AZ,55,M$3)),1),""))</f>
        <v/>
      </c>
      <c r="N56" s="8">
        <f>IF(N$3="","",IFERROR(LEFT(TRIM(INDEX(Forms貼り付け!$A:$AZ,55,N$3)),1),""))</f>
        <v/>
      </c>
      <c r="O56" s="8">
        <f>IF(O$3="","",IFERROR(LEFT(TRIM(INDEX(Forms貼り付け!$A:$AZ,55,O$3)),1),""))</f>
        <v/>
      </c>
      <c r="P56" s="8">
        <f>IF(P$3="","",IFERROR(LEFT(TRIM(INDEX(Forms貼り付け!$A:$AZ,55,P$3)),1),""))</f>
        <v/>
      </c>
      <c r="Q56" s="8">
        <f>IF(Q$3="","",IFERROR(LEFT(TRIM(INDEX(Forms貼り付け!$A:$AZ,55,Q$3)),1),""))</f>
        <v/>
      </c>
      <c r="R56" s="8">
        <f>IF(R$3="","",IFERROR(LEFT(TRIM(INDEX(Forms貼り付け!$A:$AZ,55,R$3)),1),""))</f>
        <v/>
      </c>
      <c r="S56" s="8">
        <f>IF(S$3="","",IFERROR(LEFT(TRIM(INDEX(Forms貼り付け!$A:$AZ,55,S$3)),1),""))</f>
        <v/>
      </c>
      <c r="T56" s="8">
        <f>IF(T$3="","",IFERROR(LEFT(TRIM(INDEX(Forms貼り付け!$A:$AZ,55,T$3)),1),""))</f>
        <v/>
      </c>
      <c r="U56" s="8">
        <f>IF(U$3="","",IFERROR(LEFT(TRIM(INDEX(Forms貼り付け!$A:$AZ,55,U$3)),1),""))</f>
        <v/>
      </c>
      <c r="V56" s="8">
        <f>IF(V$3="","",IFERROR(LEFT(TRIM(INDEX(Forms貼り付け!$A:$AZ,55,V$3)),1),""))</f>
        <v/>
      </c>
      <c r="W56" s="8">
        <f>IF(W$3="","",IFERROR(LEFT(TRIM(INDEX(Forms貼り付け!$A:$AZ,55,W$3)),1),""))</f>
        <v/>
      </c>
      <c r="X56" s="8">
        <f>IF(X$3="","",IFERROR(LEFT(TRIM(INDEX(Forms貼り付け!$A:$AZ,55,X$3)),1),""))</f>
        <v/>
      </c>
      <c r="Y56" s="8">
        <f>IF(Y$3="","",IFERROR(LEFT(TRIM(INDEX(Forms貼り付け!$A:$AZ,55,Y$3)),1),""))</f>
        <v/>
      </c>
      <c r="Z56" s="8">
        <f>IF(Z$3="","",IFERROR(LEFT(TRIM(INDEX(Forms貼り付け!$A:$AZ,55,Z$3)),1),""))</f>
        <v/>
      </c>
      <c r="AA56" s="8">
        <f>IF(AA$3="","",IFERROR(LEFT(TRIM(INDEX(Forms貼り付け!$A:$AZ,55,AA$3)),1),""))</f>
        <v/>
      </c>
      <c r="AB56" s="8">
        <f>IF(AB$3="","",IFERROR(LEFT(TRIM(INDEX(Forms貼り付け!$A:$AZ,55,AB$3)),1),""))</f>
        <v/>
      </c>
      <c r="AC56" s="8">
        <f>IF(AC$3="","",IFERROR(LEFT(TRIM(INDEX(Forms貼り付け!$A:$AZ,55,AC$3)),1),""))</f>
        <v/>
      </c>
      <c r="AD56" s="8">
        <f>IF(AD$3="","",IFERROR(LEFT(TRIM(INDEX(Forms貼り付け!$A:$AZ,55,AD$3)),1),""))</f>
        <v/>
      </c>
      <c r="AE56" s="8">
        <f>IF(AE$3="","",IFERROR(LEFT(TRIM(INDEX(Forms貼り付け!$A:$AZ,55,AE$3)),1),""))</f>
        <v/>
      </c>
      <c r="AF56" s="8">
        <f>IF(AF$3="","",IFERROR(LEFT(TRIM(INDEX(Forms貼り付け!$A:$AZ,55,AF$3)),1),""))</f>
        <v/>
      </c>
      <c r="AG56" s="8">
        <f>IF(AG$3="","",IFERROR(LEFT(TRIM(INDEX(Forms貼り付け!$A:$AZ,55,AG$3)),1),""))</f>
        <v/>
      </c>
      <c r="AH56" s="8">
        <f>IF(AH$3="","",IFERROR(LEFT(TRIM(INDEX(Forms貼り付け!$A:$AZ,55,AH$3)),1),""))</f>
        <v/>
      </c>
      <c r="AI56" s="8">
        <f>IF(AI$3="","",IFERROR(LEFT(TRIM(INDEX(Forms貼り付け!$A:$AZ,55,AI$3)),1),""))</f>
        <v/>
      </c>
      <c r="AJ56" s="8">
        <f>IF(AJ$3="","",IFERROR(LEFT(TRIM(INDEX(Forms貼り付け!$A:$AZ,55,AJ$3)),1),""))</f>
        <v/>
      </c>
      <c r="AK56" s="8">
        <f>IF(AK$3="","",IFERROR(LEFT(TRIM(INDEX(Forms貼り付け!$A:$AZ,55,AK$3)),1),""))</f>
        <v/>
      </c>
      <c r="AL56" s="8">
        <f>IF(AL$3="","",IFERROR(LEFT(TRIM(INDEX(Forms貼り付け!$A:$AZ,55,AL$3)),1),""))</f>
        <v/>
      </c>
      <c r="AM56" s="8">
        <f>IF(AM$3="","",IFERROR(LEFT(TRIM(INDEX(Forms貼り付け!$A:$AZ,55,AM$3)),1),""))</f>
        <v/>
      </c>
      <c r="AN56" s="8">
        <f>IF(AN$3="","",IFERROR(LEFT(TRIM(INDEX(Forms貼り付け!$A:$AZ,55,AN$3)),1),""))</f>
        <v/>
      </c>
      <c r="AO56" s="8">
        <f>IF(AO$3="","",IFERROR(LEFT(TRIM(INDEX(Forms貼り付け!$A:$AZ,55,AO$3)),1),""))</f>
        <v/>
      </c>
      <c r="AP56" s="8">
        <f>IF(AP$3="","",IFERROR(LEFT(TRIM(INDEX(Forms貼り付け!$A:$AZ,55,AP$3)),1),""))</f>
        <v/>
      </c>
      <c r="AQ56" s="8">
        <f>IF(AQ$3="","",IFERROR(LEFT(TRIM(INDEX(Forms貼り付け!$A:$AZ,55,AQ$3)),1),""))</f>
        <v/>
      </c>
      <c r="AR56" s="8">
        <f>IF(AR$3="","",IFERROR(LEFT(TRIM(INDEX(Forms貼り付け!$A:$AZ,55,AR$3)),1),""))</f>
        <v/>
      </c>
      <c r="AS56" s="8">
        <f>IF(AS$3="","",IFERROR(LEFT(TRIM(INDEX(Forms貼り付け!$A:$AZ,55,AS$3)),1),""))</f>
        <v/>
      </c>
      <c r="AT56" s="8">
        <f>IF(AT$3="","",IFERROR(LEFT(TRIM(INDEX(Forms貼り付け!$A:$AZ,55,AT$3)),1),""))</f>
        <v/>
      </c>
      <c r="AU56" s="8">
        <f>IF(AU$3="","",IFERROR(LEFT(TRIM(INDEX(Forms貼り付け!$A:$AZ,55,AU$3)),1),""))</f>
        <v/>
      </c>
      <c r="AV56" s="8">
        <f>IF(AV$3="","",IFERROR(LEFT(TRIM(INDEX(Forms貼り付け!$A:$AZ,55,AV$3)),1),""))</f>
        <v/>
      </c>
      <c r="AW56" s="8">
        <f>IF(AW$3="","",IFERROR(LEFT(TRIM(INDEX(Forms貼り付け!$A:$AZ,55,AW$3)),1),""))</f>
        <v/>
      </c>
      <c r="AX56" s="8">
        <f>IF(AX$3="","",IFERROR(LEFT(TRIM(INDEX(Forms貼り付け!$A:$AZ,55,AX$3)),1),""))</f>
        <v/>
      </c>
      <c r="AY56" s="8">
        <f>IF(AY$3="","",IFERROR(LEFT(TRIM(INDEX(Forms貼り付け!$A:$AZ,55,AY$3)),1),""))</f>
        <v/>
      </c>
      <c r="AZ56" s="8">
        <f>IF(AZ$3="","",IFERROR(LEFT(TRIM(INDEX(Forms貼り付け!$A:$AZ,55,AZ$3)),1),""))</f>
        <v/>
      </c>
      <c r="BA56" s="8">
        <f>IF(BA$3="","",IFERROR(LEFT(TRIM(INDEX(Forms貼り付け!$A:$AZ,55,BA$3)),1),""))</f>
        <v/>
      </c>
      <c r="BB56" s="8">
        <f>IF(BB$3="","",IFERROR(LEFT(TRIM(INDEX(Forms貼り付け!$A:$AZ,55,BB$3)),1),""))</f>
        <v/>
      </c>
      <c r="BC56" s="8">
        <f>IF(BC$3="","",IFERROR(LEFT(TRIM(INDEX(Forms貼り付け!$A:$AZ,55,BC$3)),1),""))</f>
        <v/>
      </c>
    </row>
    <row r="57">
      <c r="A57" s="8" t="inlineStr">
        <is>
          <t>U053</t>
        </is>
      </c>
      <c r="B57" s="9">
        <f>IF($B$3="","",INDEX(Forms貼り付け!$A:$AZ,56,$B$3))</f>
        <v/>
      </c>
      <c r="C57" s="9">
        <f>IF($C$3="","",INDEX(Forms貼り付け!$A:$AZ,56,$C$3))</f>
        <v/>
      </c>
      <c r="D57" s="8">
        <f>IF($D$3="","",INDEX(Forms貼り付け!$A:$AZ,56,$D$3))</f>
        <v/>
      </c>
      <c r="E57" s="8">
        <f>IF($E$3="","",INDEX(Forms貼り付け!$A:$AZ,56,$E$3))</f>
        <v/>
      </c>
      <c r="F57" s="8">
        <f>IF(F$3="","",IFERROR(LEFT(TRIM(INDEX(Forms貼り付け!$A:$AZ,56,F$3)),1),""))</f>
        <v/>
      </c>
      <c r="G57" s="8">
        <f>IF(G$3="","",IFERROR(LEFT(TRIM(INDEX(Forms貼り付け!$A:$AZ,56,G$3)),1),""))</f>
        <v/>
      </c>
      <c r="H57" s="8">
        <f>IF(H$3="","",IFERROR(LEFT(TRIM(INDEX(Forms貼り付け!$A:$AZ,56,H$3)),1),""))</f>
        <v/>
      </c>
      <c r="I57" s="8">
        <f>IF(I$3="","",IFERROR(LEFT(TRIM(INDEX(Forms貼り付け!$A:$AZ,56,I$3)),1),""))</f>
        <v/>
      </c>
      <c r="J57" s="8">
        <f>IF(J$3="","",IFERROR(LEFT(TRIM(INDEX(Forms貼り付け!$A:$AZ,56,J$3)),1),""))</f>
        <v/>
      </c>
      <c r="K57" s="8">
        <f>IF(K$3="","",IFERROR(LEFT(TRIM(INDEX(Forms貼り付け!$A:$AZ,56,K$3)),1),""))</f>
        <v/>
      </c>
      <c r="L57" s="8">
        <f>IF(L$3="","",IFERROR(LEFT(TRIM(INDEX(Forms貼り付け!$A:$AZ,56,L$3)),1),""))</f>
        <v/>
      </c>
      <c r="M57" s="8">
        <f>IF(M$3="","",IFERROR(LEFT(TRIM(INDEX(Forms貼り付け!$A:$AZ,56,M$3)),1),""))</f>
        <v/>
      </c>
      <c r="N57" s="8">
        <f>IF(N$3="","",IFERROR(LEFT(TRIM(INDEX(Forms貼り付け!$A:$AZ,56,N$3)),1),""))</f>
        <v/>
      </c>
      <c r="O57" s="8">
        <f>IF(O$3="","",IFERROR(LEFT(TRIM(INDEX(Forms貼り付け!$A:$AZ,56,O$3)),1),""))</f>
        <v/>
      </c>
      <c r="P57" s="8">
        <f>IF(P$3="","",IFERROR(LEFT(TRIM(INDEX(Forms貼り付け!$A:$AZ,56,P$3)),1),""))</f>
        <v/>
      </c>
      <c r="Q57" s="8">
        <f>IF(Q$3="","",IFERROR(LEFT(TRIM(INDEX(Forms貼り付け!$A:$AZ,56,Q$3)),1),""))</f>
        <v/>
      </c>
      <c r="R57" s="8">
        <f>IF(R$3="","",IFERROR(LEFT(TRIM(INDEX(Forms貼り付け!$A:$AZ,56,R$3)),1),""))</f>
        <v/>
      </c>
      <c r="S57" s="8">
        <f>IF(S$3="","",IFERROR(LEFT(TRIM(INDEX(Forms貼り付け!$A:$AZ,56,S$3)),1),""))</f>
        <v/>
      </c>
      <c r="T57" s="8">
        <f>IF(T$3="","",IFERROR(LEFT(TRIM(INDEX(Forms貼り付け!$A:$AZ,56,T$3)),1),""))</f>
        <v/>
      </c>
      <c r="U57" s="8">
        <f>IF(U$3="","",IFERROR(LEFT(TRIM(INDEX(Forms貼り付け!$A:$AZ,56,U$3)),1),""))</f>
        <v/>
      </c>
      <c r="V57" s="8">
        <f>IF(V$3="","",IFERROR(LEFT(TRIM(INDEX(Forms貼り付け!$A:$AZ,56,V$3)),1),""))</f>
        <v/>
      </c>
      <c r="W57" s="8">
        <f>IF(W$3="","",IFERROR(LEFT(TRIM(INDEX(Forms貼り付け!$A:$AZ,56,W$3)),1),""))</f>
        <v/>
      </c>
      <c r="X57" s="8">
        <f>IF(X$3="","",IFERROR(LEFT(TRIM(INDEX(Forms貼り付け!$A:$AZ,56,X$3)),1),""))</f>
        <v/>
      </c>
      <c r="Y57" s="8">
        <f>IF(Y$3="","",IFERROR(LEFT(TRIM(INDEX(Forms貼り付け!$A:$AZ,56,Y$3)),1),""))</f>
        <v/>
      </c>
      <c r="Z57" s="8">
        <f>IF(Z$3="","",IFERROR(LEFT(TRIM(INDEX(Forms貼り付け!$A:$AZ,56,Z$3)),1),""))</f>
        <v/>
      </c>
      <c r="AA57" s="8">
        <f>IF(AA$3="","",IFERROR(LEFT(TRIM(INDEX(Forms貼り付け!$A:$AZ,56,AA$3)),1),""))</f>
        <v/>
      </c>
      <c r="AB57" s="8">
        <f>IF(AB$3="","",IFERROR(LEFT(TRIM(INDEX(Forms貼り付け!$A:$AZ,56,AB$3)),1),""))</f>
        <v/>
      </c>
      <c r="AC57" s="8">
        <f>IF(AC$3="","",IFERROR(LEFT(TRIM(INDEX(Forms貼り付け!$A:$AZ,56,AC$3)),1),""))</f>
        <v/>
      </c>
      <c r="AD57" s="8">
        <f>IF(AD$3="","",IFERROR(LEFT(TRIM(INDEX(Forms貼り付け!$A:$AZ,56,AD$3)),1),""))</f>
        <v/>
      </c>
      <c r="AE57" s="8">
        <f>IF(AE$3="","",IFERROR(LEFT(TRIM(INDEX(Forms貼り付け!$A:$AZ,56,AE$3)),1),""))</f>
        <v/>
      </c>
      <c r="AF57" s="8">
        <f>IF(AF$3="","",IFERROR(LEFT(TRIM(INDEX(Forms貼り付け!$A:$AZ,56,AF$3)),1),""))</f>
        <v/>
      </c>
      <c r="AG57" s="8">
        <f>IF(AG$3="","",IFERROR(LEFT(TRIM(INDEX(Forms貼り付け!$A:$AZ,56,AG$3)),1),""))</f>
        <v/>
      </c>
      <c r="AH57" s="8">
        <f>IF(AH$3="","",IFERROR(LEFT(TRIM(INDEX(Forms貼り付け!$A:$AZ,56,AH$3)),1),""))</f>
        <v/>
      </c>
      <c r="AI57" s="8">
        <f>IF(AI$3="","",IFERROR(LEFT(TRIM(INDEX(Forms貼り付け!$A:$AZ,56,AI$3)),1),""))</f>
        <v/>
      </c>
      <c r="AJ57" s="8">
        <f>IF(AJ$3="","",IFERROR(LEFT(TRIM(INDEX(Forms貼り付け!$A:$AZ,56,AJ$3)),1),""))</f>
        <v/>
      </c>
      <c r="AK57" s="8">
        <f>IF(AK$3="","",IFERROR(LEFT(TRIM(INDEX(Forms貼り付け!$A:$AZ,56,AK$3)),1),""))</f>
        <v/>
      </c>
      <c r="AL57" s="8">
        <f>IF(AL$3="","",IFERROR(LEFT(TRIM(INDEX(Forms貼り付け!$A:$AZ,56,AL$3)),1),""))</f>
        <v/>
      </c>
      <c r="AM57" s="8">
        <f>IF(AM$3="","",IFERROR(LEFT(TRIM(INDEX(Forms貼り付け!$A:$AZ,56,AM$3)),1),""))</f>
        <v/>
      </c>
      <c r="AN57" s="8">
        <f>IF(AN$3="","",IFERROR(LEFT(TRIM(INDEX(Forms貼り付け!$A:$AZ,56,AN$3)),1),""))</f>
        <v/>
      </c>
      <c r="AO57" s="8">
        <f>IF(AO$3="","",IFERROR(LEFT(TRIM(INDEX(Forms貼り付け!$A:$AZ,56,AO$3)),1),""))</f>
        <v/>
      </c>
      <c r="AP57" s="8">
        <f>IF(AP$3="","",IFERROR(LEFT(TRIM(INDEX(Forms貼り付け!$A:$AZ,56,AP$3)),1),""))</f>
        <v/>
      </c>
      <c r="AQ57" s="8">
        <f>IF(AQ$3="","",IFERROR(LEFT(TRIM(INDEX(Forms貼り付け!$A:$AZ,56,AQ$3)),1),""))</f>
        <v/>
      </c>
      <c r="AR57" s="8">
        <f>IF(AR$3="","",IFERROR(LEFT(TRIM(INDEX(Forms貼り付け!$A:$AZ,56,AR$3)),1),""))</f>
        <v/>
      </c>
      <c r="AS57" s="8">
        <f>IF(AS$3="","",IFERROR(LEFT(TRIM(INDEX(Forms貼り付け!$A:$AZ,56,AS$3)),1),""))</f>
        <v/>
      </c>
      <c r="AT57" s="8">
        <f>IF(AT$3="","",IFERROR(LEFT(TRIM(INDEX(Forms貼り付け!$A:$AZ,56,AT$3)),1),""))</f>
        <v/>
      </c>
      <c r="AU57" s="8">
        <f>IF(AU$3="","",IFERROR(LEFT(TRIM(INDEX(Forms貼り付け!$A:$AZ,56,AU$3)),1),""))</f>
        <v/>
      </c>
      <c r="AV57" s="8">
        <f>IF(AV$3="","",IFERROR(LEFT(TRIM(INDEX(Forms貼り付け!$A:$AZ,56,AV$3)),1),""))</f>
        <v/>
      </c>
      <c r="AW57" s="8">
        <f>IF(AW$3="","",IFERROR(LEFT(TRIM(INDEX(Forms貼り付け!$A:$AZ,56,AW$3)),1),""))</f>
        <v/>
      </c>
      <c r="AX57" s="8">
        <f>IF(AX$3="","",IFERROR(LEFT(TRIM(INDEX(Forms貼り付け!$A:$AZ,56,AX$3)),1),""))</f>
        <v/>
      </c>
      <c r="AY57" s="8">
        <f>IF(AY$3="","",IFERROR(LEFT(TRIM(INDEX(Forms貼り付け!$A:$AZ,56,AY$3)),1),""))</f>
        <v/>
      </c>
      <c r="AZ57" s="8">
        <f>IF(AZ$3="","",IFERROR(LEFT(TRIM(INDEX(Forms貼り付け!$A:$AZ,56,AZ$3)),1),""))</f>
        <v/>
      </c>
      <c r="BA57" s="8">
        <f>IF(BA$3="","",IFERROR(LEFT(TRIM(INDEX(Forms貼り付け!$A:$AZ,56,BA$3)),1),""))</f>
        <v/>
      </c>
      <c r="BB57" s="8">
        <f>IF(BB$3="","",IFERROR(LEFT(TRIM(INDEX(Forms貼り付け!$A:$AZ,56,BB$3)),1),""))</f>
        <v/>
      </c>
      <c r="BC57" s="8">
        <f>IF(BC$3="","",IFERROR(LEFT(TRIM(INDEX(Forms貼り付け!$A:$AZ,56,BC$3)),1),""))</f>
        <v/>
      </c>
    </row>
    <row r="58">
      <c r="A58" s="8" t="inlineStr">
        <is>
          <t>U054</t>
        </is>
      </c>
      <c r="B58" s="9">
        <f>IF($B$3="","",INDEX(Forms貼り付け!$A:$AZ,57,$B$3))</f>
        <v/>
      </c>
      <c r="C58" s="9">
        <f>IF($C$3="","",INDEX(Forms貼り付け!$A:$AZ,57,$C$3))</f>
        <v/>
      </c>
      <c r="D58" s="8">
        <f>IF($D$3="","",INDEX(Forms貼り付け!$A:$AZ,57,$D$3))</f>
        <v/>
      </c>
      <c r="E58" s="8">
        <f>IF($E$3="","",INDEX(Forms貼り付け!$A:$AZ,57,$E$3))</f>
        <v/>
      </c>
      <c r="F58" s="8">
        <f>IF(F$3="","",IFERROR(LEFT(TRIM(INDEX(Forms貼り付け!$A:$AZ,57,F$3)),1),""))</f>
        <v/>
      </c>
      <c r="G58" s="8">
        <f>IF(G$3="","",IFERROR(LEFT(TRIM(INDEX(Forms貼り付け!$A:$AZ,57,G$3)),1),""))</f>
        <v/>
      </c>
      <c r="H58" s="8">
        <f>IF(H$3="","",IFERROR(LEFT(TRIM(INDEX(Forms貼り付け!$A:$AZ,57,H$3)),1),""))</f>
        <v/>
      </c>
      <c r="I58" s="8">
        <f>IF(I$3="","",IFERROR(LEFT(TRIM(INDEX(Forms貼り付け!$A:$AZ,57,I$3)),1),""))</f>
        <v/>
      </c>
      <c r="J58" s="8">
        <f>IF(J$3="","",IFERROR(LEFT(TRIM(INDEX(Forms貼り付け!$A:$AZ,57,J$3)),1),""))</f>
        <v/>
      </c>
      <c r="K58" s="8">
        <f>IF(K$3="","",IFERROR(LEFT(TRIM(INDEX(Forms貼り付け!$A:$AZ,57,K$3)),1),""))</f>
        <v/>
      </c>
      <c r="L58" s="8">
        <f>IF(L$3="","",IFERROR(LEFT(TRIM(INDEX(Forms貼り付け!$A:$AZ,57,L$3)),1),""))</f>
        <v/>
      </c>
      <c r="M58" s="8">
        <f>IF(M$3="","",IFERROR(LEFT(TRIM(INDEX(Forms貼り付け!$A:$AZ,57,M$3)),1),""))</f>
        <v/>
      </c>
      <c r="N58" s="8">
        <f>IF(N$3="","",IFERROR(LEFT(TRIM(INDEX(Forms貼り付け!$A:$AZ,57,N$3)),1),""))</f>
        <v/>
      </c>
      <c r="O58" s="8">
        <f>IF(O$3="","",IFERROR(LEFT(TRIM(INDEX(Forms貼り付け!$A:$AZ,57,O$3)),1),""))</f>
        <v/>
      </c>
      <c r="P58" s="8">
        <f>IF(P$3="","",IFERROR(LEFT(TRIM(INDEX(Forms貼り付け!$A:$AZ,57,P$3)),1),""))</f>
        <v/>
      </c>
      <c r="Q58" s="8">
        <f>IF(Q$3="","",IFERROR(LEFT(TRIM(INDEX(Forms貼り付け!$A:$AZ,57,Q$3)),1),""))</f>
        <v/>
      </c>
      <c r="R58" s="8">
        <f>IF(R$3="","",IFERROR(LEFT(TRIM(INDEX(Forms貼り付け!$A:$AZ,57,R$3)),1),""))</f>
        <v/>
      </c>
      <c r="S58" s="8">
        <f>IF(S$3="","",IFERROR(LEFT(TRIM(INDEX(Forms貼り付け!$A:$AZ,57,S$3)),1),""))</f>
        <v/>
      </c>
      <c r="T58" s="8">
        <f>IF(T$3="","",IFERROR(LEFT(TRIM(INDEX(Forms貼り付け!$A:$AZ,57,T$3)),1),""))</f>
        <v/>
      </c>
      <c r="U58" s="8">
        <f>IF(U$3="","",IFERROR(LEFT(TRIM(INDEX(Forms貼り付け!$A:$AZ,57,U$3)),1),""))</f>
        <v/>
      </c>
      <c r="V58" s="8">
        <f>IF(V$3="","",IFERROR(LEFT(TRIM(INDEX(Forms貼り付け!$A:$AZ,57,V$3)),1),""))</f>
        <v/>
      </c>
      <c r="W58" s="8">
        <f>IF(W$3="","",IFERROR(LEFT(TRIM(INDEX(Forms貼り付け!$A:$AZ,57,W$3)),1),""))</f>
        <v/>
      </c>
      <c r="X58" s="8">
        <f>IF(X$3="","",IFERROR(LEFT(TRIM(INDEX(Forms貼り付け!$A:$AZ,57,X$3)),1),""))</f>
        <v/>
      </c>
      <c r="Y58" s="8">
        <f>IF(Y$3="","",IFERROR(LEFT(TRIM(INDEX(Forms貼り付け!$A:$AZ,57,Y$3)),1),""))</f>
        <v/>
      </c>
      <c r="Z58" s="8">
        <f>IF(Z$3="","",IFERROR(LEFT(TRIM(INDEX(Forms貼り付け!$A:$AZ,57,Z$3)),1),""))</f>
        <v/>
      </c>
      <c r="AA58" s="8">
        <f>IF(AA$3="","",IFERROR(LEFT(TRIM(INDEX(Forms貼り付け!$A:$AZ,57,AA$3)),1),""))</f>
        <v/>
      </c>
      <c r="AB58" s="8">
        <f>IF(AB$3="","",IFERROR(LEFT(TRIM(INDEX(Forms貼り付け!$A:$AZ,57,AB$3)),1),""))</f>
        <v/>
      </c>
      <c r="AC58" s="8">
        <f>IF(AC$3="","",IFERROR(LEFT(TRIM(INDEX(Forms貼り付け!$A:$AZ,57,AC$3)),1),""))</f>
        <v/>
      </c>
      <c r="AD58" s="8">
        <f>IF(AD$3="","",IFERROR(LEFT(TRIM(INDEX(Forms貼り付け!$A:$AZ,57,AD$3)),1),""))</f>
        <v/>
      </c>
      <c r="AE58" s="8">
        <f>IF(AE$3="","",IFERROR(LEFT(TRIM(INDEX(Forms貼り付け!$A:$AZ,57,AE$3)),1),""))</f>
        <v/>
      </c>
      <c r="AF58" s="8">
        <f>IF(AF$3="","",IFERROR(LEFT(TRIM(INDEX(Forms貼り付け!$A:$AZ,57,AF$3)),1),""))</f>
        <v/>
      </c>
      <c r="AG58" s="8">
        <f>IF(AG$3="","",IFERROR(LEFT(TRIM(INDEX(Forms貼り付け!$A:$AZ,57,AG$3)),1),""))</f>
        <v/>
      </c>
      <c r="AH58" s="8">
        <f>IF(AH$3="","",IFERROR(LEFT(TRIM(INDEX(Forms貼り付け!$A:$AZ,57,AH$3)),1),""))</f>
        <v/>
      </c>
      <c r="AI58" s="8">
        <f>IF(AI$3="","",IFERROR(LEFT(TRIM(INDEX(Forms貼り付け!$A:$AZ,57,AI$3)),1),""))</f>
        <v/>
      </c>
      <c r="AJ58" s="8">
        <f>IF(AJ$3="","",IFERROR(LEFT(TRIM(INDEX(Forms貼り付け!$A:$AZ,57,AJ$3)),1),""))</f>
        <v/>
      </c>
      <c r="AK58" s="8">
        <f>IF(AK$3="","",IFERROR(LEFT(TRIM(INDEX(Forms貼り付け!$A:$AZ,57,AK$3)),1),""))</f>
        <v/>
      </c>
      <c r="AL58" s="8">
        <f>IF(AL$3="","",IFERROR(LEFT(TRIM(INDEX(Forms貼り付け!$A:$AZ,57,AL$3)),1),""))</f>
        <v/>
      </c>
      <c r="AM58" s="8">
        <f>IF(AM$3="","",IFERROR(LEFT(TRIM(INDEX(Forms貼り付け!$A:$AZ,57,AM$3)),1),""))</f>
        <v/>
      </c>
      <c r="AN58" s="8">
        <f>IF(AN$3="","",IFERROR(LEFT(TRIM(INDEX(Forms貼り付け!$A:$AZ,57,AN$3)),1),""))</f>
        <v/>
      </c>
      <c r="AO58" s="8">
        <f>IF(AO$3="","",IFERROR(LEFT(TRIM(INDEX(Forms貼り付け!$A:$AZ,57,AO$3)),1),""))</f>
        <v/>
      </c>
      <c r="AP58" s="8">
        <f>IF(AP$3="","",IFERROR(LEFT(TRIM(INDEX(Forms貼り付け!$A:$AZ,57,AP$3)),1),""))</f>
        <v/>
      </c>
      <c r="AQ58" s="8">
        <f>IF(AQ$3="","",IFERROR(LEFT(TRIM(INDEX(Forms貼り付け!$A:$AZ,57,AQ$3)),1),""))</f>
        <v/>
      </c>
      <c r="AR58" s="8">
        <f>IF(AR$3="","",IFERROR(LEFT(TRIM(INDEX(Forms貼り付け!$A:$AZ,57,AR$3)),1),""))</f>
        <v/>
      </c>
      <c r="AS58" s="8">
        <f>IF(AS$3="","",IFERROR(LEFT(TRIM(INDEX(Forms貼り付け!$A:$AZ,57,AS$3)),1),""))</f>
        <v/>
      </c>
      <c r="AT58" s="8">
        <f>IF(AT$3="","",IFERROR(LEFT(TRIM(INDEX(Forms貼り付け!$A:$AZ,57,AT$3)),1),""))</f>
        <v/>
      </c>
      <c r="AU58" s="8">
        <f>IF(AU$3="","",IFERROR(LEFT(TRIM(INDEX(Forms貼り付け!$A:$AZ,57,AU$3)),1),""))</f>
        <v/>
      </c>
      <c r="AV58" s="8">
        <f>IF(AV$3="","",IFERROR(LEFT(TRIM(INDEX(Forms貼り付け!$A:$AZ,57,AV$3)),1),""))</f>
        <v/>
      </c>
      <c r="AW58" s="8">
        <f>IF(AW$3="","",IFERROR(LEFT(TRIM(INDEX(Forms貼り付け!$A:$AZ,57,AW$3)),1),""))</f>
        <v/>
      </c>
      <c r="AX58" s="8">
        <f>IF(AX$3="","",IFERROR(LEFT(TRIM(INDEX(Forms貼り付け!$A:$AZ,57,AX$3)),1),""))</f>
        <v/>
      </c>
      <c r="AY58" s="8">
        <f>IF(AY$3="","",IFERROR(LEFT(TRIM(INDEX(Forms貼り付け!$A:$AZ,57,AY$3)),1),""))</f>
        <v/>
      </c>
      <c r="AZ58" s="8">
        <f>IF(AZ$3="","",IFERROR(LEFT(TRIM(INDEX(Forms貼り付け!$A:$AZ,57,AZ$3)),1),""))</f>
        <v/>
      </c>
      <c r="BA58" s="8">
        <f>IF(BA$3="","",IFERROR(LEFT(TRIM(INDEX(Forms貼り付け!$A:$AZ,57,BA$3)),1),""))</f>
        <v/>
      </c>
      <c r="BB58" s="8">
        <f>IF(BB$3="","",IFERROR(LEFT(TRIM(INDEX(Forms貼り付け!$A:$AZ,57,BB$3)),1),""))</f>
        <v/>
      </c>
      <c r="BC58" s="8">
        <f>IF(BC$3="","",IFERROR(LEFT(TRIM(INDEX(Forms貼り付け!$A:$AZ,57,BC$3)),1),""))</f>
        <v/>
      </c>
    </row>
    <row r="59">
      <c r="A59" s="8" t="inlineStr">
        <is>
          <t>U055</t>
        </is>
      </c>
      <c r="B59" s="9">
        <f>IF($B$3="","",INDEX(Forms貼り付け!$A:$AZ,58,$B$3))</f>
        <v/>
      </c>
      <c r="C59" s="9">
        <f>IF($C$3="","",INDEX(Forms貼り付け!$A:$AZ,58,$C$3))</f>
        <v/>
      </c>
      <c r="D59" s="8">
        <f>IF($D$3="","",INDEX(Forms貼り付け!$A:$AZ,58,$D$3))</f>
        <v/>
      </c>
      <c r="E59" s="8">
        <f>IF($E$3="","",INDEX(Forms貼り付け!$A:$AZ,58,$E$3))</f>
        <v/>
      </c>
      <c r="F59" s="8">
        <f>IF(F$3="","",IFERROR(LEFT(TRIM(INDEX(Forms貼り付け!$A:$AZ,58,F$3)),1),""))</f>
        <v/>
      </c>
      <c r="G59" s="8">
        <f>IF(G$3="","",IFERROR(LEFT(TRIM(INDEX(Forms貼り付け!$A:$AZ,58,G$3)),1),""))</f>
        <v/>
      </c>
      <c r="H59" s="8">
        <f>IF(H$3="","",IFERROR(LEFT(TRIM(INDEX(Forms貼り付け!$A:$AZ,58,H$3)),1),""))</f>
        <v/>
      </c>
      <c r="I59" s="8">
        <f>IF(I$3="","",IFERROR(LEFT(TRIM(INDEX(Forms貼り付け!$A:$AZ,58,I$3)),1),""))</f>
        <v/>
      </c>
      <c r="J59" s="8">
        <f>IF(J$3="","",IFERROR(LEFT(TRIM(INDEX(Forms貼り付け!$A:$AZ,58,J$3)),1),""))</f>
        <v/>
      </c>
      <c r="K59" s="8">
        <f>IF(K$3="","",IFERROR(LEFT(TRIM(INDEX(Forms貼り付け!$A:$AZ,58,K$3)),1),""))</f>
        <v/>
      </c>
      <c r="L59" s="8">
        <f>IF(L$3="","",IFERROR(LEFT(TRIM(INDEX(Forms貼り付け!$A:$AZ,58,L$3)),1),""))</f>
        <v/>
      </c>
      <c r="M59" s="8">
        <f>IF(M$3="","",IFERROR(LEFT(TRIM(INDEX(Forms貼り付け!$A:$AZ,58,M$3)),1),""))</f>
        <v/>
      </c>
      <c r="N59" s="8">
        <f>IF(N$3="","",IFERROR(LEFT(TRIM(INDEX(Forms貼り付け!$A:$AZ,58,N$3)),1),""))</f>
        <v/>
      </c>
      <c r="O59" s="8">
        <f>IF(O$3="","",IFERROR(LEFT(TRIM(INDEX(Forms貼り付け!$A:$AZ,58,O$3)),1),""))</f>
        <v/>
      </c>
      <c r="P59" s="8">
        <f>IF(P$3="","",IFERROR(LEFT(TRIM(INDEX(Forms貼り付け!$A:$AZ,58,P$3)),1),""))</f>
        <v/>
      </c>
      <c r="Q59" s="8">
        <f>IF(Q$3="","",IFERROR(LEFT(TRIM(INDEX(Forms貼り付け!$A:$AZ,58,Q$3)),1),""))</f>
        <v/>
      </c>
      <c r="R59" s="8">
        <f>IF(R$3="","",IFERROR(LEFT(TRIM(INDEX(Forms貼り付け!$A:$AZ,58,R$3)),1),""))</f>
        <v/>
      </c>
      <c r="S59" s="8">
        <f>IF(S$3="","",IFERROR(LEFT(TRIM(INDEX(Forms貼り付け!$A:$AZ,58,S$3)),1),""))</f>
        <v/>
      </c>
      <c r="T59" s="8">
        <f>IF(T$3="","",IFERROR(LEFT(TRIM(INDEX(Forms貼り付け!$A:$AZ,58,T$3)),1),""))</f>
        <v/>
      </c>
      <c r="U59" s="8">
        <f>IF(U$3="","",IFERROR(LEFT(TRIM(INDEX(Forms貼り付け!$A:$AZ,58,U$3)),1),""))</f>
        <v/>
      </c>
      <c r="V59" s="8">
        <f>IF(V$3="","",IFERROR(LEFT(TRIM(INDEX(Forms貼り付け!$A:$AZ,58,V$3)),1),""))</f>
        <v/>
      </c>
      <c r="W59" s="8">
        <f>IF(W$3="","",IFERROR(LEFT(TRIM(INDEX(Forms貼り付け!$A:$AZ,58,W$3)),1),""))</f>
        <v/>
      </c>
      <c r="X59" s="8">
        <f>IF(X$3="","",IFERROR(LEFT(TRIM(INDEX(Forms貼り付け!$A:$AZ,58,X$3)),1),""))</f>
        <v/>
      </c>
      <c r="Y59" s="8">
        <f>IF(Y$3="","",IFERROR(LEFT(TRIM(INDEX(Forms貼り付け!$A:$AZ,58,Y$3)),1),""))</f>
        <v/>
      </c>
      <c r="Z59" s="8">
        <f>IF(Z$3="","",IFERROR(LEFT(TRIM(INDEX(Forms貼り付け!$A:$AZ,58,Z$3)),1),""))</f>
        <v/>
      </c>
      <c r="AA59" s="8">
        <f>IF(AA$3="","",IFERROR(LEFT(TRIM(INDEX(Forms貼り付け!$A:$AZ,58,AA$3)),1),""))</f>
        <v/>
      </c>
      <c r="AB59" s="8">
        <f>IF(AB$3="","",IFERROR(LEFT(TRIM(INDEX(Forms貼り付け!$A:$AZ,58,AB$3)),1),""))</f>
        <v/>
      </c>
      <c r="AC59" s="8">
        <f>IF(AC$3="","",IFERROR(LEFT(TRIM(INDEX(Forms貼り付け!$A:$AZ,58,AC$3)),1),""))</f>
        <v/>
      </c>
      <c r="AD59" s="8">
        <f>IF(AD$3="","",IFERROR(LEFT(TRIM(INDEX(Forms貼り付け!$A:$AZ,58,AD$3)),1),""))</f>
        <v/>
      </c>
      <c r="AE59" s="8">
        <f>IF(AE$3="","",IFERROR(LEFT(TRIM(INDEX(Forms貼り付け!$A:$AZ,58,AE$3)),1),""))</f>
        <v/>
      </c>
      <c r="AF59" s="8">
        <f>IF(AF$3="","",IFERROR(LEFT(TRIM(INDEX(Forms貼り付け!$A:$AZ,58,AF$3)),1),""))</f>
        <v/>
      </c>
      <c r="AG59" s="8">
        <f>IF(AG$3="","",IFERROR(LEFT(TRIM(INDEX(Forms貼り付け!$A:$AZ,58,AG$3)),1),""))</f>
        <v/>
      </c>
      <c r="AH59" s="8">
        <f>IF(AH$3="","",IFERROR(LEFT(TRIM(INDEX(Forms貼り付け!$A:$AZ,58,AH$3)),1),""))</f>
        <v/>
      </c>
      <c r="AI59" s="8">
        <f>IF(AI$3="","",IFERROR(LEFT(TRIM(INDEX(Forms貼り付け!$A:$AZ,58,AI$3)),1),""))</f>
        <v/>
      </c>
      <c r="AJ59" s="8">
        <f>IF(AJ$3="","",IFERROR(LEFT(TRIM(INDEX(Forms貼り付け!$A:$AZ,58,AJ$3)),1),""))</f>
        <v/>
      </c>
      <c r="AK59" s="8">
        <f>IF(AK$3="","",IFERROR(LEFT(TRIM(INDEX(Forms貼り付け!$A:$AZ,58,AK$3)),1),""))</f>
        <v/>
      </c>
      <c r="AL59" s="8">
        <f>IF(AL$3="","",IFERROR(LEFT(TRIM(INDEX(Forms貼り付け!$A:$AZ,58,AL$3)),1),""))</f>
        <v/>
      </c>
      <c r="AM59" s="8">
        <f>IF(AM$3="","",IFERROR(LEFT(TRIM(INDEX(Forms貼り付け!$A:$AZ,58,AM$3)),1),""))</f>
        <v/>
      </c>
      <c r="AN59" s="8">
        <f>IF(AN$3="","",IFERROR(LEFT(TRIM(INDEX(Forms貼り付け!$A:$AZ,58,AN$3)),1),""))</f>
        <v/>
      </c>
      <c r="AO59" s="8">
        <f>IF(AO$3="","",IFERROR(LEFT(TRIM(INDEX(Forms貼り付け!$A:$AZ,58,AO$3)),1),""))</f>
        <v/>
      </c>
      <c r="AP59" s="8">
        <f>IF(AP$3="","",IFERROR(LEFT(TRIM(INDEX(Forms貼り付け!$A:$AZ,58,AP$3)),1),""))</f>
        <v/>
      </c>
      <c r="AQ59" s="8">
        <f>IF(AQ$3="","",IFERROR(LEFT(TRIM(INDEX(Forms貼り付け!$A:$AZ,58,AQ$3)),1),""))</f>
        <v/>
      </c>
      <c r="AR59" s="8">
        <f>IF(AR$3="","",IFERROR(LEFT(TRIM(INDEX(Forms貼り付け!$A:$AZ,58,AR$3)),1),""))</f>
        <v/>
      </c>
      <c r="AS59" s="8">
        <f>IF(AS$3="","",IFERROR(LEFT(TRIM(INDEX(Forms貼り付け!$A:$AZ,58,AS$3)),1),""))</f>
        <v/>
      </c>
      <c r="AT59" s="8">
        <f>IF(AT$3="","",IFERROR(LEFT(TRIM(INDEX(Forms貼り付け!$A:$AZ,58,AT$3)),1),""))</f>
        <v/>
      </c>
      <c r="AU59" s="8">
        <f>IF(AU$3="","",IFERROR(LEFT(TRIM(INDEX(Forms貼り付け!$A:$AZ,58,AU$3)),1),""))</f>
        <v/>
      </c>
      <c r="AV59" s="8">
        <f>IF(AV$3="","",IFERROR(LEFT(TRIM(INDEX(Forms貼り付け!$A:$AZ,58,AV$3)),1),""))</f>
        <v/>
      </c>
      <c r="AW59" s="8">
        <f>IF(AW$3="","",IFERROR(LEFT(TRIM(INDEX(Forms貼り付け!$A:$AZ,58,AW$3)),1),""))</f>
        <v/>
      </c>
      <c r="AX59" s="8">
        <f>IF(AX$3="","",IFERROR(LEFT(TRIM(INDEX(Forms貼り付け!$A:$AZ,58,AX$3)),1),""))</f>
        <v/>
      </c>
      <c r="AY59" s="8">
        <f>IF(AY$3="","",IFERROR(LEFT(TRIM(INDEX(Forms貼り付け!$A:$AZ,58,AY$3)),1),""))</f>
        <v/>
      </c>
      <c r="AZ59" s="8">
        <f>IF(AZ$3="","",IFERROR(LEFT(TRIM(INDEX(Forms貼り付け!$A:$AZ,58,AZ$3)),1),""))</f>
        <v/>
      </c>
      <c r="BA59" s="8">
        <f>IF(BA$3="","",IFERROR(LEFT(TRIM(INDEX(Forms貼り付け!$A:$AZ,58,BA$3)),1),""))</f>
        <v/>
      </c>
      <c r="BB59" s="8">
        <f>IF(BB$3="","",IFERROR(LEFT(TRIM(INDEX(Forms貼り付け!$A:$AZ,58,BB$3)),1),""))</f>
        <v/>
      </c>
      <c r="BC59" s="8">
        <f>IF(BC$3="","",IFERROR(LEFT(TRIM(INDEX(Forms貼り付け!$A:$AZ,58,BC$3)),1),""))</f>
        <v/>
      </c>
    </row>
    <row r="60">
      <c r="A60" s="8" t="inlineStr">
        <is>
          <t>U056</t>
        </is>
      </c>
      <c r="B60" s="9">
        <f>IF($B$3="","",INDEX(Forms貼り付け!$A:$AZ,59,$B$3))</f>
        <v/>
      </c>
      <c r="C60" s="9">
        <f>IF($C$3="","",INDEX(Forms貼り付け!$A:$AZ,59,$C$3))</f>
        <v/>
      </c>
      <c r="D60" s="8">
        <f>IF($D$3="","",INDEX(Forms貼り付け!$A:$AZ,59,$D$3))</f>
        <v/>
      </c>
      <c r="E60" s="8">
        <f>IF($E$3="","",INDEX(Forms貼り付け!$A:$AZ,59,$E$3))</f>
        <v/>
      </c>
      <c r="F60" s="8">
        <f>IF(F$3="","",IFERROR(LEFT(TRIM(INDEX(Forms貼り付け!$A:$AZ,59,F$3)),1),""))</f>
        <v/>
      </c>
      <c r="G60" s="8">
        <f>IF(G$3="","",IFERROR(LEFT(TRIM(INDEX(Forms貼り付け!$A:$AZ,59,G$3)),1),""))</f>
        <v/>
      </c>
      <c r="H60" s="8">
        <f>IF(H$3="","",IFERROR(LEFT(TRIM(INDEX(Forms貼り付け!$A:$AZ,59,H$3)),1),""))</f>
        <v/>
      </c>
      <c r="I60" s="8">
        <f>IF(I$3="","",IFERROR(LEFT(TRIM(INDEX(Forms貼り付け!$A:$AZ,59,I$3)),1),""))</f>
        <v/>
      </c>
      <c r="J60" s="8">
        <f>IF(J$3="","",IFERROR(LEFT(TRIM(INDEX(Forms貼り付け!$A:$AZ,59,J$3)),1),""))</f>
        <v/>
      </c>
      <c r="K60" s="8">
        <f>IF(K$3="","",IFERROR(LEFT(TRIM(INDEX(Forms貼り付け!$A:$AZ,59,K$3)),1),""))</f>
        <v/>
      </c>
      <c r="L60" s="8">
        <f>IF(L$3="","",IFERROR(LEFT(TRIM(INDEX(Forms貼り付け!$A:$AZ,59,L$3)),1),""))</f>
        <v/>
      </c>
      <c r="M60" s="8">
        <f>IF(M$3="","",IFERROR(LEFT(TRIM(INDEX(Forms貼り付け!$A:$AZ,59,M$3)),1),""))</f>
        <v/>
      </c>
      <c r="N60" s="8">
        <f>IF(N$3="","",IFERROR(LEFT(TRIM(INDEX(Forms貼り付け!$A:$AZ,59,N$3)),1),""))</f>
        <v/>
      </c>
      <c r="O60" s="8">
        <f>IF(O$3="","",IFERROR(LEFT(TRIM(INDEX(Forms貼り付け!$A:$AZ,59,O$3)),1),""))</f>
        <v/>
      </c>
      <c r="P60" s="8">
        <f>IF(P$3="","",IFERROR(LEFT(TRIM(INDEX(Forms貼り付け!$A:$AZ,59,P$3)),1),""))</f>
        <v/>
      </c>
      <c r="Q60" s="8">
        <f>IF(Q$3="","",IFERROR(LEFT(TRIM(INDEX(Forms貼り付け!$A:$AZ,59,Q$3)),1),""))</f>
        <v/>
      </c>
      <c r="R60" s="8">
        <f>IF(R$3="","",IFERROR(LEFT(TRIM(INDEX(Forms貼り付け!$A:$AZ,59,R$3)),1),""))</f>
        <v/>
      </c>
      <c r="S60" s="8">
        <f>IF(S$3="","",IFERROR(LEFT(TRIM(INDEX(Forms貼り付け!$A:$AZ,59,S$3)),1),""))</f>
        <v/>
      </c>
      <c r="T60" s="8">
        <f>IF(T$3="","",IFERROR(LEFT(TRIM(INDEX(Forms貼り付け!$A:$AZ,59,T$3)),1),""))</f>
        <v/>
      </c>
      <c r="U60" s="8">
        <f>IF(U$3="","",IFERROR(LEFT(TRIM(INDEX(Forms貼り付け!$A:$AZ,59,U$3)),1),""))</f>
        <v/>
      </c>
      <c r="V60" s="8">
        <f>IF(V$3="","",IFERROR(LEFT(TRIM(INDEX(Forms貼り付け!$A:$AZ,59,V$3)),1),""))</f>
        <v/>
      </c>
      <c r="W60" s="8">
        <f>IF(W$3="","",IFERROR(LEFT(TRIM(INDEX(Forms貼り付け!$A:$AZ,59,W$3)),1),""))</f>
        <v/>
      </c>
      <c r="X60" s="8">
        <f>IF(X$3="","",IFERROR(LEFT(TRIM(INDEX(Forms貼り付け!$A:$AZ,59,X$3)),1),""))</f>
        <v/>
      </c>
      <c r="Y60" s="8">
        <f>IF(Y$3="","",IFERROR(LEFT(TRIM(INDEX(Forms貼り付け!$A:$AZ,59,Y$3)),1),""))</f>
        <v/>
      </c>
      <c r="Z60" s="8">
        <f>IF(Z$3="","",IFERROR(LEFT(TRIM(INDEX(Forms貼り付け!$A:$AZ,59,Z$3)),1),""))</f>
        <v/>
      </c>
      <c r="AA60" s="8">
        <f>IF(AA$3="","",IFERROR(LEFT(TRIM(INDEX(Forms貼り付け!$A:$AZ,59,AA$3)),1),""))</f>
        <v/>
      </c>
      <c r="AB60" s="8">
        <f>IF(AB$3="","",IFERROR(LEFT(TRIM(INDEX(Forms貼り付け!$A:$AZ,59,AB$3)),1),""))</f>
        <v/>
      </c>
      <c r="AC60" s="8">
        <f>IF(AC$3="","",IFERROR(LEFT(TRIM(INDEX(Forms貼り付け!$A:$AZ,59,AC$3)),1),""))</f>
        <v/>
      </c>
      <c r="AD60" s="8">
        <f>IF(AD$3="","",IFERROR(LEFT(TRIM(INDEX(Forms貼り付け!$A:$AZ,59,AD$3)),1),""))</f>
        <v/>
      </c>
      <c r="AE60" s="8">
        <f>IF(AE$3="","",IFERROR(LEFT(TRIM(INDEX(Forms貼り付け!$A:$AZ,59,AE$3)),1),""))</f>
        <v/>
      </c>
      <c r="AF60" s="8">
        <f>IF(AF$3="","",IFERROR(LEFT(TRIM(INDEX(Forms貼り付け!$A:$AZ,59,AF$3)),1),""))</f>
        <v/>
      </c>
      <c r="AG60" s="8">
        <f>IF(AG$3="","",IFERROR(LEFT(TRIM(INDEX(Forms貼り付け!$A:$AZ,59,AG$3)),1),""))</f>
        <v/>
      </c>
      <c r="AH60" s="8">
        <f>IF(AH$3="","",IFERROR(LEFT(TRIM(INDEX(Forms貼り付け!$A:$AZ,59,AH$3)),1),""))</f>
        <v/>
      </c>
      <c r="AI60" s="8">
        <f>IF(AI$3="","",IFERROR(LEFT(TRIM(INDEX(Forms貼り付け!$A:$AZ,59,AI$3)),1),""))</f>
        <v/>
      </c>
      <c r="AJ60" s="8">
        <f>IF(AJ$3="","",IFERROR(LEFT(TRIM(INDEX(Forms貼り付け!$A:$AZ,59,AJ$3)),1),""))</f>
        <v/>
      </c>
      <c r="AK60" s="8">
        <f>IF(AK$3="","",IFERROR(LEFT(TRIM(INDEX(Forms貼り付け!$A:$AZ,59,AK$3)),1),""))</f>
        <v/>
      </c>
      <c r="AL60" s="8">
        <f>IF(AL$3="","",IFERROR(LEFT(TRIM(INDEX(Forms貼り付け!$A:$AZ,59,AL$3)),1),""))</f>
        <v/>
      </c>
      <c r="AM60" s="8">
        <f>IF(AM$3="","",IFERROR(LEFT(TRIM(INDEX(Forms貼り付け!$A:$AZ,59,AM$3)),1),""))</f>
        <v/>
      </c>
      <c r="AN60" s="8">
        <f>IF(AN$3="","",IFERROR(LEFT(TRIM(INDEX(Forms貼り付け!$A:$AZ,59,AN$3)),1),""))</f>
        <v/>
      </c>
      <c r="AO60" s="8">
        <f>IF(AO$3="","",IFERROR(LEFT(TRIM(INDEX(Forms貼り付け!$A:$AZ,59,AO$3)),1),""))</f>
        <v/>
      </c>
      <c r="AP60" s="8">
        <f>IF(AP$3="","",IFERROR(LEFT(TRIM(INDEX(Forms貼り付け!$A:$AZ,59,AP$3)),1),""))</f>
        <v/>
      </c>
      <c r="AQ60" s="8">
        <f>IF(AQ$3="","",IFERROR(LEFT(TRIM(INDEX(Forms貼り付け!$A:$AZ,59,AQ$3)),1),""))</f>
        <v/>
      </c>
      <c r="AR60" s="8">
        <f>IF(AR$3="","",IFERROR(LEFT(TRIM(INDEX(Forms貼り付け!$A:$AZ,59,AR$3)),1),""))</f>
        <v/>
      </c>
      <c r="AS60" s="8">
        <f>IF(AS$3="","",IFERROR(LEFT(TRIM(INDEX(Forms貼り付け!$A:$AZ,59,AS$3)),1),""))</f>
        <v/>
      </c>
      <c r="AT60" s="8">
        <f>IF(AT$3="","",IFERROR(LEFT(TRIM(INDEX(Forms貼り付け!$A:$AZ,59,AT$3)),1),""))</f>
        <v/>
      </c>
      <c r="AU60" s="8">
        <f>IF(AU$3="","",IFERROR(LEFT(TRIM(INDEX(Forms貼り付け!$A:$AZ,59,AU$3)),1),""))</f>
        <v/>
      </c>
      <c r="AV60" s="8">
        <f>IF(AV$3="","",IFERROR(LEFT(TRIM(INDEX(Forms貼り付け!$A:$AZ,59,AV$3)),1),""))</f>
        <v/>
      </c>
      <c r="AW60" s="8">
        <f>IF(AW$3="","",IFERROR(LEFT(TRIM(INDEX(Forms貼り付け!$A:$AZ,59,AW$3)),1),""))</f>
        <v/>
      </c>
      <c r="AX60" s="8">
        <f>IF(AX$3="","",IFERROR(LEFT(TRIM(INDEX(Forms貼り付け!$A:$AZ,59,AX$3)),1),""))</f>
        <v/>
      </c>
      <c r="AY60" s="8">
        <f>IF(AY$3="","",IFERROR(LEFT(TRIM(INDEX(Forms貼り付け!$A:$AZ,59,AY$3)),1),""))</f>
        <v/>
      </c>
      <c r="AZ60" s="8">
        <f>IF(AZ$3="","",IFERROR(LEFT(TRIM(INDEX(Forms貼り付け!$A:$AZ,59,AZ$3)),1),""))</f>
        <v/>
      </c>
      <c r="BA60" s="8">
        <f>IF(BA$3="","",IFERROR(LEFT(TRIM(INDEX(Forms貼り付け!$A:$AZ,59,BA$3)),1),""))</f>
        <v/>
      </c>
      <c r="BB60" s="8">
        <f>IF(BB$3="","",IFERROR(LEFT(TRIM(INDEX(Forms貼り付け!$A:$AZ,59,BB$3)),1),""))</f>
        <v/>
      </c>
      <c r="BC60" s="8">
        <f>IF(BC$3="","",IFERROR(LEFT(TRIM(INDEX(Forms貼り付け!$A:$AZ,59,BC$3)),1),""))</f>
        <v/>
      </c>
    </row>
    <row r="61">
      <c r="A61" s="8" t="inlineStr">
        <is>
          <t>U057</t>
        </is>
      </c>
      <c r="B61" s="9">
        <f>IF($B$3="","",INDEX(Forms貼り付け!$A:$AZ,60,$B$3))</f>
        <v/>
      </c>
      <c r="C61" s="9">
        <f>IF($C$3="","",INDEX(Forms貼り付け!$A:$AZ,60,$C$3))</f>
        <v/>
      </c>
      <c r="D61" s="8">
        <f>IF($D$3="","",INDEX(Forms貼り付け!$A:$AZ,60,$D$3))</f>
        <v/>
      </c>
      <c r="E61" s="8">
        <f>IF($E$3="","",INDEX(Forms貼り付け!$A:$AZ,60,$E$3))</f>
        <v/>
      </c>
      <c r="F61" s="8">
        <f>IF(F$3="","",IFERROR(LEFT(TRIM(INDEX(Forms貼り付け!$A:$AZ,60,F$3)),1),""))</f>
        <v/>
      </c>
      <c r="G61" s="8">
        <f>IF(G$3="","",IFERROR(LEFT(TRIM(INDEX(Forms貼り付け!$A:$AZ,60,G$3)),1),""))</f>
        <v/>
      </c>
      <c r="H61" s="8">
        <f>IF(H$3="","",IFERROR(LEFT(TRIM(INDEX(Forms貼り付け!$A:$AZ,60,H$3)),1),""))</f>
        <v/>
      </c>
      <c r="I61" s="8">
        <f>IF(I$3="","",IFERROR(LEFT(TRIM(INDEX(Forms貼り付け!$A:$AZ,60,I$3)),1),""))</f>
        <v/>
      </c>
      <c r="J61" s="8">
        <f>IF(J$3="","",IFERROR(LEFT(TRIM(INDEX(Forms貼り付け!$A:$AZ,60,J$3)),1),""))</f>
        <v/>
      </c>
      <c r="K61" s="8">
        <f>IF(K$3="","",IFERROR(LEFT(TRIM(INDEX(Forms貼り付け!$A:$AZ,60,K$3)),1),""))</f>
        <v/>
      </c>
      <c r="L61" s="8">
        <f>IF(L$3="","",IFERROR(LEFT(TRIM(INDEX(Forms貼り付け!$A:$AZ,60,L$3)),1),""))</f>
        <v/>
      </c>
      <c r="M61" s="8">
        <f>IF(M$3="","",IFERROR(LEFT(TRIM(INDEX(Forms貼り付け!$A:$AZ,60,M$3)),1),""))</f>
        <v/>
      </c>
      <c r="N61" s="8">
        <f>IF(N$3="","",IFERROR(LEFT(TRIM(INDEX(Forms貼り付け!$A:$AZ,60,N$3)),1),""))</f>
        <v/>
      </c>
      <c r="O61" s="8">
        <f>IF(O$3="","",IFERROR(LEFT(TRIM(INDEX(Forms貼り付け!$A:$AZ,60,O$3)),1),""))</f>
        <v/>
      </c>
      <c r="P61" s="8">
        <f>IF(P$3="","",IFERROR(LEFT(TRIM(INDEX(Forms貼り付け!$A:$AZ,60,P$3)),1),""))</f>
        <v/>
      </c>
      <c r="Q61" s="8">
        <f>IF(Q$3="","",IFERROR(LEFT(TRIM(INDEX(Forms貼り付け!$A:$AZ,60,Q$3)),1),""))</f>
        <v/>
      </c>
      <c r="R61" s="8">
        <f>IF(R$3="","",IFERROR(LEFT(TRIM(INDEX(Forms貼り付け!$A:$AZ,60,R$3)),1),""))</f>
        <v/>
      </c>
      <c r="S61" s="8">
        <f>IF(S$3="","",IFERROR(LEFT(TRIM(INDEX(Forms貼り付け!$A:$AZ,60,S$3)),1),""))</f>
        <v/>
      </c>
      <c r="T61" s="8">
        <f>IF(T$3="","",IFERROR(LEFT(TRIM(INDEX(Forms貼り付け!$A:$AZ,60,T$3)),1),""))</f>
        <v/>
      </c>
      <c r="U61" s="8">
        <f>IF(U$3="","",IFERROR(LEFT(TRIM(INDEX(Forms貼り付け!$A:$AZ,60,U$3)),1),""))</f>
        <v/>
      </c>
      <c r="V61" s="8">
        <f>IF(V$3="","",IFERROR(LEFT(TRIM(INDEX(Forms貼り付け!$A:$AZ,60,V$3)),1),""))</f>
        <v/>
      </c>
      <c r="W61" s="8">
        <f>IF(W$3="","",IFERROR(LEFT(TRIM(INDEX(Forms貼り付け!$A:$AZ,60,W$3)),1),""))</f>
        <v/>
      </c>
      <c r="X61" s="8">
        <f>IF(X$3="","",IFERROR(LEFT(TRIM(INDEX(Forms貼り付け!$A:$AZ,60,X$3)),1),""))</f>
        <v/>
      </c>
      <c r="Y61" s="8">
        <f>IF(Y$3="","",IFERROR(LEFT(TRIM(INDEX(Forms貼り付け!$A:$AZ,60,Y$3)),1),""))</f>
        <v/>
      </c>
      <c r="Z61" s="8">
        <f>IF(Z$3="","",IFERROR(LEFT(TRIM(INDEX(Forms貼り付け!$A:$AZ,60,Z$3)),1),""))</f>
        <v/>
      </c>
      <c r="AA61" s="8">
        <f>IF(AA$3="","",IFERROR(LEFT(TRIM(INDEX(Forms貼り付け!$A:$AZ,60,AA$3)),1),""))</f>
        <v/>
      </c>
      <c r="AB61" s="8">
        <f>IF(AB$3="","",IFERROR(LEFT(TRIM(INDEX(Forms貼り付け!$A:$AZ,60,AB$3)),1),""))</f>
        <v/>
      </c>
      <c r="AC61" s="8">
        <f>IF(AC$3="","",IFERROR(LEFT(TRIM(INDEX(Forms貼り付け!$A:$AZ,60,AC$3)),1),""))</f>
        <v/>
      </c>
      <c r="AD61" s="8">
        <f>IF(AD$3="","",IFERROR(LEFT(TRIM(INDEX(Forms貼り付け!$A:$AZ,60,AD$3)),1),""))</f>
        <v/>
      </c>
      <c r="AE61" s="8">
        <f>IF(AE$3="","",IFERROR(LEFT(TRIM(INDEX(Forms貼り付け!$A:$AZ,60,AE$3)),1),""))</f>
        <v/>
      </c>
      <c r="AF61" s="8">
        <f>IF(AF$3="","",IFERROR(LEFT(TRIM(INDEX(Forms貼り付け!$A:$AZ,60,AF$3)),1),""))</f>
        <v/>
      </c>
      <c r="AG61" s="8">
        <f>IF(AG$3="","",IFERROR(LEFT(TRIM(INDEX(Forms貼り付け!$A:$AZ,60,AG$3)),1),""))</f>
        <v/>
      </c>
      <c r="AH61" s="8">
        <f>IF(AH$3="","",IFERROR(LEFT(TRIM(INDEX(Forms貼り付け!$A:$AZ,60,AH$3)),1),""))</f>
        <v/>
      </c>
      <c r="AI61" s="8">
        <f>IF(AI$3="","",IFERROR(LEFT(TRIM(INDEX(Forms貼り付け!$A:$AZ,60,AI$3)),1),""))</f>
        <v/>
      </c>
      <c r="AJ61" s="8">
        <f>IF(AJ$3="","",IFERROR(LEFT(TRIM(INDEX(Forms貼り付け!$A:$AZ,60,AJ$3)),1),""))</f>
        <v/>
      </c>
      <c r="AK61" s="8">
        <f>IF(AK$3="","",IFERROR(LEFT(TRIM(INDEX(Forms貼り付け!$A:$AZ,60,AK$3)),1),""))</f>
        <v/>
      </c>
      <c r="AL61" s="8">
        <f>IF(AL$3="","",IFERROR(LEFT(TRIM(INDEX(Forms貼り付け!$A:$AZ,60,AL$3)),1),""))</f>
        <v/>
      </c>
      <c r="AM61" s="8">
        <f>IF(AM$3="","",IFERROR(LEFT(TRIM(INDEX(Forms貼り付け!$A:$AZ,60,AM$3)),1),""))</f>
        <v/>
      </c>
      <c r="AN61" s="8">
        <f>IF(AN$3="","",IFERROR(LEFT(TRIM(INDEX(Forms貼り付け!$A:$AZ,60,AN$3)),1),""))</f>
        <v/>
      </c>
      <c r="AO61" s="8">
        <f>IF(AO$3="","",IFERROR(LEFT(TRIM(INDEX(Forms貼り付け!$A:$AZ,60,AO$3)),1),""))</f>
        <v/>
      </c>
      <c r="AP61" s="8">
        <f>IF(AP$3="","",IFERROR(LEFT(TRIM(INDEX(Forms貼り付け!$A:$AZ,60,AP$3)),1),""))</f>
        <v/>
      </c>
      <c r="AQ61" s="8">
        <f>IF(AQ$3="","",IFERROR(LEFT(TRIM(INDEX(Forms貼り付け!$A:$AZ,60,AQ$3)),1),""))</f>
        <v/>
      </c>
      <c r="AR61" s="8">
        <f>IF(AR$3="","",IFERROR(LEFT(TRIM(INDEX(Forms貼り付け!$A:$AZ,60,AR$3)),1),""))</f>
        <v/>
      </c>
      <c r="AS61" s="8">
        <f>IF(AS$3="","",IFERROR(LEFT(TRIM(INDEX(Forms貼り付け!$A:$AZ,60,AS$3)),1),""))</f>
        <v/>
      </c>
      <c r="AT61" s="8">
        <f>IF(AT$3="","",IFERROR(LEFT(TRIM(INDEX(Forms貼り付け!$A:$AZ,60,AT$3)),1),""))</f>
        <v/>
      </c>
      <c r="AU61" s="8">
        <f>IF(AU$3="","",IFERROR(LEFT(TRIM(INDEX(Forms貼り付け!$A:$AZ,60,AU$3)),1),""))</f>
        <v/>
      </c>
      <c r="AV61" s="8">
        <f>IF(AV$3="","",IFERROR(LEFT(TRIM(INDEX(Forms貼り付け!$A:$AZ,60,AV$3)),1),""))</f>
        <v/>
      </c>
      <c r="AW61" s="8">
        <f>IF(AW$3="","",IFERROR(LEFT(TRIM(INDEX(Forms貼り付け!$A:$AZ,60,AW$3)),1),""))</f>
        <v/>
      </c>
      <c r="AX61" s="8">
        <f>IF(AX$3="","",IFERROR(LEFT(TRIM(INDEX(Forms貼り付け!$A:$AZ,60,AX$3)),1),""))</f>
        <v/>
      </c>
      <c r="AY61" s="8">
        <f>IF(AY$3="","",IFERROR(LEFT(TRIM(INDEX(Forms貼り付け!$A:$AZ,60,AY$3)),1),""))</f>
        <v/>
      </c>
      <c r="AZ61" s="8">
        <f>IF(AZ$3="","",IFERROR(LEFT(TRIM(INDEX(Forms貼り付け!$A:$AZ,60,AZ$3)),1),""))</f>
        <v/>
      </c>
      <c r="BA61" s="8">
        <f>IF(BA$3="","",IFERROR(LEFT(TRIM(INDEX(Forms貼り付け!$A:$AZ,60,BA$3)),1),""))</f>
        <v/>
      </c>
      <c r="BB61" s="8">
        <f>IF(BB$3="","",IFERROR(LEFT(TRIM(INDEX(Forms貼り付け!$A:$AZ,60,BB$3)),1),""))</f>
        <v/>
      </c>
      <c r="BC61" s="8">
        <f>IF(BC$3="","",IFERROR(LEFT(TRIM(INDEX(Forms貼り付け!$A:$AZ,60,BC$3)),1),""))</f>
        <v/>
      </c>
    </row>
    <row r="62">
      <c r="A62" s="8" t="inlineStr">
        <is>
          <t>U058</t>
        </is>
      </c>
      <c r="B62" s="9">
        <f>IF($B$3="","",INDEX(Forms貼り付け!$A:$AZ,61,$B$3))</f>
        <v/>
      </c>
      <c r="C62" s="9">
        <f>IF($C$3="","",INDEX(Forms貼り付け!$A:$AZ,61,$C$3))</f>
        <v/>
      </c>
      <c r="D62" s="8">
        <f>IF($D$3="","",INDEX(Forms貼り付け!$A:$AZ,61,$D$3))</f>
        <v/>
      </c>
      <c r="E62" s="8">
        <f>IF($E$3="","",INDEX(Forms貼り付け!$A:$AZ,61,$E$3))</f>
        <v/>
      </c>
      <c r="F62" s="8">
        <f>IF(F$3="","",IFERROR(LEFT(TRIM(INDEX(Forms貼り付け!$A:$AZ,61,F$3)),1),""))</f>
        <v/>
      </c>
      <c r="G62" s="8">
        <f>IF(G$3="","",IFERROR(LEFT(TRIM(INDEX(Forms貼り付け!$A:$AZ,61,G$3)),1),""))</f>
        <v/>
      </c>
      <c r="H62" s="8">
        <f>IF(H$3="","",IFERROR(LEFT(TRIM(INDEX(Forms貼り付け!$A:$AZ,61,H$3)),1),""))</f>
        <v/>
      </c>
      <c r="I62" s="8">
        <f>IF(I$3="","",IFERROR(LEFT(TRIM(INDEX(Forms貼り付け!$A:$AZ,61,I$3)),1),""))</f>
        <v/>
      </c>
      <c r="J62" s="8">
        <f>IF(J$3="","",IFERROR(LEFT(TRIM(INDEX(Forms貼り付け!$A:$AZ,61,J$3)),1),""))</f>
        <v/>
      </c>
      <c r="K62" s="8">
        <f>IF(K$3="","",IFERROR(LEFT(TRIM(INDEX(Forms貼り付け!$A:$AZ,61,K$3)),1),""))</f>
        <v/>
      </c>
      <c r="L62" s="8">
        <f>IF(L$3="","",IFERROR(LEFT(TRIM(INDEX(Forms貼り付け!$A:$AZ,61,L$3)),1),""))</f>
        <v/>
      </c>
      <c r="M62" s="8">
        <f>IF(M$3="","",IFERROR(LEFT(TRIM(INDEX(Forms貼り付け!$A:$AZ,61,M$3)),1),""))</f>
        <v/>
      </c>
      <c r="N62" s="8">
        <f>IF(N$3="","",IFERROR(LEFT(TRIM(INDEX(Forms貼り付け!$A:$AZ,61,N$3)),1),""))</f>
        <v/>
      </c>
      <c r="O62" s="8">
        <f>IF(O$3="","",IFERROR(LEFT(TRIM(INDEX(Forms貼り付け!$A:$AZ,61,O$3)),1),""))</f>
        <v/>
      </c>
      <c r="P62" s="8">
        <f>IF(P$3="","",IFERROR(LEFT(TRIM(INDEX(Forms貼り付け!$A:$AZ,61,P$3)),1),""))</f>
        <v/>
      </c>
      <c r="Q62" s="8">
        <f>IF(Q$3="","",IFERROR(LEFT(TRIM(INDEX(Forms貼り付け!$A:$AZ,61,Q$3)),1),""))</f>
        <v/>
      </c>
      <c r="R62" s="8">
        <f>IF(R$3="","",IFERROR(LEFT(TRIM(INDEX(Forms貼り付け!$A:$AZ,61,R$3)),1),""))</f>
        <v/>
      </c>
      <c r="S62" s="8">
        <f>IF(S$3="","",IFERROR(LEFT(TRIM(INDEX(Forms貼り付け!$A:$AZ,61,S$3)),1),""))</f>
        <v/>
      </c>
      <c r="T62" s="8">
        <f>IF(T$3="","",IFERROR(LEFT(TRIM(INDEX(Forms貼り付け!$A:$AZ,61,T$3)),1),""))</f>
        <v/>
      </c>
      <c r="U62" s="8">
        <f>IF(U$3="","",IFERROR(LEFT(TRIM(INDEX(Forms貼り付け!$A:$AZ,61,U$3)),1),""))</f>
        <v/>
      </c>
      <c r="V62" s="8">
        <f>IF(V$3="","",IFERROR(LEFT(TRIM(INDEX(Forms貼り付け!$A:$AZ,61,V$3)),1),""))</f>
        <v/>
      </c>
      <c r="W62" s="8">
        <f>IF(W$3="","",IFERROR(LEFT(TRIM(INDEX(Forms貼り付け!$A:$AZ,61,W$3)),1),""))</f>
        <v/>
      </c>
      <c r="X62" s="8">
        <f>IF(X$3="","",IFERROR(LEFT(TRIM(INDEX(Forms貼り付け!$A:$AZ,61,X$3)),1),""))</f>
        <v/>
      </c>
      <c r="Y62" s="8">
        <f>IF(Y$3="","",IFERROR(LEFT(TRIM(INDEX(Forms貼り付け!$A:$AZ,61,Y$3)),1),""))</f>
        <v/>
      </c>
      <c r="Z62" s="8">
        <f>IF(Z$3="","",IFERROR(LEFT(TRIM(INDEX(Forms貼り付け!$A:$AZ,61,Z$3)),1),""))</f>
        <v/>
      </c>
      <c r="AA62" s="8">
        <f>IF(AA$3="","",IFERROR(LEFT(TRIM(INDEX(Forms貼り付け!$A:$AZ,61,AA$3)),1),""))</f>
        <v/>
      </c>
      <c r="AB62" s="8">
        <f>IF(AB$3="","",IFERROR(LEFT(TRIM(INDEX(Forms貼り付け!$A:$AZ,61,AB$3)),1),""))</f>
        <v/>
      </c>
      <c r="AC62" s="8">
        <f>IF(AC$3="","",IFERROR(LEFT(TRIM(INDEX(Forms貼り付け!$A:$AZ,61,AC$3)),1),""))</f>
        <v/>
      </c>
      <c r="AD62" s="8">
        <f>IF(AD$3="","",IFERROR(LEFT(TRIM(INDEX(Forms貼り付け!$A:$AZ,61,AD$3)),1),""))</f>
        <v/>
      </c>
      <c r="AE62" s="8">
        <f>IF(AE$3="","",IFERROR(LEFT(TRIM(INDEX(Forms貼り付け!$A:$AZ,61,AE$3)),1),""))</f>
        <v/>
      </c>
      <c r="AF62" s="8">
        <f>IF(AF$3="","",IFERROR(LEFT(TRIM(INDEX(Forms貼り付け!$A:$AZ,61,AF$3)),1),""))</f>
        <v/>
      </c>
      <c r="AG62" s="8">
        <f>IF(AG$3="","",IFERROR(LEFT(TRIM(INDEX(Forms貼り付け!$A:$AZ,61,AG$3)),1),""))</f>
        <v/>
      </c>
      <c r="AH62" s="8">
        <f>IF(AH$3="","",IFERROR(LEFT(TRIM(INDEX(Forms貼り付け!$A:$AZ,61,AH$3)),1),""))</f>
        <v/>
      </c>
      <c r="AI62" s="8">
        <f>IF(AI$3="","",IFERROR(LEFT(TRIM(INDEX(Forms貼り付け!$A:$AZ,61,AI$3)),1),""))</f>
        <v/>
      </c>
      <c r="AJ62" s="8">
        <f>IF(AJ$3="","",IFERROR(LEFT(TRIM(INDEX(Forms貼り付け!$A:$AZ,61,AJ$3)),1),""))</f>
        <v/>
      </c>
      <c r="AK62" s="8">
        <f>IF(AK$3="","",IFERROR(LEFT(TRIM(INDEX(Forms貼り付け!$A:$AZ,61,AK$3)),1),""))</f>
        <v/>
      </c>
      <c r="AL62" s="8">
        <f>IF(AL$3="","",IFERROR(LEFT(TRIM(INDEX(Forms貼り付け!$A:$AZ,61,AL$3)),1),""))</f>
        <v/>
      </c>
      <c r="AM62" s="8">
        <f>IF(AM$3="","",IFERROR(LEFT(TRIM(INDEX(Forms貼り付け!$A:$AZ,61,AM$3)),1),""))</f>
        <v/>
      </c>
      <c r="AN62" s="8">
        <f>IF(AN$3="","",IFERROR(LEFT(TRIM(INDEX(Forms貼り付け!$A:$AZ,61,AN$3)),1),""))</f>
        <v/>
      </c>
      <c r="AO62" s="8">
        <f>IF(AO$3="","",IFERROR(LEFT(TRIM(INDEX(Forms貼り付け!$A:$AZ,61,AO$3)),1),""))</f>
        <v/>
      </c>
      <c r="AP62" s="8">
        <f>IF(AP$3="","",IFERROR(LEFT(TRIM(INDEX(Forms貼り付け!$A:$AZ,61,AP$3)),1),""))</f>
        <v/>
      </c>
      <c r="AQ62" s="8">
        <f>IF(AQ$3="","",IFERROR(LEFT(TRIM(INDEX(Forms貼り付け!$A:$AZ,61,AQ$3)),1),""))</f>
        <v/>
      </c>
      <c r="AR62" s="8">
        <f>IF(AR$3="","",IFERROR(LEFT(TRIM(INDEX(Forms貼り付け!$A:$AZ,61,AR$3)),1),""))</f>
        <v/>
      </c>
      <c r="AS62" s="8">
        <f>IF(AS$3="","",IFERROR(LEFT(TRIM(INDEX(Forms貼り付け!$A:$AZ,61,AS$3)),1),""))</f>
        <v/>
      </c>
      <c r="AT62" s="8">
        <f>IF(AT$3="","",IFERROR(LEFT(TRIM(INDEX(Forms貼り付け!$A:$AZ,61,AT$3)),1),""))</f>
        <v/>
      </c>
      <c r="AU62" s="8">
        <f>IF(AU$3="","",IFERROR(LEFT(TRIM(INDEX(Forms貼り付け!$A:$AZ,61,AU$3)),1),""))</f>
        <v/>
      </c>
      <c r="AV62" s="8">
        <f>IF(AV$3="","",IFERROR(LEFT(TRIM(INDEX(Forms貼り付け!$A:$AZ,61,AV$3)),1),""))</f>
        <v/>
      </c>
      <c r="AW62" s="8">
        <f>IF(AW$3="","",IFERROR(LEFT(TRIM(INDEX(Forms貼り付け!$A:$AZ,61,AW$3)),1),""))</f>
        <v/>
      </c>
      <c r="AX62" s="8">
        <f>IF(AX$3="","",IFERROR(LEFT(TRIM(INDEX(Forms貼り付け!$A:$AZ,61,AX$3)),1),""))</f>
        <v/>
      </c>
      <c r="AY62" s="8">
        <f>IF(AY$3="","",IFERROR(LEFT(TRIM(INDEX(Forms貼り付け!$A:$AZ,61,AY$3)),1),""))</f>
        <v/>
      </c>
      <c r="AZ62" s="8">
        <f>IF(AZ$3="","",IFERROR(LEFT(TRIM(INDEX(Forms貼り付け!$A:$AZ,61,AZ$3)),1),""))</f>
        <v/>
      </c>
      <c r="BA62" s="8">
        <f>IF(BA$3="","",IFERROR(LEFT(TRIM(INDEX(Forms貼り付け!$A:$AZ,61,BA$3)),1),""))</f>
        <v/>
      </c>
      <c r="BB62" s="8">
        <f>IF(BB$3="","",IFERROR(LEFT(TRIM(INDEX(Forms貼り付け!$A:$AZ,61,BB$3)),1),""))</f>
        <v/>
      </c>
      <c r="BC62" s="8">
        <f>IF(BC$3="","",IFERROR(LEFT(TRIM(INDEX(Forms貼り付け!$A:$AZ,61,BC$3)),1),""))</f>
        <v/>
      </c>
    </row>
    <row r="63">
      <c r="A63" s="8" t="inlineStr">
        <is>
          <t>U059</t>
        </is>
      </c>
      <c r="B63" s="9">
        <f>IF($B$3="","",INDEX(Forms貼り付け!$A:$AZ,62,$B$3))</f>
        <v/>
      </c>
      <c r="C63" s="9">
        <f>IF($C$3="","",INDEX(Forms貼り付け!$A:$AZ,62,$C$3))</f>
        <v/>
      </c>
      <c r="D63" s="8">
        <f>IF($D$3="","",INDEX(Forms貼り付け!$A:$AZ,62,$D$3))</f>
        <v/>
      </c>
      <c r="E63" s="8">
        <f>IF($E$3="","",INDEX(Forms貼り付け!$A:$AZ,62,$E$3))</f>
        <v/>
      </c>
      <c r="F63" s="8">
        <f>IF(F$3="","",IFERROR(LEFT(TRIM(INDEX(Forms貼り付け!$A:$AZ,62,F$3)),1),""))</f>
        <v/>
      </c>
      <c r="G63" s="8">
        <f>IF(G$3="","",IFERROR(LEFT(TRIM(INDEX(Forms貼り付け!$A:$AZ,62,G$3)),1),""))</f>
        <v/>
      </c>
      <c r="H63" s="8">
        <f>IF(H$3="","",IFERROR(LEFT(TRIM(INDEX(Forms貼り付け!$A:$AZ,62,H$3)),1),""))</f>
        <v/>
      </c>
      <c r="I63" s="8">
        <f>IF(I$3="","",IFERROR(LEFT(TRIM(INDEX(Forms貼り付け!$A:$AZ,62,I$3)),1),""))</f>
        <v/>
      </c>
      <c r="J63" s="8">
        <f>IF(J$3="","",IFERROR(LEFT(TRIM(INDEX(Forms貼り付け!$A:$AZ,62,J$3)),1),""))</f>
        <v/>
      </c>
      <c r="K63" s="8">
        <f>IF(K$3="","",IFERROR(LEFT(TRIM(INDEX(Forms貼り付け!$A:$AZ,62,K$3)),1),""))</f>
        <v/>
      </c>
      <c r="L63" s="8">
        <f>IF(L$3="","",IFERROR(LEFT(TRIM(INDEX(Forms貼り付け!$A:$AZ,62,L$3)),1),""))</f>
        <v/>
      </c>
      <c r="M63" s="8">
        <f>IF(M$3="","",IFERROR(LEFT(TRIM(INDEX(Forms貼り付け!$A:$AZ,62,M$3)),1),""))</f>
        <v/>
      </c>
      <c r="N63" s="8">
        <f>IF(N$3="","",IFERROR(LEFT(TRIM(INDEX(Forms貼り付け!$A:$AZ,62,N$3)),1),""))</f>
        <v/>
      </c>
      <c r="O63" s="8">
        <f>IF(O$3="","",IFERROR(LEFT(TRIM(INDEX(Forms貼り付け!$A:$AZ,62,O$3)),1),""))</f>
        <v/>
      </c>
      <c r="P63" s="8">
        <f>IF(P$3="","",IFERROR(LEFT(TRIM(INDEX(Forms貼り付け!$A:$AZ,62,P$3)),1),""))</f>
        <v/>
      </c>
      <c r="Q63" s="8">
        <f>IF(Q$3="","",IFERROR(LEFT(TRIM(INDEX(Forms貼り付け!$A:$AZ,62,Q$3)),1),""))</f>
        <v/>
      </c>
      <c r="R63" s="8">
        <f>IF(R$3="","",IFERROR(LEFT(TRIM(INDEX(Forms貼り付け!$A:$AZ,62,R$3)),1),""))</f>
        <v/>
      </c>
      <c r="S63" s="8">
        <f>IF(S$3="","",IFERROR(LEFT(TRIM(INDEX(Forms貼り付け!$A:$AZ,62,S$3)),1),""))</f>
        <v/>
      </c>
      <c r="T63" s="8">
        <f>IF(T$3="","",IFERROR(LEFT(TRIM(INDEX(Forms貼り付け!$A:$AZ,62,T$3)),1),""))</f>
        <v/>
      </c>
      <c r="U63" s="8">
        <f>IF(U$3="","",IFERROR(LEFT(TRIM(INDEX(Forms貼り付け!$A:$AZ,62,U$3)),1),""))</f>
        <v/>
      </c>
      <c r="V63" s="8">
        <f>IF(V$3="","",IFERROR(LEFT(TRIM(INDEX(Forms貼り付け!$A:$AZ,62,V$3)),1),""))</f>
        <v/>
      </c>
      <c r="W63" s="8">
        <f>IF(W$3="","",IFERROR(LEFT(TRIM(INDEX(Forms貼り付け!$A:$AZ,62,W$3)),1),""))</f>
        <v/>
      </c>
      <c r="X63" s="8">
        <f>IF(X$3="","",IFERROR(LEFT(TRIM(INDEX(Forms貼り付け!$A:$AZ,62,X$3)),1),""))</f>
        <v/>
      </c>
      <c r="Y63" s="8">
        <f>IF(Y$3="","",IFERROR(LEFT(TRIM(INDEX(Forms貼り付け!$A:$AZ,62,Y$3)),1),""))</f>
        <v/>
      </c>
      <c r="Z63" s="8">
        <f>IF(Z$3="","",IFERROR(LEFT(TRIM(INDEX(Forms貼り付け!$A:$AZ,62,Z$3)),1),""))</f>
        <v/>
      </c>
      <c r="AA63" s="8">
        <f>IF(AA$3="","",IFERROR(LEFT(TRIM(INDEX(Forms貼り付け!$A:$AZ,62,AA$3)),1),""))</f>
        <v/>
      </c>
      <c r="AB63" s="8">
        <f>IF(AB$3="","",IFERROR(LEFT(TRIM(INDEX(Forms貼り付け!$A:$AZ,62,AB$3)),1),""))</f>
        <v/>
      </c>
      <c r="AC63" s="8">
        <f>IF(AC$3="","",IFERROR(LEFT(TRIM(INDEX(Forms貼り付け!$A:$AZ,62,AC$3)),1),""))</f>
        <v/>
      </c>
      <c r="AD63" s="8">
        <f>IF(AD$3="","",IFERROR(LEFT(TRIM(INDEX(Forms貼り付け!$A:$AZ,62,AD$3)),1),""))</f>
        <v/>
      </c>
      <c r="AE63" s="8">
        <f>IF(AE$3="","",IFERROR(LEFT(TRIM(INDEX(Forms貼り付け!$A:$AZ,62,AE$3)),1),""))</f>
        <v/>
      </c>
      <c r="AF63" s="8">
        <f>IF(AF$3="","",IFERROR(LEFT(TRIM(INDEX(Forms貼り付け!$A:$AZ,62,AF$3)),1),""))</f>
        <v/>
      </c>
      <c r="AG63" s="8">
        <f>IF(AG$3="","",IFERROR(LEFT(TRIM(INDEX(Forms貼り付け!$A:$AZ,62,AG$3)),1),""))</f>
        <v/>
      </c>
      <c r="AH63" s="8">
        <f>IF(AH$3="","",IFERROR(LEFT(TRIM(INDEX(Forms貼り付け!$A:$AZ,62,AH$3)),1),""))</f>
        <v/>
      </c>
      <c r="AI63" s="8">
        <f>IF(AI$3="","",IFERROR(LEFT(TRIM(INDEX(Forms貼り付け!$A:$AZ,62,AI$3)),1),""))</f>
        <v/>
      </c>
      <c r="AJ63" s="8">
        <f>IF(AJ$3="","",IFERROR(LEFT(TRIM(INDEX(Forms貼り付け!$A:$AZ,62,AJ$3)),1),""))</f>
        <v/>
      </c>
      <c r="AK63" s="8">
        <f>IF(AK$3="","",IFERROR(LEFT(TRIM(INDEX(Forms貼り付け!$A:$AZ,62,AK$3)),1),""))</f>
        <v/>
      </c>
      <c r="AL63" s="8">
        <f>IF(AL$3="","",IFERROR(LEFT(TRIM(INDEX(Forms貼り付け!$A:$AZ,62,AL$3)),1),""))</f>
        <v/>
      </c>
      <c r="AM63" s="8">
        <f>IF(AM$3="","",IFERROR(LEFT(TRIM(INDEX(Forms貼り付け!$A:$AZ,62,AM$3)),1),""))</f>
        <v/>
      </c>
      <c r="AN63" s="8">
        <f>IF(AN$3="","",IFERROR(LEFT(TRIM(INDEX(Forms貼り付け!$A:$AZ,62,AN$3)),1),""))</f>
        <v/>
      </c>
      <c r="AO63" s="8">
        <f>IF(AO$3="","",IFERROR(LEFT(TRIM(INDEX(Forms貼り付け!$A:$AZ,62,AO$3)),1),""))</f>
        <v/>
      </c>
      <c r="AP63" s="8">
        <f>IF(AP$3="","",IFERROR(LEFT(TRIM(INDEX(Forms貼り付け!$A:$AZ,62,AP$3)),1),""))</f>
        <v/>
      </c>
      <c r="AQ63" s="8">
        <f>IF(AQ$3="","",IFERROR(LEFT(TRIM(INDEX(Forms貼り付け!$A:$AZ,62,AQ$3)),1),""))</f>
        <v/>
      </c>
      <c r="AR63" s="8">
        <f>IF(AR$3="","",IFERROR(LEFT(TRIM(INDEX(Forms貼り付け!$A:$AZ,62,AR$3)),1),""))</f>
        <v/>
      </c>
      <c r="AS63" s="8">
        <f>IF(AS$3="","",IFERROR(LEFT(TRIM(INDEX(Forms貼り付け!$A:$AZ,62,AS$3)),1),""))</f>
        <v/>
      </c>
      <c r="AT63" s="8">
        <f>IF(AT$3="","",IFERROR(LEFT(TRIM(INDEX(Forms貼り付け!$A:$AZ,62,AT$3)),1),""))</f>
        <v/>
      </c>
      <c r="AU63" s="8">
        <f>IF(AU$3="","",IFERROR(LEFT(TRIM(INDEX(Forms貼り付け!$A:$AZ,62,AU$3)),1),""))</f>
        <v/>
      </c>
      <c r="AV63" s="8">
        <f>IF(AV$3="","",IFERROR(LEFT(TRIM(INDEX(Forms貼り付け!$A:$AZ,62,AV$3)),1),""))</f>
        <v/>
      </c>
      <c r="AW63" s="8">
        <f>IF(AW$3="","",IFERROR(LEFT(TRIM(INDEX(Forms貼り付け!$A:$AZ,62,AW$3)),1),""))</f>
        <v/>
      </c>
      <c r="AX63" s="8">
        <f>IF(AX$3="","",IFERROR(LEFT(TRIM(INDEX(Forms貼り付け!$A:$AZ,62,AX$3)),1),""))</f>
        <v/>
      </c>
      <c r="AY63" s="8">
        <f>IF(AY$3="","",IFERROR(LEFT(TRIM(INDEX(Forms貼り付け!$A:$AZ,62,AY$3)),1),""))</f>
        <v/>
      </c>
      <c r="AZ63" s="8">
        <f>IF(AZ$3="","",IFERROR(LEFT(TRIM(INDEX(Forms貼り付け!$A:$AZ,62,AZ$3)),1),""))</f>
        <v/>
      </c>
      <c r="BA63" s="8">
        <f>IF(BA$3="","",IFERROR(LEFT(TRIM(INDEX(Forms貼り付け!$A:$AZ,62,BA$3)),1),""))</f>
        <v/>
      </c>
      <c r="BB63" s="8">
        <f>IF(BB$3="","",IFERROR(LEFT(TRIM(INDEX(Forms貼り付け!$A:$AZ,62,BB$3)),1),""))</f>
        <v/>
      </c>
      <c r="BC63" s="8">
        <f>IF(BC$3="","",IFERROR(LEFT(TRIM(INDEX(Forms貼り付け!$A:$AZ,62,BC$3)),1),""))</f>
        <v/>
      </c>
    </row>
    <row r="64">
      <c r="A64" s="8" t="inlineStr">
        <is>
          <t>U060</t>
        </is>
      </c>
      <c r="B64" s="9">
        <f>IF($B$3="","",INDEX(Forms貼り付け!$A:$AZ,63,$B$3))</f>
        <v/>
      </c>
      <c r="C64" s="9">
        <f>IF($C$3="","",INDEX(Forms貼り付け!$A:$AZ,63,$C$3))</f>
        <v/>
      </c>
      <c r="D64" s="8">
        <f>IF($D$3="","",INDEX(Forms貼り付け!$A:$AZ,63,$D$3))</f>
        <v/>
      </c>
      <c r="E64" s="8">
        <f>IF($E$3="","",INDEX(Forms貼り付け!$A:$AZ,63,$E$3))</f>
        <v/>
      </c>
      <c r="F64" s="8">
        <f>IF(F$3="","",IFERROR(LEFT(TRIM(INDEX(Forms貼り付け!$A:$AZ,63,F$3)),1),""))</f>
        <v/>
      </c>
      <c r="G64" s="8">
        <f>IF(G$3="","",IFERROR(LEFT(TRIM(INDEX(Forms貼り付け!$A:$AZ,63,G$3)),1),""))</f>
        <v/>
      </c>
      <c r="H64" s="8">
        <f>IF(H$3="","",IFERROR(LEFT(TRIM(INDEX(Forms貼り付け!$A:$AZ,63,H$3)),1),""))</f>
        <v/>
      </c>
      <c r="I64" s="8">
        <f>IF(I$3="","",IFERROR(LEFT(TRIM(INDEX(Forms貼り付け!$A:$AZ,63,I$3)),1),""))</f>
        <v/>
      </c>
      <c r="J64" s="8">
        <f>IF(J$3="","",IFERROR(LEFT(TRIM(INDEX(Forms貼り付け!$A:$AZ,63,J$3)),1),""))</f>
        <v/>
      </c>
      <c r="K64" s="8">
        <f>IF(K$3="","",IFERROR(LEFT(TRIM(INDEX(Forms貼り付け!$A:$AZ,63,K$3)),1),""))</f>
        <v/>
      </c>
      <c r="L64" s="8">
        <f>IF(L$3="","",IFERROR(LEFT(TRIM(INDEX(Forms貼り付け!$A:$AZ,63,L$3)),1),""))</f>
        <v/>
      </c>
      <c r="M64" s="8">
        <f>IF(M$3="","",IFERROR(LEFT(TRIM(INDEX(Forms貼り付け!$A:$AZ,63,M$3)),1),""))</f>
        <v/>
      </c>
      <c r="N64" s="8">
        <f>IF(N$3="","",IFERROR(LEFT(TRIM(INDEX(Forms貼り付け!$A:$AZ,63,N$3)),1),""))</f>
        <v/>
      </c>
      <c r="O64" s="8">
        <f>IF(O$3="","",IFERROR(LEFT(TRIM(INDEX(Forms貼り付け!$A:$AZ,63,O$3)),1),""))</f>
        <v/>
      </c>
      <c r="P64" s="8">
        <f>IF(P$3="","",IFERROR(LEFT(TRIM(INDEX(Forms貼り付け!$A:$AZ,63,P$3)),1),""))</f>
        <v/>
      </c>
      <c r="Q64" s="8">
        <f>IF(Q$3="","",IFERROR(LEFT(TRIM(INDEX(Forms貼り付け!$A:$AZ,63,Q$3)),1),""))</f>
        <v/>
      </c>
      <c r="R64" s="8">
        <f>IF(R$3="","",IFERROR(LEFT(TRIM(INDEX(Forms貼り付け!$A:$AZ,63,R$3)),1),""))</f>
        <v/>
      </c>
      <c r="S64" s="8">
        <f>IF(S$3="","",IFERROR(LEFT(TRIM(INDEX(Forms貼り付け!$A:$AZ,63,S$3)),1),""))</f>
        <v/>
      </c>
      <c r="T64" s="8">
        <f>IF(T$3="","",IFERROR(LEFT(TRIM(INDEX(Forms貼り付け!$A:$AZ,63,T$3)),1),""))</f>
        <v/>
      </c>
      <c r="U64" s="8">
        <f>IF(U$3="","",IFERROR(LEFT(TRIM(INDEX(Forms貼り付け!$A:$AZ,63,U$3)),1),""))</f>
        <v/>
      </c>
      <c r="V64" s="8">
        <f>IF(V$3="","",IFERROR(LEFT(TRIM(INDEX(Forms貼り付け!$A:$AZ,63,V$3)),1),""))</f>
        <v/>
      </c>
      <c r="W64" s="8">
        <f>IF(W$3="","",IFERROR(LEFT(TRIM(INDEX(Forms貼り付け!$A:$AZ,63,W$3)),1),""))</f>
        <v/>
      </c>
      <c r="X64" s="8">
        <f>IF(X$3="","",IFERROR(LEFT(TRIM(INDEX(Forms貼り付け!$A:$AZ,63,X$3)),1),""))</f>
        <v/>
      </c>
      <c r="Y64" s="8">
        <f>IF(Y$3="","",IFERROR(LEFT(TRIM(INDEX(Forms貼り付け!$A:$AZ,63,Y$3)),1),""))</f>
        <v/>
      </c>
      <c r="Z64" s="8">
        <f>IF(Z$3="","",IFERROR(LEFT(TRIM(INDEX(Forms貼り付け!$A:$AZ,63,Z$3)),1),""))</f>
        <v/>
      </c>
      <c r="AA64" s="8">
        <f>IF(AA$3="","",IFERROR(LEFT(TRIM(INDEX(Forms貼り付け!$A:$AZ,63,AA$3)),1),""))</f>
        <v/>
      </c>
      <c r="AB64" s="8">
        <f>IF(AB$3="","",IFERROR(LEFT(TRIM(INDEX(Forms貼り付け!$A:$AZ,63,AB$3)),1),""))</f>
        <v/>
      </c>
      <c r="AC64" s="8">
        <f>IF(AC$3="","",IFERROR(LEFT(TRIM(INDEX(Forms貼り付け!$A:$AZ,63,AC$3)),1),""))</f>
        <v/>
      </c>
      <c r="AD64" s="8">
        <f>IF(AD$3="","",IFERROR(LEFT(TRIM(INDEX(Forms貼り付け!$A:$AZ,63,AD$3)),1),""))</f>
        <v/>
      </c>
      <c r="AE64" s="8">
        <f>IF(AE$3="","",IFERROR(LEFT(TRIM(INDEX(Forms貼り付け!$A:$AZ,63,AE$3)),1),""))</f>
        <v/>
      </c>
      <c r="AF64" s="8">
        <f>IF(AF$3="","",IFERROR(LEFT(TRIM(INDEX(Forms貼り付け!$A:$AZ,63,AF$3)),1),""))</f>
        <v/>
      </c>
      <c r="AG64" s="8">
        <f>IF(AG$3="","",IFERROR(LEFT(TRIM(INDEX(Forms貼り付け!$A:$AZ,63,AG$3)),1),""))</f>
        <v/>
      </c>
      <c r="AH64" s="8">
        <f>IF(AH$3="","",IFERROR(LEFT(TRIM(INDEX(Forms貼り付け!$A:$AZ,63,AH$3)),1),""))</f>
        <v/>
      </c>
      <c r="AI64" s="8">
        <f>IF(AI$3="","",IFERROR(LEFT(TRIM(INDEX(Forms貼り付け!$A:$AZ,63,AI$3)),1),""))</f>
        <v/>
      </c>
      <c r="AJ64" s="8">
        <f>IF(AJ$3="","",IFERROR(LEFT(TRIM(INDEX(Forms貼り付け!$A:$AZ,63,AJ$3)),1),""))</f>
        <v/>
      </c>
      <c r="AK64" s="8">
        <f>IF(AK$3="","",IFERROR(LEFT(TRIM(INDEX(Forms貼り付け!$A:$AZ,63,AK$3)),1),""))</f>
        <v/>
      </c>
      <c r="AL64" s="8">
        <f>IF(AL$3="","",IFERROR(LEFT(TRIM(INDEX(Forms貼り付け!$A:$AZ,63,AL$3)),1),""))</f>
        <v/>
      </c>
      <c r="AM64" s="8">
        <f>IF(AM$3="","",IFERROR(LEFT(TRIM(INDEX(Forms貼り付け!$A:$AZ,63,AM$3)),1),""))</f>
        <v/>
      </c>
      <c r="AN64" s="8">
        <f>IF(AN$3="","",IFERROR(LEFT(TRIM(INDEX(Forms貼り付け!$A:$AZ,63,AN$3)),1),""))</f>
        <v/>
      </c>
      <c r="AO64" s="8">
        <f>IF(AO$3="","",IFERROR(LEFT(TRIM(INDEX(Forms貼り付け!$A:$AZ,63,AO$3)),1),""))</f>
        <v/>
      </c>
      <c r="AP64" s="8">
        <f>IF(AP$3="","",IFERROR(LEFT(TRIM(INDEX(Forms貼り付け!$A:$AZ,63,AP$3)),1),""))</f>
        <v/>
      </c>
      <c r="AQ64" s="8">
        <f>IF(AQ$3="","",IFERROR(LEFT(TRIM(INDEX(Forms貼り付け!$A:$AZ,63,AQ$3)),1),""))</f>
        <v/>
      </c>
      <c r="AR64" s="8">
        <f>IF(AR$3="","",IFERROR(LEFT(TRIM(INDEX(Forms貼り付け!$A:$AZ,63,AR$3)),1),""))</f>
        <v/>
      </c>
      <c r="AS64" s="8">
        <f>IF(AS$3="","",IFERROR(LEFT(TRIM(INDEX(Forms貼り付け!$A:$AZ,63,AS$3)),1),""))</f>
        <v/>
      </c>
      <c r="AT64" s="8">
        <f>IF(AT$3="","",IFERROR(LEFT(TRIM(INDEX(Forms貼り付け!$A:$AZ,63,AT$3)),1),""))</f>
        <v/>
      </c>
      <c r="AU64" s="8">
        <f>IF(AU$3="","",IFERROR(LEFT(TRIM(INDEX(Forms貼り付け!$A:$AZ,63,AU$3)),1),""))</f>
        <v/>
      </c>
      <c r="AV64" s="8">
        <f>IF(AV$3="","",IFERROR(LEFT(TRIM(INDEX(Forms貼り付け!$A:$AZ,63,AV$3)),1),""))</f>
        <v/>
      </c>
      <c r="AW64" s="8">
        <f>IF(AW$3="","",IFERROR(LEFT(TRIM(INDEX(Forms貼り付け!$A:$AZ,63,AW$3)),1),""))</f>
        <v/>
      </c>
      <c r="AX64" s="8">
        <f>IF(AX$3="","",IFERROR(LEFT(TRIM(INDEX(Forms貼り付け!$A:$AZ,63,AX$3)),1),""))</f>
        <v/>
      </c>
      <c r="AY64" s="8">
        <f>IF(AY$3="","",IFERROR(LEFT(TRIM(INDEX(Forms貼り付け!$A:$AZ,63,AY$3)),1),""))</f>
        <v/>
      </c>
      <c r="AZ64" s="8">
        <f>IF(AZ$3="","",IFERROR(LEFT(TRIM(INDEX(Forms貼り付け!$A:$AZ,63,AZ$3)),1),""))</f>
        <v/>
      </c>
      <c r="BA64" s="8">
        <f>IF(BA$3="","",IFERROR(LEFT(TRIM(INDEX(Forms貼り付け!$A:$AZ,63,BA$3)),1),""))</f>
        <v/>
      </c>
      <c r="BB64" s="8">
        <f>IF(BB$3="","",IFERROR(LEFT(TRIM(INDEX(Forms貼り付け!$A:$AZ,63,BB$3)),1),""))</f>
        <v/>
      </c>
      <c r="BC64" s="8">
        <f>IF(BC$3="","",IFERROR(LEFT(TRIM(INDEX(Forms貼り付け!$A:$AZ,63,BC$3)),1),""))</f>
        <v/>
      </c>
    </row>
    <row r="65">
      <c r="A65" s="8" t="inlineStr">
        <is>
          <t>U061</t>
        </is>
      </c>
      <c r="B65" s="9">
        <f>IF($B$3="","",INDEX(Forms貼り付け!$A:$AZ,64,$B$3))</f>
        <v/>
      </c>
      <c r="C65" s="9">
        <f>IF($C$3="","",INDEX(Forms貼り付け!$A:$AZ,64,$C$3))</f>
        <v/>
      </c>
      <c r="D65" s="8">
        <f>IF($D$3="","",INDEX(Forms貼り付け!$A:$AZ,64,$D$3))</f>
        <v/>
      </c>
      <c r="E65" s="8">
        <f>IF($E$3="","",INDEX(Forms貼り付け!$A:$AZ,64,$E$3))</f>
        <v/>
      </c>
      <c r="F65" s="8">
        <f>IF(F$3="","",IFERROR(LEFT(TRIM(INDEX(Forms貼り付け!$A:$AZ,64,F$3)),1),""))</f>
        <v/>
      </c>
      <c r="G65" s="8">
        <f>IF(G$3="","",IFERROR(LEFT(TRIM(INDEX(Forms貼り付け!$A:$AZ,64,G$3)),1),""))</f>
        <v/>
      </c>
      <c r="H65" s="8">
        <f>IF(H$3="","",IFERROR(LEFT(TRIM(INDEX(Forms貼り付け!$A:$AZ,64,H$3)),1),""))</f>
        <v/>
      </c>
      <c r="I65" s="8">
        <f>IF(I$3="","",IFERROR(LEFT(TRIM(INDEX(Forms貼り付け!$A:$AZ,64,I$3)),1),""))</f>
        <v/>
      </c>
      <c r="J65" s="8">
        <f>IF(J$3="","",IFERROR(LEFT(TRIM(INDEX(Forms貼り付け!$A:$AZ,64,J$3)),1),""))</f>
        <v/>
      </c>
      <c r="K65" s="8">
        <f>IF(K$3="","",IFERROR(LEFT(TRIM(INDEX(Forms貼り付け!$A:$AZ,64,K$3)),1),""))</f>
        <v/>
      </c>
      <c r="L65" s="8">
        <f>IF(L$3="","",IFERROR(LEFT(TRIM(INDEX(Forms貼り付け!$A:$AZ,64,L$3)),1),""))</f>
        <v/>
      </c>
      <c r="M65" s="8">
        <f>IF(M$3="","",IFERROR(LEFT(TRIM(INDEX(Forms貼り付け!$A:$AZ,64,M$3)),1),""))</f>
        <v/>
      </c>
      <c r="N65" s="8">
        <f>IF(N$3="","",IFERROR(LEFT(TRIM(INDEX(Forms貼り付け!$A:$AZ,64,N$3)),1),""))</f>
        <v/>
      </c>
      <c r="O65" s="8">
        <f>IF(O$3="","",IFERROR(LEFT(TRIM(INDEX(Forms貼り付け!$A:$AZ,64,O$3)),1),""))</f>
        <v/>
      </c>
      <c r="P65" s="8">
        <f>IF(P$3="","",IFERROR(LEFT(TRIM(INDEX(Forms貼り付け!$A:$AZ,64,P$3)),1),""))</f>
        <v/>
      </c>
      <c r="Q65" s="8">
        <f>IF(Q$3="","",IFERROR(LEFT(TRIM(INDEX(Forms貼り付け!$A:$AZ,64,Q$3)),1),""))</f>
        <v/>
      </c>
      <c r="R65" s="8">
        <f>IF(R$3="","",IFERROR(LEFT(TRIM(INDEX(Forms貼り付け!$A:$AZ,64,R$3)),1),""))</f>
        <v/>
      </c>
      <c r="S65" s="8">
        <f>IF(S$3="","",IFERROR(LEFT(TRIM(INDEX(Forms貼り付け!$A:$AZ,64,S$3)),1),""))</f>
        <v/>
      </c>
      <c r="T65" s="8">
        <f>IF(T$3="","",IFERROR(LEFT(TRIM(INDEX(Forms貼り付け!$A:$AZ,64,T$3)),1),""))</f>
        <v/>
      </c>
      <c r="U65" s="8">
        <f>IF(U$3="","",IFERROR(LEFT(TRIM(INDEX(Forms貼り付け!$A:$AZ,64,U$3)),1),""))</f>
        <v/>
      </c>
      <c r="V65" s="8">
        <f>IF(V$3="","",IFERROR(LEFT(TRIM(INDEX(Forms貼り付け!$A:$AZ,64,V$3)),1),""))</f>
        <v/>
      </c>
      <c r="W65" s="8">
        <f>IF(W$3="","",IFERROR(LEFT(TRIM(INDEX(Forms貼り付け!$A:$AZ,64,W$3)),1),""))</f>
        <v/>
      </c>
      <c r="X65" s="8">
        <f>IF(X$3="","",IFERROR(LEFT(TRIM(INDEX(Forms貼り付け!$A:$AZ,64,X$3)),1),""))</f>
        <v/>
      </c>
      <c r="Y65" s="8">
        <f>IF(Y$3="","",IFERROR(LEFT(TRIM(INDEX(Forms貼り付け!$A:$AZ,64,Y$3)),1),""))</f>
        <v/>
      </c>
      <c r="Z65" s="8">
        <f>IF(Z$3="","",IFERROR(LEFT(TRIM(INDEX(Forms貼り付け!$A:$AZ,64,Z$3)),1),""))</f>
        <v/>
      </c>
      <c r="AA65" s="8">
        <f>IF(AA$3="","",IFERROR(LEFT(TRIM(INDEX(Forms貼り付け!$A:$AZ,64,AA$3)),1),""))</f>
        <v/>
      </c>
      <c r="AB65" s="8">
        <f>IF(AB$3="","",IFERROR(LEFT(TRIM(INDEX(Forms貼り付け!$A:$AZ,64,AB$3)),1),""))</f>
        <v/>
      </c>
      <c r="AC65" s="8">
        <f>IF(AC$3="","",IFERROR(LEFT(TRIM(INDEX(Forms貼り付け!$A:$AZ,64,AC$3)),1),""))</f>
        <v/>
      </c>
      <c r="AD65" s="8">
        <f>IF(AD$3="","",IFERROR(LEFT(TRIM(INDEX(Forms貼り付け!$A:$AZ,64,AD$3)),1),""))</f>
        <v/>
      </c>
      <c r="AE65" s="8">
        <f>IF(AE$3="","",IFERROR(LEFT(TRIM(INDEX(Forms貼り付け!$A:$AZ,64,AE$3)),1),""))</f>
        <v/>
      </c>
      <c r="AF65" s="8">
        <f>IF(AF$3="","",IFERROR(LEFT(TRIM(INDEX(Forms貼り付け!$A:$AZ,64,AF$3)),1),""))</f>
        <v/>
      </c>
      <c r="AG65" s="8">
        <f>IF(AG$3="","",IFERROR(LEFT(TRIM(INDEX(Forms貼り付け!$A:$AZ,64,AG$3)),1),""))</f>
        <v/>
      </c>
      <c r="AH65" s="8">
        <f>IF(AH$3="","",IFERROR(LEFT(TRIM(INDEX(Forms貼り付け!$A:$AZ,64,AH$3)),1),""))</f>
        <v/>
      </c>
      <c r="AI65" s="8">
        <f>IF(AI$3="","",IFERROR(LEFT(TRIM(INDEX(Forms貼り付け!$A:$AZ,64,AI$3)),1),""))</f>
        <v/>
      </c>
      <c r="AJ65" s="8">
        <f>IF(AJ$3="","",IFERROR(LEFT(TRIM(INDEX(Forms貼り付け!$A:$AZ,64,AJ$3)),1),""))</f>
        <v/>
      </c>
      <c r="AK65" s="8">
        <f>IF(AK$3="","",IFERROR(LEFT(TRIM(INDEX(Forms貼り付け!$A:$AZ,64,AK$3)),1),""))</f>
        <v/>
      </c>
      <c r="AL65" s="8">
        <f>IF(AL$3="","",IFERROR(LEFT(TRIM(INDEX(Forms貼り付け!$A:$AZ,64,AL$3)),1),""))</f>
        <v/>
      </c>
      <c r="AM65" s="8">
        <f>IF(AM$3="","",IFERROR(LEFT(TRIM(INDEX(Forms貼り付け!$A:$AZ,64,AM$3)),1),""))</f>
        <v/>
      </c>
      <c r="AN65" s="8">
        <f>IF(AN$3="","",IFERROR(LEFT(TRIM(INDEX(Forms貼り付け!$A:$AZ,64,AN$3)),1),""))</f>
        <v/>
      </c>
      <c r="AO65" s="8">
        <f>IF(AO$3="","",IFERROR(LEFT(TRIM(INDEX(Forms貼り付け!$A:$AZ,64,AO$3)),1),""))</f>
        <v/>
      </c>
      <c r="AP65" s="8">
        <f>IF(AP$3="","",IFERROR(LEFT(TRIM(INDEX(Forms貼り付け!$A:$AZ,64,AP$3)),1),""))</f>
        <v/>
      </c>
      <c r="AQ65" s="8">
        <f>IF(AQ$3="","",IFERROR(LEFT(TRIM(INDEX(Forms貼り付け!$A:$AZ,64,AQ$3)),1),""))</f>
        <v/>
      </c>
      <c r="AR65" s="8">
        <f>IF(AR$3="","",IFERROR(LEFT(TRIM(INDEX(Forms貼り付け!$A:$AZ,64,AR$3)),1),""))</f>
        <v/>
      </c>
      <c r="AS65" s="8">
        <f>IF(AS$3="","",IFERROR(LEFT(TRIM(INDEX(Forms貼り付け!$A:$AZ,64,AS$3)),1),""))</f>
        <v/>
      </c>
      <c r="AT65" s="8">
        <f>IF(AT$3="","",IFERROR(LEFT(TRIM(INDEX(Forms貼り付け!$A:$AZ,64,AT$3)),1),""))</f>
        <v/>
      </c>
      <c r="AU65" s="8">
        <f>IF(AU$3="","",IFERROR(LEFT(TRIM(INDEX(Forms貼り付け!$A:$AZ,64,AU$3)),1),""))</f>
        <v/>
      </c>
      <c r="AV65" s="8">
        <f>IF(AV$3="","",IFERROR(LEFT(TRIM(INDEX(Forms貼り付け!$A:$AZ,64,AV$3)),1),""))</f>
        <v/>
      </c>
      <c r="AW65" s="8">
        <f>IF(AW$3="","",IFERROR(LEFT(TRIM(INDEX(Forms貼り付け!$A:$AZ,64,AW$3)),1),""))</f>
        <v/>
      </c>
      <c r="AX65" s="8">
        <f>IF(AX$3="","",IFERROR(LEFT(TRIM(INDEX(Forms貼り付け!$A:$AZ,64,AX$3)),1),""))</f>
        <v/>
      </c>
      <c r="AY65" s="8">
        <f>IF(AY$3="","",IFERROR(LEFT(TRIM(INDEX(Forms貼り付け!$A:$AZ,64,AY$3)),1),""))</f>
        <v/>
      </c>
      <c r="AZ65" s="8">
        <f>IF(AZ$3="","",IFERROR(LEFT(TRIM(INDEX(Forms貼り付け!$A:$AZ,64,AZ$3)),1),""))</f>
        <v/>
      </c>
      <c r="BA65" s="8">
        <f>IF(BA$3="","",IFERROR(LEFT(TRIM(INDEX(Forms貼り付け!$A:$AZ,64,BA$3)),1),""))</f>
        <v/>
      </c>
      <c r="BB65" s="8">
        <f>IF(BB$3="","",IFERROR(LEFT(TRIM(INDEX(Forms貼り付け!$A:$AZ,64,BB$3)),1),""))</f>
        <v/>
      </c>
      <c r="BC65" s="8">
        <f>IF(BC$3="","",IFERROR(LEFT(TRIM(INDEX(Forms貼り付け!$A:$AZ,64,BC$3)),1),""))</f>
        <v/>
      </c>
    </row>
    <row r="66">
      <c r="A66" s="8" t="inlineStr">
        <is>
          <t>U062</t>
        </is>
      </c>
      <c r="B66" s="9">
        <f>IF($B$3="","",INDEX(Forms貼り付け!$A:$AZ,65,$B$3))</f>
        <v/>
      </c>
      <c r="C66" s="9">
        <f>IF($C$3="","",INDEX(Forms貼り付け!$A:$AZ,65,$C$3))</f>
        <v/>
      </c>
      <c r="D66" s="8">
        <f>IF($D$3="","",INDEX(Forms貼り付け!$A:$AZ,65,$D$3))</f>
        <v/>
      </c>
      <c r="E66" s="8">
        <f>IF($E$3="","",INDEX(Forms貼り付け!$A:$AZ,65,$E$3))</f>
        <v/>
      </c>
      <c r="F66" s="8">
        <f>IF(F$3="","",IFERROR(LEFT(TRIM(INDEX(Forms貼り付け!$A:$AZ,65,F$3)),1),""))</f>
        <v/>
      </c>
      <c r="G66" s="8">
        <f>IF(G$3="","",IFERROR(LEFT(TRIM(INDEX(Forms貼り付け!$A:$AZ,65,G$3)),1),""))</f>
        <v/>
      </c>
      <c r="H66" s="8">
        <f>IF(H$3="","",IFERROR(LEFT(TRIM(INDEX(Forms貼り付け!$A:$AZ,65,H$3)),1),""))</f>
        <v/>
      </c>
      <c r="I66" s="8">
        <f>IF(I$3="","",IFERROR(LEFT(TRIM(INDEX(Forms貼り付け!$A:$AZ,65,I$3)),1),""))</f>
        <v/>
      </c>
      <c r="J66" s="8">
        <f>IF(J$3="","",IFERROR(LEFT(TRIM(INDEX(Forms貼り付け!$A:$AZ,65,J$3)),1),""))</f>
        <v/>
      </c>
      <c r="K66" s="8">
        <f>IF(K$3="","",IFERROR(LEFT(TRIM(INDEX(Forms貼り付け!$A:$AZ,65,K$3)),1),""))</f>
        <v/>
      </c>
      <c r="L66" s="8">
        <f>IF(L$3="","",IFERROR(LEFT(TRIM(INDEX(Forms貼り付け!$A:$AZ,65,L$3)),1),""))</f>
        <v/>
      </c>
      <c r="M66" s="8">
        <f>IF(M$3="","",IFERROR(LEFT(TRIM(INDEX(Forms貼り付け!$A:$AZ,65,M$3)),1),""))</f>
        <v/>
      </c>
      <c r="N66" s="8">
        <f>IF(N$3="","",IFERROR(LEFT(TRIM(INDEX(Forms貼り付け!$A:$AZ,65,N$3)),1),""))</f>
        <v/>
      </c>
      <c r="O66" s="8">
        <f>IF(O$3="","",IFERROR(LEFT(TRIM(INDEX(Forms貼り付け!$A:$AZ,65,O$3)),1),""))</f>
        <v/>
      </c>
      <c r="P66" s="8">
        <f>IF(P$3="","",IFERROR(LEFT(TRIM(INDEX(Forms貼り付け!$A:$AZ,65,P$3)),1),""))</f>
        <v/>
      </c>
      <c r="Q66" s="8">
        <f>IF(Q$3="","",IFERROR(LEFT(TRIM(INDEX(Forms貼り付け!$A:$AZ,65,Q$3)),1),""))</f>
        <v/>
      </c>
      <c r="R66" s="8">
        <f>IF(R$3="","",IFERROR(LEFT(TRIM(INDEX(Forms貼り付け!$A:$AZ,65,R$3)),1),""))</f>
        <v/>
      </c>
      <c r="S66" s="8">
        <f>IF(S$3="","",IFERROR(LEFT(TRIM(INDEX(Forms貼り付け!$A:$AZ,65,S$3)),1),""))</f>
        <v/>
      </c>
      <c r="T66" s="8">
        <f>IF(T$3="","",IFERROR(LEFT(TRIM(INDEX(Forms貼り付け!$A:$AZ,65,T$3)),1),""))</f>
        <v/>
      </c>
      <c r="U66" s="8">
        <f>IF(U$3="","",IFERROR(LEFT(TRIM(INDEX(Forms貼り付け!$A:$AZ,65,U$3)),1),""))</f>
        <v/>
      </c>
      <c r="V66" s="8">
        <f>IF(V$3="","",IFERROR(LEFT(TRIM(INDEX(Forms貼り付け!$A:$AZ,65,V$3)),1),""))</f>
        <v/>
      </c>
      <c r="W66" s="8">
        <f>IF(W$3="","",IFERROR(LEFT(TRIM(INDEX(Forms貼り付け!$A:$AZ,65,W$3)),1),""))</f>
        <v/>
      </c>
      <c r="X66" s="8">
        <f>IF(X$3="","",IFERROR(LEFT(TRIM(INDEX(Forms貼り付け!$A:$AZ,65,X$3)),1),""))</f>
        <v/>
      </c>
      <c r="Y66" s="8">
        <f>IF(Y$3="","",IFERROR(LEFT(TRIM(INDEX(Forms貼り付け!$A:$AZ,65,Y$3)),1),""))</f>
        <v/>
      </c>
      <c r="Z66" s="8">
        <f>IF(Z$3="","",IFERROR(LEFT(TRIM(INDEX(Forms貼り付け!$A:$AZ,65,Z$3)),1),""))</f>
        <v/>
      </c>
      <c r="AA66" s="8">
        <f>IF(AA$3="","",IFERROR(LEFT(TRIM(INDEX(Forms貼り付け!$A:$AZ,65,AA$3)),1),""))</f>
        <v/>
      </c>
      <c r="AB66" s="8">
        <f>IF(AB$3="","",IFERROR(LEFT(TRIM(INDEX(Forms貼り付け!$A:$AZ,65,AB$3)),1),""))</f>
        <v/>
      </c>
      <c r="AC66" s="8">
        <f>IF(AC$3="","",IFERROR(LEFT(TRIM(INDEX(Forms貼り付け!$A:$AZ,65,AC$3)),1),""))</f>
        <v/>
      </c>
      <c r="AD66" s="8">
        <f>IF(AD$3="","",IFERROR(LEFT(TRIM(INDEX(Forms貼り付け!$A:$AZ,65,AD$3)),1),""))</f>
        <v/>
      </c>
      <c r="AE66" s="8">
        <f>IF(AE$3="","",IFERROR(LEFT(TRIM(INDEX(Forms貼り付け!$A:$AZ,65,AE$3)),1),""))</f>
        <v/>
      </c>
      <c r="AF66" s="8">
        <f>IF(AF$3="","",IFERROR(LEFT(TRIM(INDEX(Forms貼り付け!$A:$AZ,65,AF$3)),1),""))</f>
        <v/>
      </c>
      <c r="AG66" s="8">
        <f>IF(AG$3="","",IFERROR(LEFT(TRIM(INDEX(Forms貼り付け!$A:$AZ,65,AG$3)),1),""))</f>
        <v/>
      </c>
      <c r="AH66" s="8">
        <f>IF(AH$3="","",IFERROR(LEFT(TRIM(INDEX(Forms貼り付け!$A:$AZ,65,AH$3)),1),""))</f>
        <v/>
      </c>
      <c r="AI66" s="8">
        <f>IF(AI$3="","",IFERROR(LEFT(TRIM(INDEX(Forms貼り付け!$A:$AZ,65,AI$3)),1),""))</f>
        <v/>
      </c>
      <c r="AJ66" s="8">
        <f>IF(AJ$3="","",IFERROR(LEFT(TRIM(INDEX(Forms貼り付け!$A:$AZ,65,AJ$3)),1),""))</f>
        <v/>
      </c>
      <c r="AK66" s="8">
        <f>IF(AK$3="","",IFERROR(LEFT(TRIM(INDEX(Forms貼り付け!$A:$AZ,65,AK$3)),1),""))</f>
        <v/>
      </c>
      <c r="AL66" s="8">
        <f>IF(AL$3="","",IFERROR(LEFT(TRIM(INDEX(Forms貼り付け!$A:$AZ,65,AL$3)),1),""))</f>
        <v/>
      </c>
      <c r="AM66" s="8">
        <f>IF(AM$3="","",IFERROR(LEFT(TRIM(INDEX(Forms貼り付け!$A:$AZ,65,AM$3)),1),""))</f>
        <v/>
      </c>
      <c r="AN66" s="8">
        <f>IF(AN$3="","",IFERROR(LEFT(TRIM(INDEX(Forms貼り付け!$A:$AZ,65,AN$3)),1),""))</f>
        <v/>
      </c>
      <c r="AO66" s="8">
        <f>IF(AO$3="","",IFERROR(LEFT(TRIM(INDEX(Forms貼り付け!$A:$AZ,65,AO$3)),1),""))</f>
        <v/>
      </c>
      <c r="AP66" s="8">
        <f>IF(AP$3="","",IFERROR(LEFT(TRIM(INDEX(Forms貼り付け!$A:$AZ,65,AP$3)),1),""))</f>
        <v/>
      </c>
      <c r="AQ66" s="8">
        <f>IF(AQ$3="","",IFERROR(LEFT(TRIM(INDEX(Forms貼り付け!$A:$AZ,65,AQ$3)),1),""))</f>
        <v/>
      </c>
      <c r="AR66" s="8">
        <f>IF(AR$3="","",IFERROR(LEFT(TRIM(INDEX(Forms貼り付け!$A:$AZ,65,AR$3)),1),""))</f>
        <v/>
      </c>
      <c r="AS66" s="8">
        <f>IF(AS$3="","",IFERROR(LEFT(TRIM(INDEX(Forms貼り付け!$A:$AZ,65,AS$3)),1),""))</f>
        <v/>
      </c>
      <c r="AT66" s="8">
        <f>IF(AT$3="","",IFERROR(LEFT(TRIM(INDEX(Forms貼り付け!$A:$AZ,65,AT$3)),1),""))</f>
        <v/>
      </c>
      <c r="AU66" s="8">
        <f>IF(AU$3="","",IFERROR(LEFT(TRIM(INDEX(Forms貼り付け!$A:$AZ,65,AU$3)),1),""))</f>
        <v/>
      </c>
      <c r="AV66" s="8">
        <f>IF(AV$3="","",IFERROR(LEFT(TRIM(INDEX(Forms貼り付け!$A:$AZ,65,AV$3)),1),""))</f>
        <v/>
      </c>
      <c r="AW66" s="8">
        <f>IF(AW$3="","",IFERROR(LEFT(TRIM(INDEX(Forms貼り付け!$A:$AZ,65,AW$3)),1),""))</f>
        <v/>
      </c>
      <c r="AX66" s="8">
        <f>IF(AX$3="","",IFERROR(LEFT(TRIM(INDEX(Forms貼り付け!$A:$AZ,65,AX$3)),1),""))</f>
        <v/>
      </c>
      <c r="AY66" s="8">
        <f>IF(AY$3="","",IFERROR(LEFT(TRIM(INDEX(Forms貼り付け!$A:$AZ,65,AY$3)),1),""))</f>
        <v/>
      </c>
      <c r="AZ66" s="8">
        <f>IF(AZ$3="","",IFERROR(LEFT(TRIM(INDEX(Forms貼り付け!$A:$AZ,65,AZ$3)),1),""))</f>
        <v/>
      </c>
      <c r="BA66" s="8">
        <f>IF(BA$3="","",IFERROR(LEFT(TRIM(INDEX(Forms貼り付け!$A:$AZ,65,BA$3)),1),""))</f>
        <v/>
      </c>
      <c r="BB66" s="8">
        <f>IF(BB$3="","",IFERROR(LEFT(TRIM(INDEX(Forms貼り付け!$A:$AZ,65,BB$3)),1),""))</f>
        <v/>
      </c>
      <c r="BC66" s="8">
        <f>IF(BC$3="","",IFERROR(LEFT(TRIM(INDEX(Forms貼り付け!$A:$AZ,65,BC$3)),1),""))</f>
        <v/>
      </c>
    </row>
    <row r="67">
      <c r="A67" s="8" t="inlineStr">
        <is>
          <t>U063</t>
        </is>
      </c>
      <c r="B67" s="9">
        <f>IF($B$3="","",INDEX(Forms貼り付け!$A:$AZ,66,$B$3))</f>
        <v/>
      </c>
      <c r="C67" s="9">
        <f>IF($C$3="","",INDEX(Forms貼り付け!$A:$AZ,66,$C$3))</f>
        <v/>
      </c>
      <c r="D67" s="8">
        <f>IF($D$3="","",INDEX(Forms貼り付け!$A:$AZ,66,$D$3))</f>
        <v/>
      </c>
      <c r="E67" s="8">
        <f>IF($E$3="","",INDEX(Forms貼り付け!$A:$AZ,66,$E$3))</f>
        <v/>
      </c>
      <c r="F67" s="8">
        <f>IF(F$3="","",IFERROR(LEFT(TRIM(INDEX(Forms貼り付け!$A:$AZ,66,F$3)),1),""))</f>
        <v/>
      </c>
      <c r="G67" s="8">
        <f>IF(G$3="","",IFERROR(LEFT(TRIM(INDEX(Forms貼り付け!$A:$AZ,66,G$3)),1),""))</f>
        <v/>
      </c>
      <c r="H67" s="8">
        <f>IF(H$3="","",IFERROR(LEFT(TRIM(INDEX(Forms貼り付け!$A:$AZ,66,H$3)),1),""))</f>
        <v/>
      </c>
      <c r="I67" s="8">
        <f>IF(I$3="","",IFERROR(LEFT(TRIM(INDEX(Forms貼り付け!$A:$AZ,66,I$3)),1),""))</f>
        <v/>
      </c>
      <c r="J67" s="8">
        <f>IF(J$3="","",IFERROR(LEFT(TRIM(INDEX(Forms貼り付け!$A:$AZ,66,J$3)),1),""))</f>
        <v/>
      </c>
      <c r="K67" s="8">
        <f>IF(K$3="","",IFERROR(LEFT(TRIM(INDEX(Forms貼り付け!$A:$AZ,66,K$3)),1),""))</f>
        <v/>
      </c>
      <c r="L67" s="8">
        <f>IF(L$3="","",IFERROR(LEFT(TRIM(INDEX(Forms貼り付け!$A:$AZ,66,L$3)),1),""))</f>
        <v/>
      </c>
      <c r="M67" s="8">
        <f>IF(M$3="","",IFERROR(LEFT(TRIM(INDEX(Forms貼り付け!$A:$AZ,66,M$3)),1),""))</f>
        <v/>
      </c>
      <c r="N67" s="8">
        <f>IF(N$3="","",IFERROR(LEFT(TRIM(INDEX(Forms貼り付け!$A:$AZ,66,N$3)),1),""))</f>
        <v/>
      </c>
      <c r="O67" s="8">
        <f>IF(O$3="","",IFERROR(LEFT(TRIM(INDEX(Forms貼り付け!$A:$AZ,66,O$3)),1),""))</f>
        <v/>
      </c>
      <c r="P67" s="8">
        <f>IF(P$3="","",IFERROR(LEFT(TRIM(INDEX(Forms貼り付け!$A:$AZ,66,P$3)),1),""))</f>
        <v/>
      </c>
      <c r="Q67" s="8">
        <f>IF(Q$3="","",IFERROR(LEFT(TRIM(INDEX(Forms貼り付け!$A:$AZ,66,Q$3)),1),""))</f>
        <v/>
      </c>
      <c r="R67" s="8">
        <f>IF(R$3="","",IFERROR(LEFT(TRIM(INDEX(Forms貼り付け!$A:$AZ,66,R$3)),1),""))</f>
        <v/>
      </c>
      <c r="S67" s="8">
        <f>IF(S$3="","",IFERROR(LEFT(TRIM(INDEX(Forms貼り付け!$A:$AZ,66,S$3)),1),""))</f>
        <v/>
      </c>
      <c r="T67" s="8">
        <f>IF(T$3="","",IFERROR(LEFT(TRIM(INDEX(Forms貼り付け!$A:$AZ,66,T$3)),1),""))</f>
        <v/>
      </c>
      <c r="U67" s="8">
        <f>IF(U$3="","",IFERROR(LEFT(TRIM(INDEX(Forms貼り付け!$A:$AZ,66,U$3)),1),""))</f>
        <v/>
      </c>
      <c r="V67" s="8">
        <f>IF(V$3="","",IFERROR(LEFT(TRIM(INDEX(Forms貼り付け!$A:$AZ,66,V$3)),1),""))</f>
        <v/>
      </c>
      <c r="W67" s="8">
        <f>IF(W$3="","",IFERROR(LEFT(TRIM(INDEX(Forms貼り付け!$A:$AZ,66,W$3)),1),""))</f>
        <v/>
      </c>
      <c r="X67" s="8">
        <f>IF(X$3="","",IFERROR(LEFT(TRIM(INDEX(Forms貼り付け!$A:$AZ,66,X$3)),1),""))</f>
        <v/>
      </c>
      <c r="Y67" s="8">
        <f>IF(Y$3="","",IFERROR(LEFT(TRIM(INDEX(Forms貼り付け!$A:$AZ,66,Y$3)),1),""))</f>
        <v/>
      </c>
      <c r="Z67" s="8">
        <f>IF(Z$3="","",IFERROR(LEFT(TRIM(INDEX(Forms貼り付け!$A:$AZ,66,Z$3)),1),""))</f>
        <v/>
      </c>
      <c r="AA67" s="8">
        <f>IF(AA$3="","",IFERROR(LEFT(TRIM(INDEX(Forms貼り付け!$A:$AZ,66,AA$3)),1),""))</f>
        <v/>
      </c>
      <c r="AB67" s="8">
        <f>IF(AB$3="","",IFERROR(LEFT(TRIM(INDEX(Forms貼り付け!$A:$AZ,66,AB$3)),1),""))</f>
        <v/>
      </c>
      <c r="AC67" s="8">
        <f>IF(AC$3="","",IFERROR(LEFT(TRIM(INDEX(Forms貼り付け!$A:$AZ,66,AC$3)),1),""))</f>
        <v/>
      </c>
      <c r="AD67" s="8">
        <f>IF(AD$3="","",IFERROR(LEFT(TRIM(INDEX(Forms貼り付け!$A:$AZ,66,AD$3)),1),""))</f>
        <v/>
      </c>
      <c r="AE67" s="8">
        <f>IF(AE$3="","",IFERROR(LEFT(TRIM(INDEX(Forms貼り付け!$A:$AZ,66,AE$3)),1),""))</f>
        <v/>
      </c>
      <c r="AF67" s="8">
        <f>IF(AF$3="","",IFERROR(LEFT(TRIM(INDEX(Forms貼り付け!$A:$AZ,66,AF$3)),1),""))</f>
        <v/>
      </c>
      <c r="AG67" s="8">
        <f>IF(AG$3="","",IFERROR(LEFT(TRIM(INDEX(Forms貼り付け!$A:$AZ,66,AG$3)),1),""))</f>
        <v/>
      </c>
      <c r="AH67" s="8">
        <f>IF(AH$3="","",IFERROR(LEFT(TRIM(INDEX(Forms貼り付け!$A:$AZ,66,AH$3)),1),""))</f>
        <v/>
      </c>
      <c r="AI67" s="8">
        <f>IF(AI$3="","",IFERROR(LEFT(TRIM(INDEX(Forms貼り付け!$A:$AZ,66,AI$3)),1),""))</f>
        <v/>
      </c>
      <c r="AJ67" s="8">
        <f>IF(AJ$3="","",IFERROR(LEFT(TRIM(INDEX(Forms貼り付け!$A:$AZ,66,AJ$3)),1),""))</f>
        <v/>
      </c>
      <c r="AK67" s="8">
        <f>IF(AK$3="","",IFERROR(LEFT(TRIM(INDEX(Forms貼り付け!$A:$AZ,66,AK$3)),1),""))</f>
        <v/>
      </c>
      <c r="AL67" s="8">
        <f>IF(AL$3="","",IFERROR(LEFT(TRIM(INDEX(Forms貼り付け!$A:$AZ,66,AL$3)),1),""))</f>
        <v/>
      </c>
      <c r="AM67" s="8">
        <f>IF(AM$3="","",IFERROR(LEFT(TRIM(INDEX(Forms貼り付け!$A:$AZ,66,AM$3)),1),""))</f>
        <v/>
      </c>
      <c r="AN67" s="8">
        <f>IF(AN$3="","",IFERROR(LEFT(TRIM(INDEX(Forms貼り付け!$A:$AZ,66,AN$3)),1),""))</f>
        <v/>
      </c>
      <c r="AO67" s="8">
        <f>IF(AO$3="","",IFERROR(LEFT(TRIM(INDEX(Forms貼り付け!$A:$AZ,66,AO$3)),1),""))</f>
        <v/>
      </c>
      <c r="AP67" s="8">
        <f>IF(AP$3="","",IFERROR(LEFT(TRIM(INDEX(Forms貼り付け!$A:$AZ,66,AP$3)),1),""))</f>
        <v/>
      </c>
      <c r="AQ67" s="8">
        <f>IF(AQ$3="","",IFERROR(LEFT(TRIM(INDEX(Forms貼り付け!$A:$AZ,66,AQ$3)),1),""))</f>
        <v/>
      </c>
      <c r="AR67" s="8">
        <f>IF(AR$3="","",IFERROR(LEFT(TRIM(INDEX(Forms貼り付け!$A:$AZ,66,AR$3)),1),""))</f>
        <v/>
      </c>
      <c r="AS67" s="8">
        <f>IF(AS$3="","",IFERROR(LEFT(TRIM(INDEX(Forms貼り付け!$A:$AZ,66,AS$3)),1),""))</f>
        <v/>
      </c>
      <c r="AT67" s="8">
        <f>IF(AT$3="","",IFERROR(LEFT(TRIM(INDEX(Forms貼り付け!$A:$AZ,66,AT$3)),1),""))</f>
        <v/>
      </c>
      <c r="AU67" s="8">
        <f>IF(AU$3="","",IFERROR(LEFT(TRIM(INDEX(Forms貼り付け!$A:$AZ,66,AU$3)),1),""))</f>
        <v/>
      </c>
      <c r="AV67" s="8">
        <f>IF(AV$3="","",IFERROR(LEFT(TRIM(INDEX(Forms貼り付け!$A:$AZ,66,AV$3)),1),""))</f>
        <v/>
      </c>
      <c r="AW67" s="8">
        <f>IF(AW$3="","",IFERROR(LEFT(TRIM(INDEX(Forms貼り付け!$A:$AZ,66,AW$3)),1),""))</f>
        <v/>
      </c>
      <c r="AX67" s="8">
        <f>IF(AX$3="","",IFERROR(LEFT(TRIM(INDEX(Forms貼り付け!$A:$AZ,66,AX$3)),1),""))</f>
        <v/>
      </c>
      <c r="AY67" s="8">
        <f>IF(AY$3="","",IFERROR(LEFT(TRIM(INDEX(Forms貼り付け!$A:$AZ,66,AY$3)),1),""))</f>
        <v/>
      </c>
      <c r="AZ67" s="8">
        <f>IF(AZ$3="","",IFERROR(LEFT(TRIM(INDEX(Forms貼り付け!$A:$AZ,66,AZ$3)),1),""))</f>
        <v/>
      </c>
      <c r="BA67" s="8">
        <f>IF(BA$3="","",IFERROR(LEFT(TRIM(INDEX(Forms貼り付け!$A:$AZ,66,BA$3)),1),""))</f>
        <v/>
      </c>
      <c r="BB67" s="8">
        <f>IF(BB$3="","",IFERROR(LEFT(TRIM(INDEX(Forms貼り付け!$A:$AZ,66,BB$3)),1),""))</f>
        <v/>
      </c>
      <c r="BC67" s="8">
        <f>IF(BC$3="","",IFERROR(LEFT(TRIM(INDEX(Forms貼り付け!$A:$AZ,66,BC$3)),1),""))</f>
        <v/>
      </c>
    </row>
    <row r="68">
      <c r="A68" s="8" t="inlineStr">
        <is>
          <t>U064</t>
        </is>
      </c>
      <c r="B68" s="9">
        <f>IF($B$3="","",INDEX(Forms貼り付け!$A:$AZ,67,$B$3))</f>
        <v/>
      </c>
      <c r="C68" s="9">
        <f>IF($C$3="","",INDEX(Forms貼り付け!$A:$AZ,67,$C$3))</f>
        <v/>
      </c>
      <c r="D68" s="8">
        <f>IF($D$3="","",INDEX(Forms貼り付け!$A:$AZ,67,$D$3))</f>
        <v/>
      </c>
      <c r="E68" s="8">
        <f>IF($E$3="","",INDEX(Forms貼り付け!$A:$AZ,67,$E$3))</f>
        <v/>
      </c>
      <c r="F68" s="8">
        <f>IF(F$3="","",IFERROR(LEFT(TRIM(INDEX(Forms貼り付け!$A:$AZ,67,F$3)),1),""))</f>
        <v/>
      </c>
      <c r="G68" s="8">
        <f>IF(G$3="","",IFERROR(LEFT(TRIM(INDEX(Forms貼り付け!$A:$AZ,67,G$3)),1),""))</f>
        <v/>
      </c>
      <c r="H68" s="8">
        <f>IF(H$3="","",IFERROR(LEFT(TRIM(INDEX(Forms貼り付け!$A:$AZ,67,H$3)),1),""))</f>
        <v/>
      </c>
      <c r="I68" s="8">
        <f>IF(I$3="","",IFERROR(LEFT(TRIM(INDEX(Forms貼り付け!$A:$AZ,67,I$3)),1),""))</f>
        <v/>
      </c>
      <c r="J68" s="8">
        <f>IF(J$3="","",IFERROR(LEFT(TRIM(INDEX(Forms貼り付け!$A:$AZ,67,J$3)),1),""))</f>
        <v/>
      </c>
      <c r="K68" s="8">
        <f>IF(K$3="","",IFERROR(LEFT(TRIM(INDEX(Forms貼り付け!$A:$AZ,67,K$3)),1),""))</f>
        <v/>
      </c>
      <c r="L68" s="8">
        <f>IF(L$3="","",IFERROR(LEFT(TRIM(INDEX(Forms貼り付け!$A:$AZ,67,L$3)),1),""))</f>
        <v/>
      </c>
      <c r="M68" s="8">
        <f>IF(M$3="","",IFERROR(LEFT(TRIM(INDEX(Forms貼り付け!$A:$AZ,67,M$3)),1),""))</f>
        <v/>
      </c>
      <c r="N68" s="8">
        <f>IF(N$3="","",IFERROR(LEFT(TRIM(INDEX(Forms貼り付け!$A:$AZ,67,N$3)),1),""))</f>
        <v/>
      </c>
      <c r="O68" s="8">
        <f>IF(O$3="","",IFERROR(LEFT(TRIM(INDEX(Forms貼り付け!$A:$AZ,67,O$3)),1),""))</f>
        <v/>
      </c>
      <c r="P68" s="8">
        <f>IF(P$3="","",IFERROR(LEFT(TRIM(INDEX(Forms貼り付け!$A:$AZ,67,P$3)),1),""))</f>
        <v/>
      </c>
      <c r="Q68" s="8">
        <f>IF(Q$3="","",IFERROR(LEFT(TRIM(INDEX(Forms貼り付け!$A:$AZ,67,Q$3)),1),""))</f>
        <v/>
      </c>
      <c r="R68" s="8">
        <f>IF(R$3="","",IFERROR(LEFT(TRIM(INDEX(Forms貼り付け!$A:$AZ,67,R$3)),1),""))</f>
        <v/>
      </c>
      <c r="S68" s="8">
        <f>IF(S$3="","",IFERROR(LEFT(TRIM(INDEX(Forms貼り付け!$A:$AZ,67,S$3)),1),""))</f>
        <v/>
      </c>
      <c r="T68" s="8">
        <f>IF(T$3="","",IFERROR(LEFT(TRIM(INDEX(Forms貼り付け!$A:$AZ,67,T$3)),1),""))</f>
        <v/>
      </c>
      <c r="U68" s="8">
        <f>IF(U$3="","",IFERROR(LEFT(TRIM(INDEX(Forms貼り付け!$A:$AZ,67,U$3)),1),""))</f>
        <v/>
      </c>
      <c r="V68" s="8">
        <f>IF(V$3="","",IFERROR(LEFT(TRIM(INDEX(Forms貼り付け!$A:$AZ,67,V$3)),1),""))</f>
        <v/>
      </c>
      <c r="W68" s="8">
        <f>IF(W$3="","",IFERROR(LEFT(TRIM(INDEX(Forms貼り付け!$A:$AZ,67,W$3)),1),""))</f>
        <v/>
      </c>
      <c r="X68" s="8">
        <f>IF(X$3="","",IFERROR(LEFT(TRIM(INDEX(Forms貼り付け!$A:$AZ,67,X$3)),1),""))</f>
        <v/>
      </c>
      <c r="Y68" s="8">
        <f>IF(Y$3="","",IFERROR(LEFT(TRIM(INDEX(Forms貼り付け!$A:$AZ,67,Y$3)),1),""))</f>
        <v/>
      </c>
      <c r="Z68" s="8">
        <f>IF(Z$3="","",IFERROR(LEFT(TRIM(INDEX(Forms貼り付け!$A:$AZ,67,Z$3)),1),""))</f>
        <v/>
      </c>
      <c r="AA68" s="8">
        <f>IF(AA$3="","",IFERROR(LEFT(TRIM(INDEX(Forms貼り付け!$A:$AZ,67,AA$3)),1),""))</f>
        <v/>
      </c>
      <c r="AB68" s="8">
        <f>IF(AB$3="","",IFERROR(LEFT(TRIM(INDEX(Forms貼り付け!$A:$AZ,67,AB$3)),1),""))</f>
        <v/>
      </c>
      <c r="AC68" s="8">
        <f>IF(AC$3="","",IFERROR(LEFT(TRIM(INDEX(Forms貼り付け!$A:$AZ,67,AC$3)),1),""))</f>
        <v/>
      </c>
      <c r="AD68" s="8">
        <f>IF(AD$3="","",IFERROR(LEFT(TRIM(INDEX(Forms貼り付け!$A:$AZ,67,AD$3)),1),""))</f>
        <v/>
      </c>
      <c r="AE68" s="8">
        <f>IF(AE$3="","",IFERROR(LEFT(TRIM(INDEX(Forms貼り付け!$A:$AZ,67,AE$3)),1),""))</f>
        <v/>
      </c>
      <c r="AF68" s="8">
        <f>IF(AF$3="","",IFERROR(LEFT(TRIM(INDEX(Forms貼り付け!$A:$AZ,67,AF$3)),1),""))</f>
        <v/>
      </c>
      <c r="AG68" s="8">
        <f>IF(AG$3="","",IFERROR(LEFT(TRIM(INDEX(Forms貼り付け!$A:$AZ,67,AG$3)),1),""))</f>
        <v/>
      </c>
      <c r="AH68" s="8">
        <f>IF(AH$3="","",IFERROR(LEFT(TRIM(INDEX(Forms貼り付け!$A:$AZ,67,AH$3)),1),""))</f>
        <v/>
      </c>
      <c r="AI68" s="8">
        <f>IF(AI$3="","",IFERROR(LEFT(TRIM(INDEX(Forms貼り付け!$A:$AZ,67,AI$3)),1),""))</f>
        <v/>
      </c>
      <c r="AJ68" s="8">
        <f>IF(AJ$3="","",IFERROR(LEFT(TRIM(INDEX(Forms貼り付け!$A:$AZ,67,AJ$3)),1),""))</f>
        <v/>
      </c>
      <c r="AK68" s="8">
        <f>IF(AK$3="","",IFERROR(LEFT(TRIM(INDEX(Forms貼り付け!$A:$AZ,67,AK$3)),1),""))</f>
        <v/>
      </c>
      <c r="AL68" s="8">
        <f>IF(AL$3="","",IFERROR(LEFT(TRIM(INDEX(Forms貼り付け!$A:$AZ,67,AL$3)),1),""))</f>
        <v/>
      </c>
      <c r="AM68" s="8">
        <f>IF(AM$3="","",IFERROR(LEFT(TRIM(INDEX(Forms貼り付け!$A:$AZ,67,AM$3)),1),""))</f>
        <v/>
      </c>
      <c r="AN68" s="8">
        <f>IF(AN$3="","",IFERROR(LEFT(TRIM(INDEX(Forms貼り付け!$A:$AZ,67,AN$3)),1),""))</f>
        <v/>
      </c>
      <c r="AO68" s="8">
        <f>IF(AO$3="","",IFERROR(LEFT(TRIM(INDEX(Forms貼り付け!$A:$AZ,67,AO$3)),1),""))</f>
        <v/>
      </c>
      <c r="AP68" s="8">
        <f>IF(AP$3="","",IFERROR(LEFT(TRIM(INDEX(Forms貼り付け!$A:$AZ,67,AP$3)),1),""))</f>
        <v/>
      </c>
      <c r="AQ68" s="8">
        <f>IF(AQ$3="","",IFERROR(LEFT(TRIM(INDEX(Forms貼り付け!$A:$AZ,67,AQ$3)),1),""))</f>
        <v/>
      </c>
      <c r="AR68" s="8">
        <f>IF(AR$3="","",IFERROR(LEFT(TRIM(INDEX(Forms貼り付け!$A:$AZ,67,AR$3)),1),""))</f>
        <v/>
      </c>
      <c r="AS68" s="8">
        <f>IF(AS$3="","",IFERROR(LEFT(TRIM(INDEX(Forms貼り付け!$A:$AZ,67,AS$3)),1),""))</f>
        <v/>
      </c>
      <c r="AT68" s="8">
        <f>IF(AT$3="","",IFERROR(LEFT(TRIM(INDEX(Forms貼り付け!$A:$AZ,67,AT$3)),1),""))</f>
        <v/>
      </c>
      <c r="AU68" s="8">
        <f>IF(AU$3="","",IFERROR(LEFT(TRIM(INDEX(Forms貼り付け!$A:$AZ,67,AU$3)),1),""))</f>
        <v/>
      </c>
      <c r="AV68" s="8">
        <f>IF(AV$3="","",IFERROR(LEFT(TRIM(INDEX(Forms貼り付け!$A:$AZ,67,AV$3)),1),""))</f>
        <v/>
      </c>
      <c r="AW68" s="8">
        <f>IF(AW$3="","",IFERROR(LEFT(TRIM(INDEX(Forms貼り付け!$A:$AZ,67,AW$3)),1),""))</f>
        <v/>
      </c>
      <c r="AX68" s="8">
        <f>IF(AX$3="","",IFERROR(LEFT(TRIM(INDEX(Forms貼り付け!$A:$AZ,67,AX$3)),1),""))</f>
        <v/>
      </c>
      <c r="AY68" s="8">
        <f>IF(AY$3="","",IFERROR(LEFT(TRIM(INDEX(Forms貼り付け!$A:$AZ,67,AY$3)),1),""))</f>
        <v/>
      </c>
      <c r="AZ68" s="8">
        <f>IF(AZ$3="","",IFERROR(LEFT(TRIM(INDEX(Forms貼り付け!$A:$AZ,67,AZ$3)),1),""))</f>
        <v/>
      </c>
      <c r="BA68" s="8">
        <f>IF(BA$3="","",IFERROR(LEFT(TRIM(INDEX(Forms貼り付け!$A:$AZ,67,BA$3)),1),""))</f>
        <v/>
      </c>
      <c r="BB68" s="8">
        <f>IF(BB$3="","",IFERROR(LEFT(TRIM(INDEX(Forms貼り付け!$A:$AZ,67,BB$3)),1),""))</f>
        <v/>
      </c>
      <c r="BC68" s="8">
        <f>IF(BC$3="","",IFERROR(LEFT(TRIM(INDEX(Forms貼り付け!$A:$AZ,67,BC$3)),1),""))</f>
        <v/>
      </c>
    </row>
    <row r="69">
      <c r="A69" s="8" t="inlineStr">
        <is>
          <t>U065</t>
        </is>
      </c>
      <c r="B69" s="9">
        <f>IF($B$3="","",INDEX(Forms貼り付け!$A:$AZ,68,$B$3))</f>
        <v/>
      </c>
      <c r="C69" s="9">
        <f>IF($C$3="","",INDEX(Forms貼り付け!$A:$AZ,68,$C$3))</f>
        <v/>
      </c>
      <c r="D69" s="8">
        <f>IF($D$3="","",INDEX(Forms貼り付け!$A:$AZ,68,$D$3))</f>
        <v/>
      </c>
      <c r="E69" s="8">
        <f>IF($E$3="","",INDEX(Forms貼り付け!$A:$AZ,68,$E$3))</f>
        <v/>
      </c>
      <c r="F69" s="8">
        <f>IF(F$3="","",IFERROR(LEFT(TRIM(INDEX(Forms貼り付け!$A:$AZ,68,F$3)),1),""))</f>
        <v/>
      </c>
      <c r="G69" s="8">
        <f>IF(G$3="","",IFERROR(LEFT(TRIM(INDEX(Forms貼り付け!$A:$AZ,68,G$3)),1),""))</f>
        <v/>
      </c>
      <c r="H69" s="8">
        <f>IF(H$3="","",IFERROR(LEFT(TRIM(INDEX(Forms貼り付け!$A:$AZ,68,H$3)),1),""))</f>
        <v/>
      </c>
      <c r="I69" s="8">
        <f>IF(I$3="","",IFERROR(LEFT(TRIM(INDEX(Forms貼り付け!$A:$AZ,68,I$3)),1),""))</f>
        <v/>
      </c>
      <c r="J69" s="8">
        <f>IF(J$3="","",IFERROR(LEFT(TRIM(INDEX(Forms貼り付け!$A:$AZ,68,J$3)),1),""))</f>
        <v/>
      </c>
      <c r="K69" s="8">
        <f>IF(K$3="","",IFERROR(LEFT(TRIM(INDEX(Forms貼り付け!$A:$AZ,68,K$3)),1),""))</f>
        <v/>
      </c>
      <c r="L69" s="8">
        <f>IF(L$3="","",IFERROR(LEFT(TRIM(INDEX(Forms貼り付け!$A:$AZ,68,L$3)),1),""))</f>
        <v/>
      </c>
      <c r="M69" s="8">
        <f>IF(M$3="","",IFERROR(LEFT(TRIM(INDEX(Forms貼り付け!$A:$AZ,68,M$3)),1),""))</f>
        <v/>
      </c>
      <c r="N69" s="8">
        <f>IF(N$3="","",IFERROR(LEFT(TRIM(INDEX(Forms貼り付け!$A:$AZ,68,N$3)),1),""))</f>
        <v/>
      </c>
      <c r="O69" s="8">
        <f>IF(O$3="","",IFERROR(LEFT(TRIM(INDEX(Forms貼り付け!$A:$AZ,68,O$3)),1),""))</f>
        <v/>
      </c>
      <c r="P69" s="8">
        <f>IF(P$3="","",IFERROR(LEFT(TRIM(INDEX(Forms貼り付け!$A:$AZ,68,P$3)),1),""))</f>
        <v/>
      </c>
      <c r="Q69" s="8">
        <f>IF(Q$3="","",IFERROR(LEFT(TRIM(INDEX(Forms貼り付け!$A:$AZ,68,Q$3)),1),""))</f>
        <v/>
      </c>
      <c r="R69" s="8">
        <f>IF(R$3="","",IFERROR(LEFT(TRIM(INDEX(Forms貼り付け!$A:$AZ,68,R$3)),1),""))</f>
        <v/>
      </c>
      <c r="S69" s="8">
        <f>IF(S$3="","",IFERROR(LEFT(TRIM(INDEX(Forms貼り付け!$A:$AZ,68,S$3)),1),""))</f>
        <v/>
      </c>
      <c r="T69" s="8">
        <f>IF(T$3="","",IFERROR(LEFT(TRIM(INDEX(Forms貼り付け!$A:$AZ,68,T$3)),1),""))</f>
        <v/>
      </c>
      <c r="U69" s="8">
        <f>IF(U$3="","",IFERROR(LEFT(TRIM(INDEX(Forms貼り付け!$A:$AZ,68,U$3)),1),""))</f>
        <v/>
      </c>
      <c r="V69" s="8">
        <f>IF(V$3="","",IFERROR(LEFT(TRIM(INDEX(Forms貼り付け!$A:$AZ,68,V$3)),1),""))</f>
        <v/>
      </c>
      <c r="W69" s="8">
        <f>IF(W$3="","",IFERROR(LEFT(TRIM(INDEX(Forms貼り付け!$A:$AZ,68,W$3)),1),""))</f>
        <v/>
      </c>
      <c r="X69" s="8">
        <f>IF(X$3="","",IFERROR(LEFT(TRIM(INDEX(Forms貼り付け!$A:$AZ,68,X$3)),1),""))</f>
        <v/>
      </c>
      <c r="Y69" s="8">
        <f>IF(Y$3="","",IFERROR(LEFT(TRIM(INDEX(Forms貼り付け!$A:$AZ,68,Y$3)),1),""))</f>
        <v/>
      </c>
      <c r="Z69" s="8">
        <f>IF(Z$3="","",IFERROR(LEFT(TRIM(INDEX(Forms貼り付け!$A:$AZ,68,Z$3)),1),""))</f>
        <v/>
      </c>
      <c r="AA69" s="8">
        <f>IF(AA$3="","",IFERROR(LEFT(TRIM(INDEX(Forms貼り付け!$A:$AZ,68,AA$3)),1),""))</f>
        <v/>
      </c>
      <c r="AB69" s="8">
        <f>IF(AB$3="","",IFERROR(LEFT(TRIM(INDEX(Forms貼り付け!$A:$AZ,68,AB$3)),1),""))</f>
        <v/>
      </c>
      <c r="AC69" s="8">
        <f>IF(AC$3="","",IFERROR(LEFT(TRIM(INDEX(Forms貼り付け!$A:$AZ,68,AC$3)),1),""))</f>
        <v/>
      </c>
      <c r="AD69" s="8">
        <f>IF(AD$3="","",IFERROR(LEFT(TRIM(INDEX(Forms貼り付け!$A:$AZ,68,AD$3)),1),""))</f>
        <v/>
      </c>
      <c r="AE69" s="8">
        <f>IF(AE$3="","",IFERROR(LEFT(TRIM(INDEX(Forms貼り付け!$A:$AZ,68,AE$3)),1),""))</f>
        <v/>
      </c>
      <c r="AF69" s="8">
        <f>IF(AF$3="","",IFERROR(LEFT(TRIM(INDEX(Forms貼り付け!$A:$AZ,68,AF$3)),1),""))</f>
        <v/>
      </c>
      <c r="AG69" s="8">
        <f>IF(AG$3="","",IFERROR(LEFT(TRIM(INDEX(Forms貼り付け!$A:$AZ,68,AG$3)),1),""))</f>
        <v/>
      </c>
      <c r="AH69" s="8">
        <f>IF(AH$3="","",IFERROR(LEFT(TRIM(INDEX(Forms貼り付け!$A:$AZ,68,AH$3)),1),""))</f>
        <v/>
      </c>
      <c r="AI69" s="8">
        <f>IF(AI$3="","",IFERROR(LEFT(TRIM(INDEX(Forms貼り付け!$A:$AZ,68,AI$3)),1),""))</f>
        <v/>
      </c>
      <c r="AJ69" s="8">
        <f>IF(AJ$3="","",IFERROR(LEFT(TRIM(INDEX(Forms貼り付け!$A:$AZ,68,AJ$3)),1),""))</f>
        <v/>
      </c>
      <c r="AK69" s="8">
        <f>IF(AK$3="","",IFERROR(LEFT(TRIM(INDEX(Forms貼り付け!$A:$AZ,68,AK$3)),1),""))</f>
        <v/>
      </c>
      <c r="AL69" s="8">
        <f>IF(AL$3="","",IFERROR(LEFT(TRIM(INDEX(Forms貼り付け!$A:$AZ,68,AL$3)),1),""))</f>
        <v/>
      </c>
      <c r="AM69" s="8">
        <f>IF(AM$3="","",IFERROR(LEFT(TRIM(INDEX(Forms貼り付け!$A:$AZ,68,AM$3)),1),""))</f>
        <v/>
      </c>
      <c r="AN69" s="8">
        <f>IF(AN$3="","",IFERROR(LEFT(TRIM(INDEX(Forms貼り付け!$A:$AZ,68,AN$3)),1),""))</f>
        <v/>
      </c>
      <c r="AO69" s="8">
        <f>IF(AO$3="","",IFERROR(LEFT(TRIM(INDEX(Forms貼り付け!$A:$AZ,68,AO$3)),1),""))</f>
        <v/>
      </c>
      <c r="AP69" s="8">
        <f>IF(AP$3="","",IFERROR(LEFT(TRIM(INDEX(Forms貼り付け!$A:$AZ,68,AP$3)),1),""))</f>
        <v/>
      </c>
      <c r="AQ69" s="8">
        <f>IF(AQ$3="","",IFERROR(LEFT(TRIM(INDEX(Forms貼り付け!$A:$AZ,68,AQ$3)),1),""))</f>
        <v/>
      </c>
      <c r="AR69" s="8">
        <f>IF(AR$3="","",IFERROR(LEFT(TRIM(INDEX(Forms貼り付け!$A:$AZ,68,AR$3)),1),""))</f>
        <v/>
      </c>
      <c r="AS69" s="8">
        <f>IF(AS$3="","",IFERROR(LEFT(TRIM(INDEX(Forms貼り付け!$A:$AZ,68,AS$3)),1),""))</f>
        <v/>
      </c>
      <c r="AT69" s="8">
        <f>IF(AT$3="","",IFERROR(LEFT(TRIM(INDEX(Forms貼り付け!$A:$AZ,68,AT$3)),1),""))</f>
        <v/>
      </c>
      <c r="AU69" s="8">
        <f>IF(AU$3="","",IFERROR(LEFT(TRIM(INDEX(Forms貼り付け!$A:$AZ,68,AU$3)),1),""))</f>
        <v/>
      </c>
      <c r="AV69" s="8">
        <f>IF(AV$3="","",IFERROR(LEFT(TRIM(INDEX(Forms貼り付け!$A:$AZ,68,AV$3)),1),""))</f>
        <v/>
      </c>
      <c r="AW69" s="8">
        <f>IF(AW$3="","",IFERROR(LEFT(TRIM(INDEX(Forms貼り付け!$A:$AZ,68,AW$3)),1),""))</f>
        <v/>
      </c>
      <c r="AX69" s="8">
        <f>IF(AX$3="","",IFERROR(LEFT(TRIM(INDEX(Forms貼り付け!$A:$AZ,68,AX$3)),1),""))</f>
        <v/>
      </c>
      <c r="AY69" s="8">
        <f>IF(AY$3="","",IFERROR(LEFT(TRIM(INDEX(Forms貼り付け!$A:$AZ,68,AY$3)),1),""))</f>
        <v/>
      </c>
      <c r="AZ69" s="8">
        <f>IF(AZ$3="","",IFERROR(LEFT(TRIM(INDEX(Forms貼り付け!$A:$AZ,68,AZ$3)),1),""))</f>
        <v/>
      </c>
      <c r="BA69" s="8">
        <f>IF(BA$3="","",IFERROR(LEFT(TRIM(INDEX(Forms貼り付け!$A:$AZ,68,BA$3)),1),""))</f>
        <v/>
      </c>
      <c r="BB69" s="8">
        <f>IF(BB$3="","",IFERROR(LEFT(TRIM(INDEX(Forms貼り付け!$A:$AZ,68,BB$3)),1),""))</f>
        <v/>
      </c>
      <c r="BC69" s="8">
        <f>IF(BC$3="","",IFERROR(LEFT(TRIM(INDEX(Forms貼り付け!$A:$AZ,68,BC$3)),1),""))</f>
        <v/>
      </c>
    </row>
    <row r="70">
      <c r="A70" s="8" t="inlineStr">
        <is>
          <t>U066</t>
        </is>
      </c>
      <c r="B70" s="9">
        <f>IF($B$3="","",INDEX(Forms貼り付け!$A:$AZ,69,$B$3))</f>
        <v/>
      </c>
      <c r="C70" s="9">
        <f>IF($C$3="","",INDEX(Forms貼り付け!$A:$AZ,69,$C$3))</f>
        <v/>
      </c>
      <c r="D70" s="8">
        <f>IF($D$3="","",INDEX(Forms貼り付け!$A:$AZ,69,$D$3))</f>
        <v/>
      </c>
      <c r="E70" s="8">
        <f>IF($E$3="","",INDEX(Forms貼り付け!$A:$AZ,69,$E$3))</f>
        <v/>
      </c>
      <c r="F70" s="8">
        <f>IF(F$3="","",IFERROR(LEFT(TRIM(INDEX(Forms貼り付け!$A:$AZ,69,F$3)),1),""))</f>
        <v/>
      </c>
      <c r="G70" s="8">
        <f>IF(G$3="","",IFERROR(LEFT(TRIM(INDEX(Forms貼り付け!$A:$AZ,69,G$3)),1),""))</f>
        <v/>
      </c>
      <c r="H70" s="8">
        <f>IF(H$3="","",IFERROR(LEFT(TRIM(INDEX(Forms貼り付け!$A:$AZ,69,H$3)),1),""))</f>
        <v/>
      </c>
      <c r="I70" s="8">
        <f>IF(I$3="","",IFERROR(LEFT(TRIM(INDEX(Forms貼り付け!$A:$AZ,69,I$3)),1),""))</f>
        <v/>
      </c>
      <c r="J70" s="8">
        <f>IF(J$3="","",IFERROR(LEFT(TRIM(INDEX(Forms貼り付け!$A:$AZ,69,J$3)),1),""))</f>
        <v/>
      </c>
      <c r="K70" s="8">
        <f>IF(K$3="","",IFERROR(LEFT(TRIM(INDEX(Forms貼り付け!$A:$AZ,69,K$3)),1),""))</f>
        <v/>
      </c>
      <c r="L70" s="8">
        <f>IF(L$3="","",IFERROR(LEFT(TRIM(INDEX(Forms貼り付け!$A:$AZ,69,L$3)),1),""))</f>
        <v/>
      </c>
      <c r="M70" s="8">
        <f>IF(M$3="","",IFERROR(LEFT(TRIM(INDEX(Forms貼り付け!$A:$AZ,69,M$3)),1),""))</f>
        <v/>
      </c>
      <c r="N70" s="8">
        <f>IF(N$3="","",IFERROR(LEFT(TRIM(INDEX(Forms貼り付け!$A:$AZ,69,N$3)),1),""))</f>
        <v/>
      </c>
      <c r="O70" s="8">
        <f>IF(O$3="","",IFERROR(LEFT(TRIM(INDEX(Forms貼り付け!$A:$AZ,69,O$3)),1),""))</f>
        <v/>
      </c>
      <c r="P70" s="8">
        <f>IF(P$3="","",IFERROR(LEFT(TRIM(INDEX(Forms貼り付け!$A:$AZ,69,P$3)),1),""))</f>
        <v/>
      </c>
      <c r="Q70" s="8">
        <f>IF(Q$3="","",IFERROR(LEFT(TRIM(INDEX(Forms貼り付け!$A:$AZ,69,Q$3)),1),""))</f>
        <v/>
      </c>
      <c r="R70" s="8">
        <f>IF(R$3="","",IFERROR(LEFT(TRIM(INDEX(Forms貼り付け!$A:$AZ,69,R$3)),1),""))</f>
        <v/>
      </c>
      <c r="S70" s="8">
        <f>IF(S$3="","",IFERROR(LEFT(TRIM(INDEX(Forms貼り付け!$A:$AZ,69,S$3)),1),""))</f>
        <v/>
      </c>
      <c r="T70" s="8">
        <f>IF(T$3="","",IFERROR(LEFT(TRIM(INDEX(Forms貼り付け!$A:$AZ,69,T$3)),1),""))</f>
        <v/>
      </c>
      <c r="U70" s="8">
        <f>IF(U$3="","",IFERROR(LEFT(TRIM(INDEX(Forms貼り付け!$A:$AZ,69,U$3)),1),""))</f>
        <v/>
      </c>
      <c r="V70" s="8">
        <f>IF(V$3="","",IFERROR(LEFT(TRIM(INDEX(Forms貼り付け!$A:$AZ,69,V$3)),1),""))</f>
        <v/>
      </c>
      <c r="W70" s="8">
        <f>IF(W$3="","",IFERROR(LEFT(TRIM(INDEX(Forms貼り付け!$A:$AZ,69,W$3)),1),""))</f>
        <v/>
      </c>
      <c r="X70" s="8">
        <f>IF(X$3="","",IFERROR(LEFT(TRIM(INDEX(Forms貼り付け!$A:$AZ,69,X$3)),1),""))</f>
        <v/>
      </c>
      <c r="Y70" s="8">
        <f>IF(Y$3="","",IFERROR(LEFT(TRIM(INDEX(Forms貼り付け!$A:$AZ,69,Y$3)),1),""))</f>
        <v/>
      </c>
      <c r="Z70" s="8">
        <f>IF(Z$3="","",IFERROR(LEFT(TRIM(INDEX(Forms貼り付け!$A:$AZ,69,Z$3)),1),""))</f>
        <v/>
      </c>
      <c r="AA70" s="8">
        <f>IF(AA$3="","",IFERROR(LEFT(TRIM(INDEX(Forms貼り付け!$A:$AZ,69,AA$3)),1),""))</f>
        <v/>
      </c>
      <c r="AB70" s="8">
        <f>IF(AB$3="","",IFERROR(LEFT(TRIM(INDEX(Forms貼り付け!$A:$AZ,69,AB$3)),1),""))</f>
        <v/>
      </c>
      <c r="AC70" s="8">
        <f>IF(AC$3="","",IFERROR(LEFT(TRIM(INDEX(Forms貼り付け!$A:$AZ,69,AC$3)),1),""))</f>
        <v/>
      </c>
      <c r="AD70" s="8">
        <f>IF(AD$3="","",IFERROR(LEFT(TRIM(INDEX(Forms貼り付け!$A:$AZ,69,AD$3)),1),""))</f>
        <v/>
      </c>
      <c r="AE70" s="8">
        <f>IF(AE$3="","",IFERROR(LEFT(TRIM(INDEX(Forms貼り付け!$A:$AZ,69,AE$3)),1),""))</f>
        <v/>
      </c>
      <c r="AF70" s="8">
        <f>IF(AF$3="","",IFERROR(LEFT(TRIM(INDEX(Forms貼り付け!$A:$AZ,69,AF$3)),1),""))</f>
        <v/>
      </c>
      <c r="AG70" s="8">
        <f>IF(AG$3="","",IFERROR(LEFT(TRIM(INDEX(Forms貼り付け!$A:$AZ,69,AG$3)),1),""))</f>
        <v/>
      </c>
      <c r="AH70" s="8">
        <f>IF(AH$3="","",IFERROR(LEFT(TRIM(INDEX(Forms貼り付け!$A:$AZ,69,AH$3)),1),""))</f>
        <v/>
      </c>
      <c r="AI70" s="8">
        <f>IF(AI$3="","",IFERROR(LEFT(TRIM(INDEX(Forms貼り付け!$A:$AZ,69,AI$3)),1),""))</f>
        <v/>
      </c>
      <c r="AJ70" s="8">
        <f>IF(AJ$3="","",IFERROR(LEFT(TRIM(INDEX(Forms貼り付け!$A:$AZ,69,AJ$3)),1),""))</f>
        <v/>
      </c>
      <c r="AK70" s="8">
        <f>IF(AK$3="","",IFERROR(LEFT(TRIM(INDEX(Forms貼り付け!$A:$AZ,69,AK$3)),1),""))</f>
        <v/>
      </c>
      <c r="AL70" s="8">
        <f>IF(AL$3="","",IFERROR(LEFT(TRIM(INDEX(Forms貼り付け!$A:$AZ,69,AL$3)),1),""))</f>
        <v/>
      </c>
      <c r="AM70" s="8">
        <f>IF(AM$3="","",IFERROR(LEFT(TRIM(INDEX(Forms貼り付け!$A:$AZ,69,AM$3)),1),""))</f>
        <v/>
      </c>
      <c r="AN70" s="8">
        <f>IF(AN$3="","",IFERROR(LEFT(TRIM(INDEX(Forms貼り付け!$A:$AZ,69,AN$3)),1),""))</f>
        <v/>
      </c>
      <c r="AO70" s="8">
        <f>IF(AO$3="","",IFERROR(LEFT(TRIM(INDEX(Forms貼り付け!$A:$AZ,69,AO$3)),1),""))</f>
        <v/>
      </c>
      <c r="AP70" s="8">
        <f>IF(AP$3="","",IFERROR(LEFT(TRIM(INDEX(Forms貼り付け!$A:$AZ,69,AP$3)),1),""))</f>
        <v/>
      </c>
      <c r="AQ70" s="8">
        <f>IF(AQ$3="","",IFERROR(LEFT(TRIM(INDEX(Forms貼り付け!$A:$AZ,69,AQ$3)),1),""))</f>
        <v/>
      </c>
      <c r="AR70" s="8">
        <f>IF(AR$3="","",IFERROR(LEFT(TRIM(INDEX(Forms貼り付け!$A:$AZ,69,AR$3)),1),""))</f>
        <v/>
      </c>
      <c r="AS70" s="8">
        <f>IF(AS$3="","",IFERROR(LEFT(TRIM(INDEX(Forms貼り付け!$A:$AZ,69,AS$3)),1),""))</f>
        <v/>
      </c>
      <c r="AT70" s="8">
        <f>IF(AT$3="","",IFERROR(LEFT(TRIM(INDEX(Forms貼り付け!$A:$AZ,69,AT$3)),1),""))</f>
        <v/>
      </c>
      <c r="AU70" s="8">
        <f>IF(AU$3="","",IFERROR(LEFT(TRIM(INDEX(Forms貼り付け!$A:$AZ,69,AU$3)),1),""))</f>
        <v/>
      </c>
      <c r="AV70" s="8">
        <f>IF(AV$3="","",IFERROR(LEFT(TRIM(INDEX(Forms貼り付け!$A:$AZ,69,AV$3)),1),""))</f>
        <v/>
      </c>
      <c r="AW70" s="8">
        <f>IF(AW$3="","",IFERROR(LEFT(TRIM(INDEX(Forms貼り付け!$A:$AZ,69,AW$3)),1),""))</f>
        <v/>
      </c>
      <c r="AX70" s="8">
        <f>IF(AX$3="","",IFERROR(LEFT(TRIM(INDEX(Forms貼り付け!$A:$AZ,69,AX$3)),1),""))</f>
        <v/>
      </c>
      <c r="AY70" s="8">
        <f>IF(AY$3="","",IFERROR(LEFT(TRIM(INDEX(Forms貼り付け!$A:$AZ,69,AY$3)),1),""))</f>
        <v/>
      </c>
      <c r="AZ70" s="8">
        <f>IF(AZ$3="","",IFERROR(LEFT(TRIM(INDEX(Forms貼り付け!$A:$AZ,69,AZ$3)),1),""))</f>
        <v/>
      </c>
      <c r="BA70" s="8">
        <f>IF(BA$3="","",IFERROR(LEFT(TRIM(INDEX(Forms貼り付け!$A:$AZ,69,BA$3)),1),""))</f>
        <v/>
      </c>
      <c r="BB70" s="8">
        <f>IF(BB$3="","",IFERROR(LEFT(TRIM(INDEX(Forms貼り付け!$A:$AZ,69,BB$3)),1),""))</f>
        <v/>
      </c>
      <c r="BC70" s="8">
        <f>IF(BC$3="","",IFERROR(LEFT(TRIM(INDEX(Forms貼り付け!$A:$AZ,69,BC$3)),1),""))</f>
        <v/>
      </c>
    </row>
    <row r="71">
      <c r="A71" s="8" t="inlineStr">
        <is>
          <t>U067</t>
        </is>
      </c>
      <c r="B71" s="9">
        <f>IF($B$3="","",INDEX(Forms貼り付け!$A:$AZ,70,$B$3))</f>
        <v/>
      </c>
      <c r="C71" s="9">
        <f>IF($C$3="","",INDEX(Forms貼り付け!$A:$AZ,70,$C$3))</f>
        <v/>
      </c>
      <c r="D71" s="8">
        <f>IF($D$3="","",INDEX(Forms貼り付け!$A:$AZ,70,$D$3))</f>
        <v/>
      </c>
      <c r="E71" s="8">
        <f>IF($E$3="","",INDEX(Forms貼り付け!$A:$AZ,70,$E$3))</f>
        <v/>
      </c>
      <c r="F71" s="8">
        <f>IF(F$3="","",IFERROR(LEFT(TRIM(INDEX(Forms貼り付け!$A:$AZ,70,F$3)),1),""))</f>
        <v/>
      </c>
      <c r="G71" s="8">
        <f>IF(G$3="","",IFERROR(LEFT(TRIM(INDEX(Forms貼り付け!$A:$AZ,70,G$3)),1),""))</f>
        <v/>
      </c>
      <c r="H71" s="8">
        <f>IF(H$3="","",IFERROR(LEFT(TRIM(INDEX(Forms貼り付け!$A:$AZ,70,H$3)),1),""))</f>
        <v/>
      </c>
      <c r="I71" s="8">
        <f>IF(I$3="","",IFERROR(LEFT(TRIM(INDEX(Forms貼り付け!$A:$AZ,70,I$3)),1),""))</f>
        <v/>
      </c>
      <c r="J71" s="8">
        <f>IF(J$3="","",IFERROR(LEFT(TRIM(INDEX(Forms貼り付け!$A:$AZ,70,J$3)),1),""))</f>
        <v/>
      </c>
      <c r="K71" s="8">
        <f>IF(K$3="","",IFERROR(LEFT(TRIM(INDEX(Forms貼り付け!$A:$AZ,70,K$3)),1),""))</f>
        <v/>
      </c>
      <c r="L71" s="8">
        <f>IF(L$3="","",IFERROR(LEFT(TRIM(INDEX(Forms貼り付け!$A:$AZ,70,L$3)),1),""))</f>
        <v/>
      </c>
      <c r="M71" s="8">
        <f>IF(M$3="","",IFERROR(LEFT(TRIM(INDEX(Forms貼り付け!$A:$AZ,70,M$3)),1),""))</f>
        <v/>
      </c>
      <c r="N71" s="8">
        <f>IF(N$3="","",IFERROR(LEFT(TRIM(INDEX(Forms貼り付け!$A:$AZ,70,N$3)),1),""))</f>
        <v/>
      </c>
      <c r="O71" s="8">
        <f>IF(O$3="","",IFERROR(LEFT(TRIM(INDEX(Forms貼り付け!$A:$AZ,70,O$3)),1),""))</f>
        <v/>
      </c>
      <c r="P71" s="8">
        <f>IF(P$3="","",IFERROR(LEFT(TRIM(INDEX(Forms貼り付け!$A:$AZ,70,P$3)),1),""))</f>
        <v/>
      </c>
      <c r="Q71" s="8">
        <f>IF(Q$3="","",IFERROR(LEFT(TRIM(INDEX(Forms貼り付け!$A:$AZ,70,Q$3)),1),""))</f>
        <v/>
      </c>
      <c r="R71" s="8">
        <f>IF(R$3="","",IFERROR(LEFT(TRIM(INDEX(Forms貼り付け!$A:$AZ,70,R$3)),1),""))</f>
        <v/>
      </c>
      <c r="S71" s="8">
        <f>IF(S$3="","",IFERROR(LEFT(TRIM(INDEX(Forms貼り付け!$A:$AZ,70,S$3)),1),""))</f>
        <v/>
      </c>
      <c r="T71" s="8">
        <f>IF(T$3="","",IFERROR(LEFT(TRIM(INDEX(Forms貼り付け!$A:$AZ,70,T$3)),1),""))</f>
        <v/>
      </c>
      <c r="U71" s="8">
        <f>IF(U$3="","",IFERROR(LEFT(TRIM(INDEX(Forms貼り付け!$A:$AZ,70,U$3)),1),""))</f>
        <v/>
      </c>
      <c r="V71" s="8">
        <f>IF(V$3="","",IFERROR(LEFT(TRIM(INDEX(Forms貼り付け!$A:$AZ,70,V$3)),1),""))</f>
        <v/>
      </c>
      <c r="W71" s="8">
        <f>IF(W$3="","",IFERROR(LEFT(TRIM(INDEX(Forms貼り付け!$A:$AZ,70,W$3)),1),""))</f>
        <v/>
      </c>
      <c r="X71" s="8">
        <f>IF(X$3="","",IFERROR(LEFT(TRIM(INDEX(Forms貼り付け!$A:$AZ,70,X$3)),1),""))</f>
        <v/>
      </c>
      <c r="Y71" s="8">
        <f>IF(Y$3="","",IFERROR(LEFT(TRIM(INDEX(Forms貼り付け!$A:$AZ,70,Y$3)),1),""))</f>
        <v/>
      </c>
      <c r="Z71" s="8">
        <f>IF(Z$3="","",IFERROR(LEFT(TRIM(INDEX(Forms貼り付け!$A:$AZ,70,Z$3)),1),""))</f>
        <v/>
      </c>
      <c r="AA71" s="8">
        <f>IF(AA$3="","",IFERROR(LEFT(TRIM(INDEX(Forms貼り付け!$A:$AZ,70,AA$3)),1),""))</f>
        <v/>
      </c>
      <c r="AB71" s="8">
        <f>IF(AB$3="","",IFERROR(LEFT(TRIM(INDEX(Forms貼り付け!$A:$AZ,70,AB$3)),1),""))</f>
        <v/>
      </c>
      <c r="AC71" s="8">
        <f>IF(AC$3="","",IFERROR(LEFT(TRIM(INDEX(Forms貼り付け!$A:$AZ,70,AC$3)),1),""))</f>
        <v/>
      </c>
      <c r="AD71" s="8">
        <f>IF(AD$3="","",IFERROR(LEFT(TRIM(INDEX(Forms貼り付け!$A:$AZ,70,AD$3)),1),""))</f>
        <v/>
      </c>
      <c r="AE71" s="8">
        <f>IF(AE$3="","",IFERROR(LEFT(TRIM(INDEX(Forms貼り付け!$A:$AZ,70,AE$3)),1),""))</f>
        <v/>
      </c>
      <c r="AF71" s="8">
        <f>IF(AF$3="","",IFERROR(LEFT(TRIM(INDEX(Forms貼り付け!$A:$AZ,70,AF$3)),1),""))</f>
        <v/>
      </c>
      <c r="AG71" s="8">
        <f>IF(AG$3="","",IFERROR(LEFT(TRIM(INDEX(Forms貼り付け!$A:$AZ,70,AG$3)),1),""))</f>
        <v/>
      </c>
      <c r="AH71" s="8">
        <f>IF(AH$3="","",IFERROR(LEFT(TRIM(INDEX(Forms貼り付け!$A:$AZ,70,AH$3)),1),""))</f>
        <v/>
      </c>
      <c r="AI71" s="8">
        <f>IF(AI$3="","",IFERROR(LEFT(TRIM(INDEX(Forms貼り付け!$A:$AZ,70,AI$3)),1),""))</f>
        <v/>
      </c>
      <c r="AJ71" s="8">
        <f>IF(AJ$3="","",IFERROR(LEFT(TRIM(INDEX(Forms貼り付け!$A:$AZ,70,AJ$3)),1),""))</f>
        <v/>
      </c>
      <c r="AK71" s="8">
        <f>IF(AK$3="","",IFERROR(LEFT(TRIM(INDEX(Forms貼り付け!$A:$AZ,70,AK$3)),1),""))</f>
        <v/>
      </c>
      <c r="AL71" s="8">
        <f>IF(AL$3="","",IFERROR(LEFT(TRIM(INDEX(Forms貼り付け!$A:$AZ,70,AL$3)),1),""))</f>
        <v/>
      </c>
      <c r="AM71" s="8">
        <f>IF(AM$3="","",IFERROR(LEFT(TRIM(INDEX(Forms貼り付け!$A:$AZ,70,AM$3)),1),""))</f>
        <v/>
      </c>
      <c r="AN71" s="8">
        <f>IF(AN$3="","",IFERROR(LEFT(TRIM(INDEX(Forms貼り付け!$A:$AZ,70,AN$3)),1),""))</f>
        <v/>
      </c>
      <c r="AO71" s="8">
        <f>IF(AO$3="","",IFERROR(LEFT(TRIM(INDEX(Forms貼り付け!$A:$AZ,70,AO$3)),1),""))</f>
        <v/>
      </c>
      <c r="AP71" s="8">
        <f>IF(AP$3="","",IFERROR(LEFT(TRIM(INDEX(Forms貼り付け!$A:$AZ,70,AP$3)),1),""))</f>
        <v/>
      </c>
      <c r="AQ71" s="8">
        <f>IF(AQ$3="","",IFERROR(LEFT(TRIM(INDEX(Forms貼り付け!$A:$AZ,70,AQ$3)),1),""))</f>
        <v/>
      </c>
      <c r="AR71" s="8">
        <f>IF(AR$3="","",IFERROR(LEFT(TRIM(INDEX(Forms貼り付け!$A:$AZ,70,AR$3)),1),""))</f>
        <v/>
      </c>
      <c r="AS71" s="8">
        <f>IF(AS$3="","",IFERROR(LEFT(TRIM(INDEX(Forms貼り付け!$A:$AZ,70,AS$3)),1),""))</f>
        <v/>
      </c>
      <c r="AT71" s="8">
        <f>IF(AT$3="","",IFERROR(LEFT(TRIM(INDEX(Forms貼り付け!$A:$AZ,70,AT$3)),1),""))</f>
        <v/>
      </c>
      <c r="AU71" s="8">
        <f>IF(AU$3="","",IFERROR(LEFT(TRIM(INDEX(Forms貼り付け!$A:$AZ,70,AU$3)),1),""))</f>
        <v/>
      </c>
      <c r="AV71" s="8">
        <f>IF(AV$3="","",IFERROR(LEFT(TRIM(INDEX(Forms貼り付け!$A:$AZ,70,AV$3)),1),""))</f>
        <v/>
      </c>
      <c r="AW71" s="8">
        <f>IF(AW$3="","",IFERROR(LEFT(TRIM(INDEX(Forms貼り付け!$A:$AZ,70,AW$3)),1),""))</f>
        <v/>
      </c>
      <c r="AX71" s="8">
        <f>IF(AX$3="","",IFERROR(LEFT(TRIM(INDEX(Forms貼り付け!$A:$AZ,70,AX$3)),1),""))</f>
        <v/>
      </c>
      <c r="AY71" s="8">
        <f>IF(AY$3="","",IFERROR(LEFT(TRIM(INDEX(Forms貼り付け!$A:$AZ,70,AY$3)),1),""))</f>
        <v/>
      </c>
      <c r="AZ71" s="8">
        <f>IF(AZ$3="","",IFERROR(LEFT(TRIM(INDEX(Forms貼り付け!$A:$AZ,70,AZ$3)),1),""))</f>
        <v/>
      </c>
      <c r="BA71" s="8">
        <f>IF(BA$3="","",IFERROR(LEFT(TRIM(INDEX(Forms貼り付け!$A:$AZ,70,BA$3)),1),""))</f>
        <v/>
      </c>
      <c r="BB71" s="8">
        <f>IF(BB$3="","",IFERROR(LEFT(TRIM(INDEX(Forms貼り付け!$A:$AZ,70,BB$3)),1),""))</f>
        <v/>
      </c>
      <c r="BC71" s="8">
        <f>IF(BC$3="","",IFERROR(LEFT(TRIM(INDEX(Forms貼り付け!$A:$AZ,70,BC$3)),1),""))</f>
        <v/>
      </c>
    </row>
    <row r="72">
      <c r="A72" s="8" t="inlineStr">
        <is>
          <t>U068</t>
        </is>
      </c>
      <c r="B72" s="9">
        <f>IF($B$3="","",INDEX(Forms貼り付け!$A:$AZ,71,$B$3))</f>
        <v/>
      </c>
      <c r="C72" s="9">
        <f>IF($C$3="","",INDEX(Forms貼り付け!$A:$AZ,71,$C$3))</f>
        <v/>
      </c>
      <c r="D72" s="8">
        <f>IF($D$3="","",INDEX(Forms貼り付け!$A:$AZ,71,$D$3))</f>
        <v/>
      </c>
      <c r="E72" s="8">
        <f>IF($E$3="","",INDEX(Forms貼り付け!$A:$AZ,71,$E$3))</f>
        <v/>
      </c>
      <c r="F72" s="8">
        <f>IF(F$3="","",IFERROR(LEFT(TRIM(INDEX(Forms貼り付け!$A:$AZ,71,F$3)),1),""))</f>
        <v/>
      </c>
      <c r="G72" s="8">
        <f>IF(G$3="","",IFERROR(LEFT(TRIM(INDEX(Forms貼り付け!$A:$AZ,71,G$3)),1),""))</f>
        <v/>
      </c>
      <c r="H72" s="8">
        <f>IF(H$3="","",IFERROR(LEFT(TRIM(INDEX(Forms貼り付け!$A:$AZ,71,H$3)),1),""))</f>
        <v/>
      </c>
      <c r="I72" s="8">
        <f>IF(I$3="","",IFERROR(LEFT(TRIM(INDEX(Forms貼り付け!$A:$AZ,71,I$3)),1),""))</f>
        <v/>
      </c>
      <c r="J72" s="8">
        <f>IF(J$3="","",IFERROR(LEFT(TRIM(INDEX(Forms貼り付け!$A:$AZ,71,J$3)),1),""))</f>
        <v/>
      </c>
      <c r="K72" s="8">
        <f>IF(K$3="","",IFERROR(LEFT(TRIM(INDEX(Forms貼り付け!$A:$AZ,71,K$3)),1),""))</f>
        <v/>
      </c>
      <c r="L72" s="8">
        <f>IF(L$3="","",IFERROR(LEFT(TRIM(INDEX(Forms貼り付け!$A:$AZ,71,L$3)),1),""))</f>
        <v/>
      </c>
      <c r="M72" s="8">
        <f>IF(M$3="","",IFERROR(LEFT(TRIM(INDEX(Forms貼り付け!$A:$AZ,71,M$3)),1),""))</f>
        <v/>
      </c>
      <c r="N72" s="8">
        <f>IF(N$3="","",IFERROR(LEFT(TRIM(INDEX(Forms貼り付け!$A:$AZ,71,N$3)),1),""))</f>
        <v/>
      </c>
      <c r="O72" s="8">
        <f>IF(O$3="","",IFERROR(LEFT(TRIM(INDEX(Forms貼り付け!$A:$AZ,71,O$3)),1),""))</f>
        <v/>
      </c>
      <c r="P72" s="8">
        <f>IF(P$3="","",IFERROR(LEFT(TRIM(INDEX(Forms貼り付け!$A:$AZ,71,P$3)),1),""))</f>
        <v/>
      </c>
      <c r="Q72" s="8">
        <f>IF(Q$3="","",IFERROR(LEFT(TRIM(INDEX(Forms貼り付け!$A:$AZ,71,Q$3)),1),""))</f>
        <v/>
      </c>
      <c r="R72" s="8">
        <f>IF(R$3="","",IFERROR(LEFT(TRIM(INDEX(Forms貼り付け!$A:$AZ,71,R$3)),1),""))</f>
        <v/>
      </c>
      <c r="S72" s="8">
        <f>IF(S$3="","",IFERROR(LEFT(TRIM(INDEX(Forms貼り付け!$A:$AZ,71,S$3)),1),""))</f>
        <v/>
      </c>
      <c r="T72" s="8">
        <f>IF(T$3="","",IFERROR(LEFT(TRIM(INDEX(Forms貼り付け!$A:$AZ,71,T$3)),1),""))</f>
        <v/>
      </c>
      <c r="U72" s="8">
        <f>IF(U$3="","",IFERROR(LEFT(TRIM(INDEX(Forms貼り付け!$A:$AZ,71,U$3)),1),""))</f>
        <v/>
      </c>
      <c r="V72" s="8">
        <f>IF(V$3="","",IFERROR(LEFT(TRIM(INDEX(Forms貼り付け!$A:$AZ,71,V$3)),1),""))</f>
        <v/>
      </c>
      <c r="W72" s="8">
        <f>IF(W$3="","",IFERROR(LEFT(TRIM(INDEX(Forms貼り付け!$A:$AZ,71,W$3)),1),""))</f>
        <v/>
      </c>
      <c r="X72" s="8">
        <f>IF(X$3="","",IFERROR(LEFT(TRIM(INDEX(Forms貼り付け!$A:$AZ,71,X$3)),1),""))</f>
        <v/>
      </c>
      <c r="Y72" s="8">
        <f>IF(Y$3="","",IFERROR(LEFT(TRIM(INDEX(Forms貼り付け!$A:$AZ,71,Y$3)),1),""))</f>
        <v/>
      </c>
      <c r="Z72" s="8">
        <f>IF(Z$3="","",IFERROR(LEFT(TRIM(INDEX(Forms貼り付け!$A:$AZ,71,Z$3)),1),""))</f>
        <v/>
      </c>
      <c r="AA72" s="8">
        <f>IF(AA$3="","",IFERROR(LEFT(TRIM(INDEX(Forms貼り付け!$A:$AZ,71,AA$3)),1),""))</f>
        <v/>
      </c>
      <c r="AB72" s="8">
        <f>IF(AB$3="","",IFERROR(LEFT(TRIM(INDEX(Forms貼り付け!$A:$AZ,71,AB$3)),1),""))</f>
        <v/>
      </c>
      <c r="AC72" s="8">
        <f>IF(AC$3="","",IFERROR(LEFT(TRIM(INDEX(Forms貼り付け!$A:$AZ,71,AC$3)),1),""))</f>
        <v/>
      </c>
      <c r="AD72" s="8">
        <f>IF(AD$3="","",IFERROR(LEFT(TRIM(INDEX(Forms貼り付け!$A:$AZ,71,AD$3)),1),""))</f>
        <v/>
      </c>
      <c r="AE72" s="8">
        <f>IF(AE$3="","",IFERROR(LEFT(TRIM(INDEX(Forms貼り付け!$A:$AZ,71,AE$3)),1),""))</f>
        <v/>
      </c>
      <c r="AF72" s="8">
        <f>IF(AF$3="","",IFERROR(LEFT(TRIM(INDEX(Forms貼り付け!$A:$AZ,71,AF$3)),1),""))</f>
        <v/>
      </c>
      <c r="AG72" s="8">
        <f>IF(AG$3="","",IFERROR(LEFT(TRIM(INDEX(Forms貼り付け!$A:$AZ,71,AG$3)),1),""))</f>
        <v/>
      </c>
      <c r="AH72" s="8">
        <f>IF(AH$3="","",IFERROR(LEFT(TRIM(INDEX(Forms貼り付け!$A:$AZ,71,AH$3)),1),""))</f>
        <v/>
      </c>
      <c r="AI72" s="8">
        <f>IF(AI$3="","",IFERROR(LEFT(TRIM(INDEX(Forms貼り付け!$A:$AZ,71,AI$3)),1),""))</f>
        <v/>
      </c>
      <c r="AJ72" s="8">
        <f>IF(AJ$3="","",IFERROR(LEFT(TRIM(INDEX(Forms貼り付け!$A:$AZ,71,AJ$3)),1),""))</f>
        <v/>
      </c>
      <c r="AK72" s="8">
        <f>IF(AK$3="","",IFERROR(LEFT(TRIM(INDEX(Forms貼り付け!$A:$AZ,71,AK$3)),1),""))</f>
        <v/>
      </c>
      <c r="AL72" s="8">
        <f>IF(AL$3="","",IFERROR(LEFT(TRIM(INDEX(Forms貼り付け!$A:$AZ,71,AL$3)),1),""))</f>
        <v/>
      </c>
      <c r="AM72" s="8">
        <f>IF(AM$3="","",IFERROR(LEFT(TRIM(INDEX(Forms貼り付け!$A:$AZ,71,AM$3)),1),""))</f>
        <v/>
      </c>
      <c r="AN72" s="8">
        <f>IF(AN$3="","",IFERROR(LEFT(TRIM(INDEX(Forms貼り付け!$A:$AZ,71,AN$3)),1),""))</f>
        <v/>
      </c>
      <c r="AO72" s="8">
        <f>IF(AO$3="","",IFERROR(LEFT(TRIM(INDEX(Forms貼り付け!$A:$AZ,71,AO$3)),1),""))</f>
        <v/>
      </c>
      <c r="AP72" s="8">
        <f>IF(AP$3="","",IFERROR(LEFT(TRIM(INDEX(Forms貼り付け!$A:$AZ,71,AP$3)),1),""))</f>
        <v/>
      </c>
      <c r="AQ72" s="8">
        <f>IF(AQ$3="","",IFERROR(LEFT(TRIM(INDEX(Forms貼り付け!$A:$AZ,71,AQ$3)),1),""))</f>
        <v/>
      </c>
      <c r="AR72" s="8">
        <f>IF(AR$3="","",IFERROR(LEFT(TRIM(INDEX(Forms貼り付け!$A:$AZ,71,AR$3)),1),""))</f>
        <v/>
      </c>
      <c r="AS72" s="8">
        <f>IF(AS$3="","",IFERROR(LEFT(TRIM(INDEX(Forms貼り付け!$A:$AZ,71,AS$3)),1),""))</f>
        <v/>
      </c>
      <c r="AT72" s="8">
        <f>IF(AT$3="","",IFERROR(LEFT(TRIM(INDEX(Forms貼り付け!$A:$AZ,71,AT$3)),1),""))</f>
        <v/>
      </c>
      <c r="AU72" s="8">
        <f>IF(AU$3="","",IFERROR(LEFT(TRIM(INDEX(Forms貼り付け!$A:$AZ,71,AU$3)),1),""))</f>
        <v/>
      </c>
      <c r="AV72" s="8">
        <f>IF(AV$3="","",IFERROR(LEFT(TRIM(INDEX(Forms貼り付け!$A:$AZ,71,AV$3)),1),""))</f>
        <v/>
      </c>
      <c r="AW72" s="8">
        <f>IF(AW$3="","",IFERROR(LEFT(TRIM(INDEX(Forms貼り付け!$A:$AZ,71,AW$3)),1),""))</f>
        <v/>
      </c>
      <c r="AX72" s="8">
        <f>IF(AX$3="","",IFERROR(LEFT(TRIM(INDEX(Forms貼り付け!$A:$AZ,71,AX$3)),1),""))</f>
        <v/>
      </c>
      <c r="AY72" s="8">
        <f>IF(AY$3="","",IFERROR(LEFT(TRIM(INDEX(Forms貼り付け!$A:$AZ,71,AY$3)),1),""))</f>
        <v/>
      </c>
      <c r="AZ72" s="8">
        <f>IF(AZ$3="","",IFERROR(LEFT(TRIM(INDEX(Forms貼り付け!$A:$AZ,71,AZ$3)),1),""))</f>
        <v/>
      </c>
      <c r="BA72" s="8">
        <f>IF(BA$3="","",IFERROR(LEFT(TRIM(INDEX(Forms貼り付け!$A:$AZ,71,BA$3)),1),""))</f>
        <v/>
      </c>
      <c r="BB72" s="8">
        <f>IF(BB$3="","",IFERROR(LEFT(TRIM(INDEX(Forms貼り付け!$A:$AZ,71,BB$3)),1),""))</f>
        <v/>
      </c>
      <c r="BC72" s="8">
        <f>IF(BC$3="","",IFERROR(LEFT(TRIM(INDEX(Forms貼り付け!$A:$AZ,71,BC$3)),1),""))</f>
        <v/>
      </c>
    </row>
    <row r="73">
      <c r="A73" s="8" t="inlineStr">
        <is>
          <t>U069</t>
        </is>
      </c>
      <c r="B73" s="9">
        <f>IF($B$3="","",INDEX(Forms貼り付け!$A:$AZ,72,$B$3))</f>
        <v/>
      </c>
      <c r="C73" s="9">
        <f>IF($C$3="","",INDEX(Forms貼り付け!$A:$AZ,72,$C$3))</f>
        <v/>
      </c>
      <c r="D73" s="8">
        <f>IF($D$3="","",INDEX(Forms貼り付け!$A:$AZ,72,$D$3))</f>
        <v/>
      </c>
      <c r="E73" s="8">
        <f>IF($E$3="","",INDEX(Forms貼り付け!$A:$AZ,72,$E$3))</f>
        <v/>
      </c>
      <c r="F73" s="8">
        <f>IF(F$3="","",IFERROR(LEFT(TRIM(INDEX(Forms貼り付け!$A:$AZ,72,F$3)),1),""))</f>
        <v/>
      </c>
      <c r="G73" s="8">
        <f>IF(G$3="","",IFERROR(LEFT(TRIM(INDEX(Forms貼り付け!$A:$AZ,72,G$3)),1),""))</f>
        <v/>
      </c>
      <c r="H73" s="8">
        <f>IF(H$3="","",IFERROR(LEFT(TRIM(INDEX(Forms貼り付け!$A:$AZ,72,H$3)),1),""))</f>
        <v/>
      </c>
      <c r="I73" s="8">
        <f>IF(I$3="","",IFERROR(LEFT(TRIM(INDEX(Forms貼り付け!$A:$AZ,72,I$3)),1),""))</f>
        <v/>
      </c>
      <c r="J73" s="8">
        <f>IF(J$3="","",IFERROR(LEFT(TRIM(INDEX(Forms貼り付け!$A:$AZ,72,J$3)),1),""))</f>
        <v/>
      </c>
      <c r="K73" s="8">
        <f>IF(K$3="","",IFERROR(LEFT(TRIM(INDEX(Forms貼り付け!$A:$AZ,72,K$3)),1),""))</f>
        <v/>
      </c>
      <c r="L73" s="8">
        <f>IF(L$3="","",IFERROR(LEFT(TRIM(INDEX(Forms貼り付け!$A:$AZ,72,L$3)),1),""))</f>
        <v/>
      </c>
      <c r="M73" s="8">
        <f>IF(M$3="","",IFERROR(LEFT(TRIM(INDEX(Forms貼り付け!$A:$AZ,72,M$3)),1),""))</f>
        <v/>
      </c>
      <c r="N73" s="8">
        <f>IF(N$3="","",IFERROR(LEFT(TRIM(INDEX(Forms貼り付け!$A:$AZ,72,N$3)),1),""))</f>
        <v/>
      </c>
      <c r="O73" s="8">
        <f>IF(O$3="","",IFERROR(LEFT(TRIM(INDEX(Forms貼り付け!$A:$AZ,72,O$3)),1),""))</f>
        <v/>
      </c>
      <c r="P73" s="8">
        <f>IF(P$3="","",IFERROR(LEFT(TRIM(INDEX(Forms貼り付け!$A:$AZ,72,P$3)),1),""))</f>
        <v/>
      </c>
      <c r="Q73" s="8">
        <f>IF(Q$3="","",IFERROR(LEFT(TRIM(INDEX(Forms貼り付け!$A:$AZ,72,Q$3)),1),""))</f>
        <v/>
      </c>
      <c r="R73" s="8">
        <f>IF(R$3="","",IFERROR(LEFT(TRIM(INDEX(Forms貼り付け!$A:$AZ,72,R$3)),1),""))</f>
        <v/>
      </c>
      <c r="S73" s="8">
        <f>IF(S$3="","",IFERROR(LEFT(TRIM(INDEX(Forms貼り付け!$A:$AZ,72,S$3)),1),""))</f>
        <v/>
      </c>
      <c r="T73" s="8">
        <f>IF(T$3="","",IFERROR(LEFT(TRIM(INDEX(Forms貼り付け!$A:$AZ,72,T$3)),1),""))</f>
        <v/>
      </c>
      <c r="U73" s="8">
        <f>IF(U$3="","",IFERROR(LEFT(TRIM(INDEX(Forms貼り付け!$A:$AZ,72,U$3)),1),""))</f>
        <v/>
      </c>
      <c r="V73" s="8">
        <f>IF(V$3="","",IFERROR(LEFT(TRIM(INDEX(Forms貼り付け!$A:$AZ,72,V$3)),1),""))</f>
        <v/>
      </c>
      <c r="W73" s="8">
        <f>IF(W$3="","",IFERROR(LEFT(TRIM(INDEX(Forms貼り付け!$A:$AZ,72,W$3)),1),""))</f>
        <v/>
      </c>
      <c r="X73" s="8">
        <f>IF(X$3="","",IFERROR(LEFT(TRIM(INDEX(Forms貼り付け!$A:$AZ,72,X$3)),1),""))</f>
        <v/>
      </c>
      <c r="Y73" s="8">
        <f>IF(Y$3="","",IFERROR(LEFT(TRIM(INDEX(Forms貼り付け!$A:$AZ,72,Y$3)),1),""))</f>
        <v/>
      </c>
      <c r="Z73" s="8">
        <f>IF(Z$3="","",IFERROR(LEFT(TRIM(INDEX(Forms貼り付け!$A:$AZ,72,Z$3)),1),""))</f>
        <v/>
      </c>
      <c r="AA73" s="8">
        <f>IF(AA$3="","",IFERROR(LEFT(TRIM(INDEX(Forms貼り付け!$A:$AZ,72,AA$3)),1),""))</f>
        <v/>
      </c>
      <c r="AB73" s="8">
        <f>IF(AB$3="","",IFERROR(LEFT(TRIM(INDEX(Forms貼り付け!$A:$AZ,72,AB$3)),1),""))</f>
        <v/>
      </c>
      <c r="AC73" s="8">
        <f>IF(AC$3="","",IFERROR(LEFT(TRIM(INDEX(Forms貼り付け!$A:$AZ,72,AC$3)),1),""))</f>
        <v/>
      </c>
      <c r="AD73" s="8">
        <f>IF(AD$3="","",IFERROR(LEFT(TRIM(INDEX(Forms貼り付け!$A:$AZ,72,AD$3)),1),""))</f>
        <v/>
      </c>
      <c r="AE73" s="8">
        <f>IF(AE$3="","",IFERROR(LEFT(TRIM(INDEX(Forms貼り付け!$A:$AZ,72,AE$3)),1),""))</f>
        <v/>
      </c>
      <c r="AF73" s="8">
        <f>IF(AF$3="","",IFERROR(LEFT(TRIM(INDEX(Forms貼り付け!$A:$AZ,72,AF$3)),1),""))</f>
        <v/>
      </c>
      <c r="AG73" s="8">
        <f>IF(AG$3="","",IFERROR(LEFT(TRIM(INDEX(Forms貼り付け!$A:$AZ,72,AG$3)),1),""))</f>
        <v/>
      </c>
      <c r="AH73" s="8">
        <f>IF(AH$3="","",IFERROR(LEFT(TRIM(INDEX(Forms貼り付け!$A:$AZ,72,AH$3)),1),""))</f>
        <v/>
      </c>
      <c r="AI73" s="8">
        <f>IF(AI$3="","",IFERROR(LEFT(TRIM(INDEX(Forms貼り付け!$A:$AZ,72,AI$3)),1),""))</f>
        <v/>
      </c>
      <c r="AJ73" s="8">
        <f>IF(AJ$3="","",IFERROR(LEFT(TRIM(INDEX(Forms貼り付け!$A:$AZ,72,AJ$3)),1),""))</f>
        <v/>
      </c>
      <c r="AK73" s="8">
        <f>IF(AK$3="","",IFERROR(LEFT(TRIM(INDEX(Forms貼り付け!$A:$AZ,72,AK$3)),1),""))</f>
        <v/>
      </c>
      <c r="AL73" s="8">
        <f>IF(AL$3="","",IFERROR(LEFT(TRIM(INDEX(Forms貼り付け!$A:$AZ,72,AL$3)),1),""))</f>
        <v/>
      </c>
      <c r="AM73" s="8">
        <f>IF(AM$3="","",IFERROR(LEFT(TRIM(INDEX(Forms貼り付け!$A:$AZ,72,AM$3)),1),""))</f>
        <v/>
      </c>
      <c r="AN73" s="8">
        <f>IF(AN$3="","",IFERROR(LEFT(TRIM(INDEX(Forms貼り付け!$A:$AZ,72,AN$3)),1),""))</f>
        <v/>
      </c>
      <c r="AO73" s="8">
        <f>IF(AO$3="","",IFERROR(LEFT(TRIM(INDEX(Forms貼り付け!$A:$AZ,72,AO$3)),1),""))</f>
        <v/>
      </c>
      <c r="AP73" s="8">
        <f>IF(AP$3="","",IFERROR(LEFT(TRIM(INDEX(Forms貼り付け!$A:$AZ,72,AP$3)),1),""))</f>
        <v/>
      </c>
      <c r="AQ73" s="8">
        <f>IF(AQ$3="","",IFERROR(LEFT(TRIM(INDEX(Forms貼り付け!$A:$AZ,72,AQ$3)),1),""))</f>
        <v/>
      </c>
      <c r="AR73" s="8">
        <f>IF(AR$3="","",IFERROR(LEFT(TRIM(INDEX(Forms貼り付け!$A:$AZ,72,AR$3)),1),""))</f>
        <v/>
      </c>
      <c r="AS73" s="8">
        <f>IF(AS$3="","",IFERROR(LEFT(TRIM(INDEX(Forms貼り付け!$A:$AZ,72,AS$3)),1),""))</f>
        <v/>
      </c>
      <c r="AT73" s="8">
        <f>IF(AT$3="","",IFERROR(LEFT(TRIM(INDEX(Forms貼り付け!$A:$AZ,72,AT$3)),1),""))</f>
        <v/>
      </c>
      <c r="AU73" s="8">
        <f>IF(AU$3="","",IFERROR(LEFT(TRIM(INDEX(Forms貼り付け!$A:$AZ,72,AU$3)),1),""))</f>
        <v/>
      </c>
      <c r="AV73" s="8">
        <f>IF(AV$3="","",IFERROR(LEFT(TRIM(INDEX(Forms貼り付け!$A:$AZ,72,AV$3)),1),""))</f>
        <v/>
      </c>
      <c r="AW73" s="8">
        <f>IF(AW$3="","",IFERROR(LEFT(TRIM(INDEX(Forms貼り付け!$A:$AZ,72,AW$3)),1),""))</f>
        <v/>
      </c>
      <c r="AX73" s="8">
        <f>IF(AX$3="","",IFERROR(LEFT(TRIM(INDEX(Forms貼り付け!$A:$AZ,72,AX$3)),1),""))</f>
        <v/>
      </c>
      <c r="AY73" s="8">
        <f>IF(AY$3="","",IFERROR(LEFT(TRIM(INDEX(Forms貼り付け!$A:$AZ,72,AY$3)),1),""))</f>
        <v/>
      </c>
      <c r="AZ73" s="8">
        <f>IF(AZ$3="","",IFERROR(LEFT(TRIM(INDEX(Forms貼り付け!$A:$AZ,72,AZ$3)),1),""))</f>
        <v/>
      </c>
      <c r="BA73" s="8">
        <f>IF(BA$3="","",IFERROR(LEFT(TRIM(INDEX(Forms貼り付け!$A:$AZ,72,BA$3)),1),""))</f>
        <v/>
      </c>
      <c r="BB73" s="8">
        <f>IF(BB$3="","",IFERROR(LEFT(TRIM(INDEX(Forms貼り付け!$A:$AZ,72,BB$3)),1),""))</f>
        <v/>
      </c>
      <c r="BC73" s="8">
        <f>IF(BC$3="","",IFERROR(LEFT(TRIM(INDEX(Forms貼り付け!$A:$AZ,72,BC$3)),1),""))</f>
        <v/>
      </c>
    </row>
    <row r="74">
      <c r="A74" s="8" t="inlineStr">
        <is>
          <t>U070</t>
        </is>
      </c>
      <c r="B74" s="9">
        <f>IF($B$3="","",INDEX(Forms貼り付け!$A:$AZ,73,$B$3))</f>
        <v/>
      </c>
      <c r="C74" s="9">
        <f>IF($C$3="","",INDEX(Forms貼り付け!$A:$AZ,73,$C$3))</f>
        <v/>
      </c>
      <c r="D74" s="8">
        <f>IF($D$3="","",INDEX(Forms貼り付け!$A:$AZ,73,$D$3))</f>
        <v/>
      </c>
      <c r="E74" s="8">
        <f>IF($E$3="","",INDEX(Forms貼り付け!$A:$AZ,73,$E$3))</f>
        <v/>
      </c>
      <c r="F74" s="8">
        <f>IF(F$3="","",IFERROR(LEFT(TRIM(INDEX(Forms貼り付け!$A:$AZ,73,F$3)),1),""))</f>
        <v/>
      </c>
      <c r="G74" s="8">
        <f>IF(G$3="","",IFERROR(LEFT(TRIM(INDEX(Forms貼り付け!$A:$AZ,73,G$3)),1),""))</f>
        <v/>
      </c>
      <c r="H74" s="8">
        <f>IF(H$3="","",IFERROR(LEFT(TRIM(INDEX(Forms貼り付け!$A:$AZ,73,H$3)),1),""))</f>
        <v/>
      </c>
      <c r="I74" s="8">
        <f>IF(I$3="","",IFERROR(LEFT(TRIM(INDEX(Forms貼り付け!$A:$AZ,73,I$3)),1),""))</f>
        <v/>
      </c>
      <c r="J74" s="8">
        <f>IF(J$3="","",IFERROR(LEFT(TRIM(INDEX(Forms貼り付け!$A:$AZ,73,J$3)),1),""))</f>
        <v/>
      </c>
      <c r="K74" s="8">
        <f>IF(K$3="","",IFERROR(LEFT(TRIM(INDEX(Forms貼り付け!$A:$AZ,73,K$3)),1),""))</f>
        <v/>
      </c>
      <c r="L74" s="8">
        <f>IF(L$3="","",IFERROR(LEFT(TRIM(INDEX(Forms貼り付け!$A:$AZ,73,L$3)),1),""))</f>
        <v/>
      </c>
      <c r="M74" s="8">
        <f>IF(M$3="","",IFERROR(LEFT(TRIM(INDEX(Forms貼り付け!$A:$AZ,73,M$3)),1),""))</f>
        <v/>
      </c>
      <c r="N74" s="8">
        <f>IF(N$3="","",IFERROR(LEFT(TRIM(INDEX(Forms貼り付け!$A:$AZ,73,N$3)),1),""))</f>
        <v/>
      </c>
      <c r="O74" s="8">
        <f>IF(O$3="","",IFERROR(LEFT(TRIM(INDEX(Forms貼り付け!$A:$AZ,73,O$3)),1),""))</f>
        <v/>
      </c>
      <c r="P74" s="8">
        <f>IF(P$3="","",IFERROR(LEFT(TRIM(INDEX(Forms貼り付け!$A:$AZ,73,P$3)),1),""))</f>
        <v/>
      </c>
      <c r="Q74" s="8">
        <f>IF(Q$3="","",IFERROR(LEFT(TRIM(INDEX(Forms貼り付け!$A:$AZ,73,Q$3)),1),""))</f>
        <v/>
      </c>
      <c r="R74" s="8">
        <f>IF(R$3="","",IFERROR(LEFT(TRIM(INDEX(Forms貼り付け!$A:$AZ,73,R$3)),1),""))</f>
        <v/>
      </c>
      <c r="S74" s="8">
        <f>IF(S$3="","",IFERROR(LEFT(TRIM(INDEX(Forms貼り付け!$A:$AZ,73,S$3)),1),""))</f>
        <v/>
      </c>
      <c r="T74" s="8">
        <f>IF(T$3="","",IFERROR(LEFT(TRIM(INDEX(Forms貼り付け!$A:$AZ,73,T$3)),1),""))</f>
        <v/>
      </c>
      <c r="U74" s="8">
        <f>IF(U$3="","",IFERROR(LEFT(TRIM(INDEX(Forms貼り付け!$A:$AZ,73,U$3)),1),""))</f>
        <v/>
      </c>
      <c r="V74" s="8">
        <f>IF(V$3="","",IFERROR(LEFT(TRIM(INDEX(Forms貼り付け!$A:$AZ,73,V$3)),1),""))</f>
        <v/>
      </c>
      <c r="W74" s="8">
        <f>IF(W$3="","",IFERROR(LEFT(TRIM(INDEX(Forms貼り付け!$A:$AZ,73,W$3)),1),""))</f>
        <v/>
      </c>
      <c r="X74" s="8">
        <f>IF(X$3="","",IFERROR(LEFT(TRIM(INDEX(Forms貼り付け!$A:$AZ,73,X$3)),1),""))</f>
        <v/>
      </c>
      <c r="Y74" s="8">
        <f>IF(Y$3="","",IFERROR(LEFT(TRIM(INDEX(Forms貼り付け!$A:$AZ,73,Y$3)),1),""))</f>
        <v/>
      </c>
      <c r="Z74" s="8">
        <f>IF(Z$3="","",IFERROR(LEFT(TRIM(INDEX(Forms貼り付け!$A:$AZ,73,Z$3)),1),""))</f>
        <v/>
      </c>
      <c r="AA74" s="8">
        <f>IF(AA$3="","",IFERROR(LEFT(TRIM(INDEX(Forms貼り付け!$A:$AZ,73,AA$3)),1),""))</f>
        <v/>
      </c>
      <c r="AB74" s="8">
        <f>IF(AB$3="","",IFERROR(LEFT(TRIM(INDEX(Forms貼り付け!$A:$AZ,73,AB$3)),1),""))</f>
        <v/>
      </c>
      <c r="AC74" s="8">
        <f>IF(AC$3="","",IFERROR(LEFT(TRIM(INDEX(Forms貼り付け!$A:$AZ,73,AC$3)),1),""))</f>
        <v/>
      </c>
      <c r="AD74" s="8">
        <f>IF(AD$3="","",IFERROR(LEFT(TRIM(INDEX(Forms貼り付け!$A:$AZ,73,AD$3)),1),""))</f>
        <v/>
      </c>
      <c r="AE74" s="8">
        <f>IF(AE$3="","",IFERROR(LEFT(TRIM(INDEX(Forms貼り付け!$A:$AZ,73,AE$3)),1),""))</f>
        <v/>
      </c>
      <c r="AF74" s="8">
        <f>IF(AF$3="","",IFERROR(LEFT(TRIM(INDEX(Forms貼り付け!$A:$AZ,73,AF$3)),1),""))</f>
        <v/>
      </c>
      <c r="AG74" s="8">
        <f>IF(AG$3="","",IFERROR(LEFT(TRIM(INDEX(Forms貼り付け!$A:$AZ,73,AG$3)),1),""))</f>
        <v/>
      </c>
      <c r="AH74" s="8">
        <f>IF(AH$3="","",IFERROR(LEFT(TRIM(INDEX(Forms貼り付け!$A:$AZ,73,AH$3)),1),""))</f>
        <v/>
      </c>
      <c r="AI74" s="8">
        <f>IF(AI$3="","",IFERROR(LEFT(TRIM(INDEX(Forms貼り付け!$A:$AZ,73,AI$3)),1),""))</f>
        <v/>
      </c>
      <c r="AJ74" s="8">
        <f>IF(AJ$3="","",IFERROR(LEFT(TRIM(INDEX(Forms貼り付け!$A:$AZ,73,AJ$3)),1),""))</f>
        <v/>
      </c>
      <c r="AK74" s="8">
        <f>IF(AK$3="","",IFERROR(LEFT(TRIM(INDEX(Forms貼り付け!$A:$AZ,73,AK$3)),1),""))</f>
        <v/>
      </c>
      <c r="AL74" s="8">
        <f>IF(AL$3="","",IFERROR(LEFT(TRIM(INDEX(Forms貼り付け!$A:$AZ,73,AL$3)),1),""))</f>
        <v/>
      </c>
      <c r="AM74" s="8">
        <f>IF(AM$3="","",IFERROR(LEFT(TRIM(INDEX(Forms貼り付け!$A:$AZ,73,AM$3)),1),""))</f>
        <v/>
      </c>
      <c r="AN74" s="8">
        <f>IF(AN$3="","",IFERROR(LEFT(TRIM(INDEX(Forms貼り付け!$A:$AZ,73,AN$3)),1),""))</f>
        <v/>
      </c>
      <c r="AO74" s="8">
        <f>IF(AO$3="","",IFERROR(LEFT(TRIM(INDEX(Forms貼り付け!$A:$AZ,73,AO$3)),1),""))</f>
        <v/>
      </c>
      <c r="AP74" s="8">
        <f>IF(AP$3="","",IFERROR(LEFT(TRIM(INDEX(Forms貼り付け!$A:$AZ,73,AP$3)),1),""))</f>
        <v/>
      </c>
      <c r="AQ74" s="8">
        <f>IF(AQ$3="","",IFERROR(LEFT(TRIM(INDEX(Forms貼り付け!$A:$AZ,73,AQ$3)),1),""))</f>
        <v/>
      </c>
      <c r="AR74" s="8">
        <f>IF(AR$3="","",IFERROR(LEFT(TRIM(INDEX(Forms貼り付け!$A:$AZ,73,AR$3)),1),""))</f>
        <v/>
      </c>
      <c r="AS74" s="8">
        <f>IF(AS$3="","",IFERROR(LEFT(TRIM(INDEX(Forms貼り付け!$A:$AZ,73,AS$3)),1),""))</f>
        <v/>
      </c>
      <c r="AT74" s="8">
        <f>IF(AT$3="","",IFERROR(LEFT(TRIM(INDEX(Forms貼り付け!$A:$AZ,73,AT$3)),1),""))</f>
        <v/>
      </c>
      <c r="AU74" s="8">
        <f>IF(AU$3="","",IFERROR(LEFT(TRIM(INDEX(Forms貼り付け!$A:$AZ,73,AU$3)),1),""))</f>
        <v/>
      </c>
      <c r="AV74" s="8">
        <f>IF(AV$3="","",IFERROR(LEFT(TRIM(INDEX(Forms貼り付け!$A:$AZ,73,AV$3)),1),""))</f>
        <v/>
      </c>
      <c r="AW74" s="8">
        <f>IF(AW$3="","",IFERROR(LEFT(TRIM(INDEX(Forms貼り付け!$A:$AZ,73,AW$3)),1),""))</f>
        <v/>
      </c>
      <c r="AX74" s="8">
        <f>IF(AX$3="","",IFERROR(LEFT(TRIM(INDEX(Forms貼り付け!$A:$AZ,73,AX$3)),1),""))</f>
        <v/>
      </c>
      <c r="AY74" s="8">
        <f>IF(AY$3="","",IFERROR(LEFT(TRIM(INDEX(Forms貼り付け!$A:$AZ,73,AY$3)),1),""))</f>
        <v/>
      </c>
      <c r="AZ74" s="8">
        <f>IF(AZ$3="","",IFERROR(LEFT(TRIM(INDEX(Forms貼り付け!$A:$AZ,73,AZ$3)),1),""))</f>
        <v/>
      </c>
      <c r="BA74" s="8">
        <f>IF(BA$3="","",IFERROR(LEFT(TRIM(INDEX(Forms貼り付け!$A:$AZ,73,BA$3)),1),""))</f>
        <v/>
      </c>
      <c r="BB74" s="8">
        <f>IF(BB$3="","",IFERROR(LEFT(TRIM(INDEX(Forms貼り付け!$A:$AZ,73,BB$3)),1),""))</f>
        <v/>
      </c>
      <c r="BC74" s="8">
        <f>IF(BC$3="","",IFERROR(LEFT(TRIM(INDEX(Forms貼り付け!$A:$AZ,73,BC$3)),1),""))</f>
        <v/>
      </c>
    </row>
    <row r="75">
      <c r="A75" s="8" t="inlineStr">
        <is>
          <t>U071</t>
        </is>
      </c>
      <c r="B75" s="9">
        <f>IF($B$3="","",INDEX(Forms貼り付け!$A:$AZ,74,$B$3))</f>
        <v/>
      </c>
      <c r="C75" s="9">
        <f>IF($C$3="","",INDEX(Forms貼り付け!$A:$AZ,74,$C$3))</f>
        <v/>
      </c>
      <c r="D75" s="8">
        <f>IF($D$3="","",INDEX(Forms貼り付け!$A:$AZ,74,$D$3))</f>
        <v/>
      </c>
      <c r="E75" s="8">
        <f>IF($E$3="","",INDEX(Forms貼り付け!$A:$AZ,74,$E$3))</f>
        <v/>
      </c>
      <c r="F75" s="8">
        <f>IF(F$3="","",IFERROR(LEFT(TRIM(INDEX(Forms貼り付け!$A:$AZ,74,F$3)),1),""))</f>
        <v/>
      </c>
      <c r="G75" s="8">
        <f>IF(G$3="","",IFERROR(LEFT(TRIM(INDEX(Forms貼り付け!$A:$AZ,74,G$3)),1),""))</f>
        <v/>
      </c>
      <c r="H75" s="8">
        <f>IF(H$3="","",IFERROR(LEFT(TRIM(INDEX(Forms貼り付け!$A:$AZ,74,H$3)),1),""))</f>
        <v/>
      </c>
      <c r="I75" s="8">
        <f>IF(I$3="","",IFERROR(LEFT(TRIM(INDEX(Forms貼り付け!$A:$AZ,74,I$3)),1),""))</f>
        <v/>
      </c>
      <c r="J75" s="8">
        <f>IF(J$3="","",IFERROR(LEFT(TRIM(INDEX(Forms貼り付け!$A:$AZ,74,J$3)),1),""))</f>
        <v/>
      </c>
      <c r="K75" s="8">
        <f>IF(K$3="","",IFERROR(LEFT(TRIM(INDEX(Forms貼り付け!$A:$AZ,74,K$3)),1),""))</f>
        <v/>
      </c>
      <c r="L75" s="8">
        <f>IF(L$3="","",IFERROR(LEFT(TRIM(INDEX(Forms貼り付け!$A:$AZ,74,L$3)),1),""))</f>
        <v/>
      </c>
      <c r="M75" s="8">
        <f>IF(M$3="","",IFERROR(LEFT(TRIM(INDEX(Forms貼り付け!$A:$AZ,74,M$3)),1),""))</f>
        <v/>
      </c>
      <c r="N75" s="8">
        <f>IF(N$3="","",IFERROR(LEFT(TRIM(INDEX(Forms貼り付け!$A:$AZ,74,N$3)),1),""))</f>
        <v/>
      </c>
      <c r="O75" s="8">
        <f>IF(O$3="","",IFERROR(LEFT(TRIM(INDEX(Forms貼り付け!$A:$AZ,74,O$3)),1),""))</f>
        <v/>
      </c>
      <c r="P75" s="8">
        <f>IF(P$3="","",IFERROR(LEFT(TRIM(INDEX(Forms貼り付け!$A:$AZ,74,P$3)),1),""))</f>
        <v/>
      </c>
      <c r="Q75" s="8">
        <f>IF(Q$3="","",IFERROR(LEFT(TRIM(INDEX(Forms貼り付け!$A:$AZ,74,Q$3)),1),""))</f>
        <v/>
      </c>
      <c r="R75" s="8">
        <f>IF(R$3="","",IFERROR(LEFT(TRIM(INDEX(Forms貼り付け!$A:$AZ,74,R$3)),1),""))</f>
        <v/>
      </c>
      <c r="S75" s="8">
        <f>IF(S$3="","",IFERROR(LEFT(TRIM(INDEX(Forms貼り付け!$A:$AZ,74,S$3)),1),""))</f>
        <v/>
      </c>
      <c r="T75" s="8">
        <f>IF(T$3="","",IFERROR(LEFT(TRIM(INDEX(Forms貼り付け!$A:$AZ,74,T$3)),1),""))</f>
        <v/>
      </c>
      <c r="U75" s="8">
        <f>IF(U$3="","",IFERROR(LEFT(TRIM(INDEX(Forms貼り付け!$A:$AZ,74,U$3)),1),""))</f>
        <v/>
      </c>
      <c r="V75" s="8">
        <f>IF(V$3="","",IFERROR(LEFT(TRIM(INDEX(Forms貼り付け!$A:$AZ,74,V$3)),1),""))</f>
        <v/>
      </c>
      <c r="W75" s="8">
        <f>IF(W$3="","",IFERROR(LEFT(TRIM(INDEX(Forms貼り付け!$A:$AZ,74,W$3)),1),""))</f>
        <v/>
      </c>
      <c r="X75" s="8">
        <f>IF(X$3="","",IFERROR(LEFT(TRIM(INDEX(Forms貼り付け!$A:$AZ,74,X$3)),1),""))</f>
        <v/>
      </c>
      <c r="Y75" s="8">
        <f>IF(Y$3="","",IFERROR(LEFT(TRIM(INDEX(Forms貼り付け!$A:$AZ,74,Y$3)),1),""))</f>
        <v/>
      </c>
      <c r="Z75" s="8">
        <f>IF(Z$3="","",IFERROR(LEFT(TRIM(INDEX(Forms貼り付け!$A:$AZ,74,Z$3)),1),""))</f>
        <v/>
      </c>
      <c r="AA75" s="8">
        <f>IF(AA$3="","",IFERROR(LEFT(TRIM(INDEX(Forms貼り付け!$A:$AZ,74,AA$3)),1),""))</f>
        <v/>
      </c>
      <c r="AB75" s="8">
        <f>IF(AB$3="","",IFERROR(LEFT(TRIM(INDEX(Forms貼り付け!$A:$AZ,74,AB$3)),1),""))</f>
        <v/>
      </c>
      <c r="AC75" s="8">
        <f>IF(AC$3="","",IFERROR(LEFT(TRIM(INDEX(Forms貼り付け!$A:$AZ,74,AC$3)),1),""))</f>
        <v/>
      </c>
      <c r="AD75" s="8">
        <f>IF(AD$3="","",IFERROR(LEFT(TRIM(INDEX(Forms貼り付け!$A:$AZ,74,AD$3)),1),""))</f>
        <v/>
      </c>
      <c r="AE75" s="8">
        <f>IF(AE$3="","",IFERROR(LEFT(TRIM(INDEX(Forms貼り付け!$A:$AZ,74,AE$3)),1),""))</f>
        <v/>
      </c>
      <c r="AF75" s="8">
        <f>IF(AF$3="","",IFERROR(LEFT(TRIM(INDEX(Forms貼り付け!$A:$AZ,74,AF$3)),1),""))</f>
        <v/>
      </c>
      <c r="AG75" s="8">
        <f>IF(AG$3="","",IFERROR(LEFT(TRIM(INDEX(Forms貼り付け!$A:$AZ,74,AG$3)),1),""))</f>
        <v/>
      </c>
      <c r="AH75" s="8">
        <f>IF(AH$3="","",IFERROR(LEFT(TRIM(INDEX(Forms貼り付け!$A:$AZ,74,AH$3)),1),""))</f>
        <v/>
      </c>
      <c r="AI75" s="8">
        <f>IF(AI$3="","",IFERROR(LEFT(TRIM(INDEX(Forms貼り付け!$A:$AZ,74,AI$3)),1),""))</f>
        <v/>
      </c>
      <c r="AJ75" s="8">
        <f>IF(AJ$3="","",IFERROR(LEFT(TRIM(INDEX(Forms貼り付け!$A:$AZ,74,AJ$3)),1),""))</f>
        <v/>
      </c>
      <c r="AK75" s="8">
        <f>IF(AK$3="","",IFERROR(LEFT(TRIM(INDEX(Forms貼り付け!$A:$AZ,74,AK$3)),1),""))</f>
        <v/>
      </c>
      <c r="AL75" s="8">
        <f>IF(AL$3="","",IFERROR(LEFT(TRIM(INDEX(Forms貼り付け!$A:$AZ,74,AL$3)),1),""))</f>
        <v/>
      </c>
      <c r="AM75" s="8">
        <f>IF(AM$3="","",IFERROR(LEFT(TRIM(INDEX(Forms貼り付け!$A:$AZ,74,AM$3)),1),""))</f>
        <v/>
      </c>
      <c r="AN75" s="8">
        <f>IF(AN$3="","",IFERROR(LEFT(TRIM(INDEX(Forms貼り付け!$A:$AZ,74,AN$3)),1),""))</f>
        <v/>
      </c>
      <c r="AO75" s="8">
        <f>IF(AO$3="","",IFERROR(LEFT(TRIM(INDEX(Forms貼り付け!$A:$AZ,74,AO$3)),1),""))</f>
        <v/>
      </c>
      <c r="AP75" s="8">
        <f>IF(AP$3="","",IFERROR(LEFT(TRIM(INDEX(Forms貼り付け!$A:$AZ,74,AP$3)),1),""))</f>
        <v/>
      </c>
      <c r="AQ75" s="8">
        <f>IF(AQ$3="","",IFERROR(LEFT(TRIM(INDEX(Forms貼り付け!$A:$AZ,74,AQ$3)),1),""))</f>
        <v/>
      </c>
      <c r="AR75" s="8">
        <f>IF(AR$3="","",IFERROR(LEFT(TRIM(INDEX(Forms貼り付け!$A:$AZ,74,AR$3)),1),""))</f>
        <v/>
      </c>
      <c r="AS75" s="8">
        <f>IF(AS$3="","",IFERROR(LEFT(TRIM(INDEX(Forms貼り付け!$A:$AZ,74,AS$3)),1),""))</f>
        <v/>
      </c>
      <c r="AT75" s="8">
        <f>IF(AT$3="","",IFERROR(LEFT(TRIM(INDEX(Forms貼り付け!$A:$AZ,74,AT$3)),1),""))</f>
        <v/>
      </c>
      <c r="AU75" s="8">
        <f>IF(AU$3="","",IFERROR(LEFT(TRIM(INDEX(Forms貼り付け!$A:$AZ,74,AU$3)),1),""))</f>
        <v/>
      </c>
      <c r="AV75" s="8">
        <f>IF(AV$3="","",IFERROR(LEFT(TRIM(INDEX(Forms貼り付け!$A:$AZ,74,AV$3)),1),""))</f>
        <v/>
      </c>
      <c r="AW75" s="8">
        <f>IF(AW$3="","",IFERROR(LEFT(TRIM(INDEX(Forms貼り付け!$A:$AZ,74,AW$3)),1),""))</f>
        <v/>
      </c>
      <c r="AX75" s="8">
        <f>IF(AX$3="","",IFERROR(LEFT(TRIM(INDEX(Forms貼り付け!$A:$AZ,74,AX$3)),1),""))</f>
        <v/>
      </c>
      <c r="AY75" s="8">
        <f>IF(AY$3="","",IFERROR(LEFT(TRIM(INDEX(Forms貼り付け!$A:$AZ,74,AY$3)),1),""))</f>
        <v/>
      </c>
      <c r="AZ75" s="8">
        <f>IF(AZ$3="","",IFERROR(LEFT(TRIM(INDEX(Forms貼り付け!$A:$AZ,74,AZ$3)),1),""))</f>
        <v/>
      </c>
      <c r="BA75" s="8">
        <f>IF(BA$3="","",IFERROR(LEFT(TRIM(INDEX(Forms貼り付け!$A:$AZ,74,BA$3)),1),""))</f>
        <v/>
      </c>
      <c r="BB75" s="8">
        <f>IF(BB$3="","",IFERROR(LEFT(TRIM(INDEX(Forms貼り付け!$A:$AZ,74,BB$3)),1),""))</f>
        <v/>
      </c>
      <c r="BC75" s="8">
        <f>IF(BC$3="","",IFERROR(LEFT(TRIM(INDEX(Forms貼り付け!$A:$AZ,74,BC$3)),1),""))</f>
        <v/>
      </c>
    </row>
    <row r="76">
      <c r="A76" s="8" t="inlineStr">
        <is>
          <t>U072</t>
        </is>
      </c>
      <c r="B76" s="9">
        <f>IF($B$3="","",INDEX(Forms貼り付け!$A:$AZ,75,$B$3))</f>
        <v/>
      </c>
      <c r="C76" s="9">
        <f>IF($C$3="","",INDEX(Forms貼り付け!$A:$AZ,75,$C$3))</f>
        <v/>
      </c>
      <c r="D76" s="8">
        <f>IF($D$3="","",INDEX(Forms貼り付け!$A:$AZ,75,$D$3))</f>
        <v/>
      </c>
      <c r="E76" s="8">
        <f>IF($E$3="","",INDEX(Forms貼り付け!$A:$AZ,75,$E$3))</f>
        <v/>
      </c>
      <c r="F76" s="8">
        <f>IF(F$3="","",IFERROR(LEFT(TRIM(INDEX(Forms貼り付け!$A:$AZ,75,F$3)),1),""))</f>
        <v/>
      </c>
      <c r="G76" s="8">
        <f>IF(G$3="","",IFERROR(LEFT(TRIM(INDEX(Forms貼り付け!$A:$AZ,75,G$3)),1),""))</f>
        <v/>
      </c>
      <c r="H76" s="8">
        <f>IF(H$3="","",IFERROR(LEFT(TRIM(INDEX(Forms貼り付け!$A:$AZ,75,H$3)),1),""))</f>
        <v/>
      </c>
      <c r="I76" s="8">
        <f>IF(I$3="","",IFERROR(LEFT(TRIM(INDEX(Forms貼り付け!$A:$AZ,75,I$3)),1),""))</f>
        <v/>
      </c>
      <c r="J76" s="8">
        <f>IF(J$3="","",IFERROR(LEFT(TRIM(INDEX(Forms貼り付け!$A:$AZ,75,J$3)),1),""))</f>
        <v/>
      </c>
      <c r="K76" s="8">
        <f>IF(K$3="","",IFERROR(LEFT(TRIM(INDEX(Forms貼り付け!$A:$AZ,75,K$3)),1),""))</f>
        <v/>
      </c>
      <c r="L76" s="8">
        <f>IF(L$3="","",IFERROR(LEFT(TRIM(INDEX(Forms貼り付け!$A:$AZ,75,L$3)),1),""))</f>
        <v/>
      </c>
      <c r="M76" s="8">
        <f>IF(M$3="","",IFERROR(LEFT(TRIM(INDEX(Forms貼り付け!$A:$AZ,75,M$3)),1),""))</f>
        <v/>
      </c>
      <c r="N76" s="8">
        <f>IF(N$3="","",IFERROR(LEFT(TRIM(INDEX(Forms貼り付け!$A:$AZ,75,N$3)),1),""))</f>
        <v/>
      </c>
      <c r="O76" s="8">
        <f>IF(O$3="","",IFERROR(LEFT(TRIM(INDEX(Forms貼り付け!$A:$AZ,75,O$3)),1),""))</f>
        <v/>
      </c>
      <c r="P76" s="8">
        <f>IF(P$3="","",IFERROR(LEFT(TRIM(INDEX(Forms貼り付け!$A:$AZ,75,P$3)),1),""))</f>
        <v/>
      </c>
      <c r="Q76" s="8">
        <f>IF(Q$3="","",IFERROR(LEFT(TRIM(INDEX(Forms貼り付け!$A:$AZ,75,Q$3)),1),""))</f>
        <v/>
      </c>
      <c r="R76" s="8">
        <f>IF(R$3="","",IFERROR(LEFT(TRIM(INDEX(Forms貼り付け!$A:$AZ,75,R$3)),1),""))</f>
        <v/>
      </c>
      <c r="S76" s="8">
        <f>IF(S$3="","",IFERROR(LEFT(TRIM(INDEX(Forms貼り付け!$A:$AZ,75,S$3)),1),""))</f>
        <v/>
      </c>
      <c r="T76" s="8">
        <f>IF(T$3="","",IFERROR(LEFT(TRIM(INDEX(Forms貼り付け!$A:$AZ,75,T$3)),1),""))</f>
        <v/>
      </c>
      <c r="U76" s="8">
        <f>IF(U$3="","",IFERROR(LEFT(TRIM(INDEX(Forms貼り付け!$A:$AZ,75,U$3)),1),""))</f>
        <v/>
      </c>
      <c r="V76" s="8">
        <f>IF(V$3="","",IFERROR(LEFT(TRIM(INDEX(Forms貼り付け!$A:$AZ,75,V$3)),1),""))</f>
        <v/>
      </c>
      <c r="W76" s="8">
        <f>IF(W$3="","",IFERROR(LEFT(TRIM(INDEX(Forms貼り付け!$A:$AZ,75,W$3)),1),""))</f>
        <v/>
      </c>
      <c r="X76" s="8">
        <f>IF(X$3="","",IFERROR(LEFT(TRIM(INDEX(Forms貼り付け!$A:$AZ,75,X$3)),1),""))</f>
        <v/>
      </c>
      <c r="Y76" s="8">
        <f>IF(Y$3="","",IFERROR(LEFT(TRIM(INDEX(Forms貼り付け!$A:$AZ,75,Y$3)),1),""))</f>
        <v/>
      </c>
      <c r="Z76" s="8">
        <f>IF(Z$3="","",IFERROR(LEFT(TRIM(INDEX(Forms貼り付け!$A:$AZ,75,Z$3)),1),""))</f>
        <v/>
      </c>
      <c r="AA76" s="8">
        <f>IF(AA$3="","",IFERROR(LEFT(TRIM(INDEX(Forms貼り付け!$A:$AZ,75,AA$3)),1),""))</f>
        <v/>
      </c>
      <c r="AB76" s="8">
        <f>IF(AB$3="","",IFERROR(LEFT(TRIM(INDEX(Forms貼り付け!$A:$AZ,75,AB$3)),1),""))</f>
        <v/>
      </c>
      <c r="AC76" s="8">
        <f>IF(AC$3="","",IFERROR(LEFT(TRIM(INDEX(Forms貼り付け!$A:$AZ,75,AC$3)),1),""))</f>
        <v/>
      </c>
      <c r="AD76" s="8">
        <f>IF(AD$3="","",IFERROR(LEFT(TRIM(INDEX(Forms貼り付け!$A:$AZ,75,AD$3)),1),""))</f>
        <v/>
      </c>
      <c r="AE76" s="8">
        <f>IF(AE$3="","",IFERROR(LEFT(TRIM(INDEX(Forms貼り付け!$A:$AZ,75,AE$3)),1),""))</f>
        <v/>
      </c>
      <c r="AF76" s="8">
        <f>IF(AF$3="","",IFERROR(LEFT(TRIM(INDEX(Forms貼り付け!$A:$AZ,75,AF$3)),1),""))</f>
        <v/>
      </c>
      <c r="AG76" s="8">
        <f>IF(AG$3="","",IFERROR(LEFT(TRIM(INDEX(Forms貼り付け!$A:$AZ,75,AG$3)),1),""))</f>
        <v/>
      </c>
      <c r="AH76" s="8">
        <f>IF(AH$3="","",IFERROR(LEFT(TRIM(INDEX(Forms貼り付け!$A:$AZ,75,AH$3)),1),""))</f>
        <v/>
      </c>
      <c r="AI76" s="8">
        <f>IF(AI$3="","",IFERROR(LEFT(TRIM(INDEX(Forms貼り付け!$A:$AZ,75,AI$3)),1),""))</f>
        <v/>
      </c>
      <c r="AJ76" s="8">
        <f>IF(AJ$3="","",IFERROR(LEFT(TRIM(INDEX(Forms貼り付け!$A:$AZ,75,AJ$3)),1),""))</f>
        <v/>
      </c>
      <c r="AK76" s="8">
        <f>IF(AK$3="","",IFERROR(LEFT(TRIM(INDEX(Forms貼り付け!$A:$AZ,75,AK$3)),1),""))</f>
        <v/>
      </c>
      <c r="AL76" s="8">
        <f>IF(AL$3="","",IFERROR(LEFT(TRIM(INDEX(Forms貼り付け!$A:$AZ,75,AL$3)),1),""))</f>
        <v/>
      </c>
      <c r="AM76" s="8">
        <f>IF(AM$3="","",IFERROR(LEFT(TRIM(INDEX(Forms貼り付け!$A:$AZ,75,AM$3)),1),""))</f>
        <v/>
      </c>
      <c r="AN76" s="8">
        <f>IF(AN$3="","",IFERROR(LEFT(TRIM(INDEX(Forms貼り付け!$A:$AZ,75,AN$3)),1),""))</f>
        <v/>
      </c>
      <c r="AO76" s="8">
        <f>IF(AO$3="","",IFERROR(LEFT(TRIM(INDEX(Forms貼り付け!$A:$AZ,75,AO$3)),1),""))</f>
        <v/>
      </c>
      <c r="AP76" s="8">
        <f>IF(AP$3="","",IFERROR(LEFT(TRIM(INDEX(Forms貼り付け!$A:$AZ,75,AP$3)),1),""))</f>
        <v/>
      </c>
      <c r="AQ76" s="8">
        <f>IF(AQ$3="","",IFERROR(LEFT(TRIM(INDEX(Forms貼り付け!$A:$AZ,75,AQ$3)),1),""))</f>
        <v/>
      </c>
      <c r="AR76" s="8">
        <f>IF(AR$3="","",IFERROR(LEFT(TRIM(INDEX(Forms貼り付け!$A:$AZ,75,AR$3)),1),""))</f>
        <v/>
      </c>
      <c r="AS76" s="8">
        <f>IF(AS$3="","",IFERROR(LEFT(TRIM(INDEX(Forms貼り付け!$A:$AZ,75,AS$3)),1),""))</f>
        <v/>
      </c>
      <c r="AT76" s="8">
        <f>IF(AT$3="","",IFERROR(LEFT(TRIM(INDEX(Forms貼り付け!$A:$AZ,75,AT$3)),1),""))</f>
        <v/>
      </c>
      <c r="AU76" s="8">
        <f>IF(AU$3="","",IFERROR(LEFT(TRIM(INDEX(Forms貼り付け!$A:$AZ,75,AU$3)),1),""))</f>
        <v/>
      </c>
      <c r="AV76" s="8">
        <f>IF(AV$3="","",IFERROR(LEFT(TRIM(INDEX(Forms貼り付け!$A:$AZ,75,AV$3)),1),""))</f>
        <v/>
      </c>
      <c r="AW76" s="8">
        <f>IF(AW$3="","",IFERROR(LEFT(TRIM(INDEX(Forms貼り付け!$A:$AZ,75,AW$3)),1),""))</f>
        <v/>
      </c>
      <c r="AX76" s="8">
        <f>IF(AX$3="","",IFERROR(LEFT(TRIM(INDEX(Forms貼り付け!$A:$AZ,75,AX$3)),1),""))</f>
        <v/>
      </c>
      <c r="AY76" s="8">
        <f>IF(AY$3="","",IFERROR(LEFT(TRIM(INDEX(Forms貼り付け!$A:$AZ,75,AY$3)),1),""))</f>
        <v/>
      </c>
      <c r="AZ76" s="8">
        <f>IF(AZ$3="","",IFERROR(LEFT(TRIM(INDEX(Forms貼り付け!$A:$AZ,75,AZ$3)),1),""))</f>
        <v/>
      </c>
      <c r="BA76" s="8">
        <f>IF(BA$3="","",IFERROR(LEFT(TRIM(INDEX(Forms貼り付け!$A:$AZ,75,BA$3)),1),""))</f>
        <v/>
      </c>
      <c r="BB76" s="8">
        <f>IF(BB$3="","",IFERROR(LEFT(TRIM(INDEX(Forms貼り付け!$A:$AZ,75,BB$3)),1),""))</f>
        <v/>
      </c>
      <c r="BC76" s="8">
        <f>IF(BC$3="","",IFERROR(LEFT(TRIM(INDEX(Forms貼り付け!$A:$AZ,75,BC$3)),1),""))</f>
        <v/>
      </c>
    </row>
    <row r="77">
      <c r="A77" s="8" t="inlineStr">
        <is>
          <t>U073</t>
        </is>
      </c>
      <c r="B77" s="9">
        <f>IF($B$3="","",INDEX(Forms貼り付け!$A:$AZ,76,$B$3))</f>
        <v/>
      </c>
      <c r="C77" s="9">
        <f>IF($C$3="","",INDEX(Forms貼り付け!$A:$AZ,76,$C$3))</f>
        <v/>
      </c>
      <c r="D77" s="8">
        <f>IF($D$3="","",INDEX(Forms貼り付け!$A:$AZ,76,$D$3))</f>
        <v/>
      </c>
      <c r="E77" s="8">
        <f>IF($E$3="","",INDEX(Forms貼り付け!$A:$AZ,76,$E$3))</f>
        <v/>
      </c>
      <c r="F77" s="8">
        <f>IF(F$3="","",IFERROR(LEFT(TRIM(INDEX(Forms貼り付け!$A:$AZ,76,F$3)),1),""))</f>
        <v/>
      </c>
      <c r="G77" s="8">
        <f>IF(G$3="","",IFERROR(LEFT(TRIM(INDEX(Forms貼り付け!$A:$AZ,76,G$3)),1),""))</f>
        <v/>
      </c>
      <c r="H77" s="8">
        <f>IF(H$3="","",IFERROR(LEFT(TRIM(INDEX(Forms貼り付け!$A:$AZ,76,H$3)),1),""))</f>
        <v/>
      </c>
      <c r="I77" s="8">
        <f>IF(I$3="","",IFERROR(LEFT(TRIM(INDEX(Forms貼り付け!$A:$AZ,76,I$3)),1),""))</f>
        <v/>
      </c>
      <c r="J77" s="8">
        <f>IF(J$3="","",IFERROR(LEFT(TRIM(INDEX(Forms貼り付け!$A:$AZ,76,J$3)),1),""))</f>
        <v/>
      </c>
      <c r="K77" s="8">
        <f>IF(K$3="","",IFERROR(LEFT(TRIM(INDEX(Forms貼り付け!$A:$AZ,76,K$3)),1),""))</f>
        <v/>
      </c>
      <c r="L77" s="8">
        <f>IF(L$3="","",IFERROR(LEFT(TRIM(INDEX(Forms貼り付け!$A:$AZ,76,L$3)),1),""))</f>
        <v/>
      </c>
      <c r="M77" s="8">
        <f>IF(M$3="","",IFERROR(LEFT(TRIM(INDEX(Forms貼り付け!$A:$AZ,76,M$3)),1),""))</f>
        <v/>
      </c>
      <c r="N77" s="8">
        <f>IF(N$3="","",IFERROR(LEFT(TRIM(INDEX(Forms貼り付け!$A:$AZ,76,N$3)),1),""))</f>
        <v/>
      </c>
      <c r="O77" s="8">
        <f>IF(O$3="","",IFERROR(LEFT(TRIM(INDEX(Forms貼り付け!$A:$AZ,76,O$3)),1),""))</f>
        <v/>
      </c>
      <c r="P77" s="8">
        <f>IF(P$3="","",IFERROR(LEFT(TRIM(INDEX(Forms貼り付け!$A:$AZ,76,P$3)),1),""))</f>
        <v/>
      </c>
      <c r="Q77" s="8">
        <f>IF(Q$3="","",IFERROR(LEFT(TRIM(INDEX(Forms貼り付け!$A:$AZ,76,Q$3)),1),""))</f>
        <v/>
      </c>
      <c r="R77" s="8">
        <f>IF(R$3="","",IFERROR(LEFT(TRIM(INDEX(Forms貼り付け!$A:$AZ,76,R$3)),1),""))</f>
        <v/>
      </c>
      <c r="S77" s="8">
        <f>IF(S$3="","",IFERROR(LEFT(TRIM(INDEX(Forms貼り付け!$A:$AZ,76,S$3)),1),""))</f>
        <v/>
      </c>
      <c r="T77" s="8">
        <f>IF(T$3="","",IFERROR(LEFT(TRIM(INDEX(Forms貼り付け!$A:$AZ,76,T$3)),1),""))</f>
        <v/>
      </c>
      <c r="U77" s="8">
        <f>IF(U$3="","",IFERROR(LEFT(TRIM(INDEX(Forms貼り付け!$A:$AZ,76,U$3)),1),""))</f>
        <v/>
      </c>
      <c r="V77" s="8">
        <f>IF(V$3="","",IFERROR(LEFT(TRIM(INDEX(Forms貼り付け!$A:$AZ,76,V$3)),1),""))</f>
        <v/>
      </c>
      <c r="W77" s="8">
        <f>IF(W$3="","",IFERROR(LEFT(TRIM(INDEX(Forms貼り付け!$A:$AZ,76,W$3)),1),""))</f>
        <v/>
      </c>
      <c r="X77" s="8">
        <f>IF(X$3="","",IFERROR(LEFT(TRIM(INDEX(Forms貼り付け!$A:$AZ,76,X$3)),1),""))</f>
        <v/>
      </c>
      <c r="Y77" s="8">
        <f>IF(Y$3="","",IFERROR(LEFT(TRIM(INDEX(Forms貼り付け!$A:$AZ,76,Y$3)),1),""))</f>
        <v/>
      </c>
      <c r="Z77" s="8">
        <f>IF(Z$3="","",IFERROR(LEFT(TRIM(INDEX(Forms貼り付け!$A:$AZ,76,Z$3)),1),""))</f>
        <v/>
      </c>
      <c r="AA77" s="8">
        <f>IF(AA$3="","",IFERROR(LEFT(TRIM(INDEX(Forms貼り付け!$A:$AZ,76,AA$3)),1),""))</f>
        <v/>
      </c>
      <c r="AB77" s="8">
        <f>IF(AB$3="","",IFERROR(LEFT(TRIM(INDEX(Forms貼り付け!$A:$AZ,76,AB$3)),1),""))</f>
        <v/>
      </c>
      <c r="AC77" s="8">
        <f>IF(AC$3="","",IFERROR(LEFT(TRIM(INDEX(Forms貼り付け!$A:$AZ,76,AC$3)),1),""))</f>
        <v/>
      </c>
      <c r="AD77" s="8">
        <f>IF(AD$3="","",IFERROR(LEFT(TRIM(INDEX(Forms貼り付け!$A:$AZ,76,AD$3)),1),""))</f>
        <v/>
      </c>
      <c r="AE77" s="8">
        <f>IF(AE$3="","",IFERROR(LEFT(TRIM(INDEX(Forms貼り付け!$A:$AZ,76,AE$3)),1),""))</f>
        <v/>
      </c>
      <c r="AF77" s="8">
        <f>IF(AF$3="","",IFERROR(LEFT(TRIM(INDEX(Forms貼り付け!$A:$AZ,76,AF$3)),1),""))</f>
        <v/>
      </c>
      <c r="AG77" s="8">
        <f>IF(AG$3="","",IFERROR(LEFT(TRIM(INDEX(Forms貼り付け!$A:$AZ,76,AG$3)),1),""))</f>
        <v/>
      </c>
      <c r="AH77" s="8">
        <f>IF(AH$3="","",IFERROR(LEFT(TRIM(INDEX(Forms貼り付け!$A:$AZ,76,AH$3)),1),""))</f>
        <v/>
      </c>
      <c r="AI77" s="8">
        <f>IF(AI$3="","",IFERROR(LEFT(TRIM(INDEX(Forms貼り付け!$A:$AZ,76,AI$3)),1),""))</f>
        <v/>
      </c>
      <c r="AJ77" s="8">
        <f>IF(AJ$3="","",IFERROR(LEFT(TRIM(INDEX(Forms貼り付け!$A:$AZ,76,AJ$3)),1),""))</f>
        <v/>
      </c>
      <c r="AK77" s="8">
        <f>IF(AK$3="","",IFERROR(LEFT(TRIM(INDEX(Forms貼り付け!$A:$AZ,76,AK$3)),1),""))</f>
        <v/>
      </c>
      <c r="AL77" s="8">
        <f>IF(AL$3="","",IFERROR(LEFT(TRIM(INDEX(Forms貼り付け!$A:$AZ,76,AL$3)),1),""))</f>
        <v/>
      </c>
      <c r="AM77" s="8">
        <f>IF(AM$3="","",IFERROR(LEFT(TRIM(INDEX(Forms貼り付け!$A:$AZ,76,AM$3)),1),""))</f>
        <v/>
      </c>
      <c r="AN77" s="8">
        <f>IF(AN$3="","",IFERROR(LEFT(TRIM(INDEX(Forms貼り付け!$A:$AZ,76,AN$3)),1),""))</f>
        <v/>
      </c>
      <c r="AO77" s="8">
        <f>IF(AO$3="","",IFERROR(LEFT(TRIM(INDEX(Forms貼り付け!$A:$AZ,76,AO$3)),1),""))</f>
        <v/>
      </c>
      <c r="AP77" s="8">
        <f>IF(AP$3="","",IFERROR(LEFT(TRIM(INDEX(Forms貼り付け!$A:$AZ,76,AP$3)),1),""))</f>
        <v/>
      </c>
      <c r="AQ77" s="8">
        <f>IF(AQ$3="","",IFERROR(LEFT(TRIM(INDEX(Forms貼り付け!$A:$AZ,76,AQ$3)),1),""))</f>
        <v/>
      </c>
      <c r="AR77" s="8">
        <f>IF(AR$3="","",IFERROR(LEFT(TRIM(INDEX(Forms貼り付け!$A:$AZ,76,AR$3)),1),""))</f>
        <v/>
      </c>
      <c r="AS77" s="8">
        <f>IF(AS$3="","",IFERROR(LEFT(TRIM(INDEX(Forms貼り付け!$A:$AZ,76,AS$3)),1),""))</f>
        <v/>
      </c>
      <c r="AT77" s="8">
        <f>IF(AT$3="","",IFERROR(LEFT(TRIM(INDEX(Forms貼り付け!$A:$AZ,76,AT$3)),1),""))</f>
        <v/>
      </c>
      <c r="AU77" s="8">
        <f>IF(AU$3="","",IFERROR(LEFT(TRIM(INDEX(Forms貼り付け!$A:$AZ,76,AU$3)),1),""))</f>
        <v/>
      </c>
      <c r="AV77" s="8">
        <f>IF(AV$3="","",IFERROR(LEFT(TRIM(INDEX(Forms貼り付け!$A:$AZ,76,AV$3)),1),""))</f>
        <v/>
      </c>
      <c r="AW77" s="8">
        <f>IF(AW$3="","",IFERROR(LEFT(TRIM(INDEX(Forms貼り付け!$A:$AZ,76,AW$3)),1),""))</f>
        <v/>
      </c>
      <c r="AX77" s="8">
        <f>IF(AX$3="","",IFERROR(LEFT(TRIM(INDEX(Forms貼り付け!$A:$AZ,76,AX$3)),1),""))</f>
        <v/>
      </c>
      <c r="AY77" s="8">
        <f>IF(AY$3="","",IFERROR(LEFT(TRIM(INDEX(Forms貼り付け!$A:$AZ,76,AY$3)),1),""))</f>
        <v/>
      </c>
      <c r="AZ77" s="8">
        <f>IF(AZ$3="","",IFERROR(LEFT(TRIM(INDEX(Forms貼り付け!$A:$AZ,76,AZ$3)),1),""))</f>
        <v/>
      </c>
      <c r="BA77" s="8">
        <f>IF(BA$3="","",IFERROR(LEFT(TRIM(INDEX(Forms貼り付け!$A:$AZ,76,BA$3)),1),""))</f>
        <v/>
      </c>
      <c r="BB77" s="8">
        <f>IF(BB$3="","",IFERROR(LEFT(TRIM(INDEX(Forms貼り付け!$A:$AZ,76,BB$3)),1),""))</f>
        <v/>
      </c>
      <c r="BC77" s="8">
        <f>IF(BC$3="","",IFERROR(LEFT(TRIM(INDEX(Forms貼り付け!$A:$AZ,76,BC$3)),1),""))</f>
        <v/>
      </c>
    </row>
    <row r="78">
      <c r="A78" s="8" t="inlineStr">
        <is>
          <t>U074</t>
        </is>
      </c>
      <c r="B78" s="9">
        <f>IF($B$3="","",INDEX(Forms貼り付け!$A:$AZ,77,$B$3))</f>
        <v/>
      </c>
      <c r="C78" s="9">
        <f>IF($C$3="","",INDEX(Forms貼り付け!$A:$AZ,77,$C$3))</f>
        <v/>
      </c>
      <c r="D78" s="8">
        <f>IF($D$3="","",INDEX(Forms貼り付け!$A:$AZ,77,$D$3))</f>
        <v/>
      </c>
      <c r="E78" s="8">
        <f>IF($E$3="","",INDEX(Forms貼り付け!$A:$AZ,77,$E$3))</f>
        <v/>
      </c>
      <c r="F78" s="8">
        <f>IF(F$3="","",IFERROR(LEFT(TRIM(INDEX(Forms貼り付け!$A:$AZ,77,F$3)),1),""))</f>
        <v/>
      </c>
      <c r="G78" s="8">
        <f>IF(G$3="","",IFERROR(LEFT(TRIM(INDEX(Forms貼り付け!$A:$AZ,77,G$3)),1),""))</f>
        <v/>
      </c>
      <c r="H78" s="8">
        <f>IF(H$3="","",IFERROR(LEFT(TRIM(INDEX(Forms貼り付け!$A:$AZ,77,H$3)),1),""))</f>
        <v/>
      </c>
      <c r="I78" s="8">
        <f>IF(I$3="","",IFERROR(LEFT(TRIM(INDEX(Forms貼り付け!$A:$AZ,77,I$3)),1),""))</f>
        <v/>
      </c>
      <c r="J78" s="8">
        <f>IF(J$3="","",IFERROR(LEFT(TRIM(INDEX(Forms貼り付け!$A:$AZ,77,J$3)),1),""))</f>
        <v/>
      </c>
      <c r="K78" s="8">
        <f>IF(K$3="","",IFERROR(LEFT(TRIM(INDEX(Forms貼り付け!$A:$AZ,77,K$3)),1),""))</f>
        <v/>
      </c>
      <c r="L78" s="8">
        <f>IF(L$3="","",IFERROR(LEFT(TRIM(INDEX(Forms貼り付け!$A:$AZ,77,L$3)),1),""))</f>
        <v/>
      </c>
      <c r="M78" s="8">
        <f>IF(M$3="","",IFERROR(LEFT(TRIM(INDEX(Forms貼り付け!$A:$AZ,77,M$3)),1),""))</f>
        <v/>
      </c>
      <c r="N78" s="8">
        <f>IF(N$3="","",IFERROR(LEFT(TRIM(INDEX(Forms貼り付け!$A:$AZ,77,N$3)),1),""))</f>
        <v/>
      </c>
      <c r="O78" s="8">
        <f>IF(O$3="","",IFERROR(LEFT(TRIM(INDEX(Forms貼り付け!$A:$AZ,77,O$3)),1),""))</f>
        <v/>
      </c>
      <c r="P78" s="8">
        <f>IF(P$3="","",IFERROR(LEFT(TRIM(INDEX(Forms貼り付け!$A:$AZ,77,P$3)),1),""))</f>
        <v/>
      </c>
      <c r="Q78" s="8">
        <f>IF(Q$3="","",IFERROR(LEFT(TRIM(INDEX(Forms貼り付け!$A:$AZ,77,Q$3)),1),""))</f>
        <v/>
      </c>
      <c r="R78" s="8">
        <f>IF(R$3="","",IFERROR(LEFT(TRIM(INDEX(Forms貼り付け!$A:$AZ,77,R$3)),1),""))</f>
        <v/>
      </c>
      <c r="S78" s="8">
        <f>IF(S$3="","",IFERROR(LEFT(TRIM(INDEX(Forms貼り付け!$A:$AZ,77,S$3)),1),""))</f>
        <v/>
      </c>
      <c r="T78" s="8">
        <f>IF(T$3="","",IFERROR(LEFT(TRIM(INDEX(Forms貼り付け!$A:$AZ,77,T$3)),1),""))</f>
        <v/>
      </c>
      <c r="U78" s="8">
        <f>IF(U$3="","",IFERROR(LEFT(TRIM(INDEX(Forms貼り付け!$A:$AZ,77,U$3)),1),""))</f>
        <v/>
      </c>
      <c r="V78" s="8">
        <f>IF(V$3="","",IFERROR(LEFT(TRIM(INDEX(Forms貼り付け!$A:$AZ,77,V$3)),1),""))</f>
        <v/>
      </c>
      <c r="W78" s="8">
        <f>IF(W$3="","",IFERROR(LEFT(TRIM(INDEX(Forms貼り付け!$A:$AZ,77,W$3)),1),""))</f>
        <v/>
      </c>
      <c r="X78" s="8">
        <f>IF(X$3="","",IFERROR(LEFT(TRIM(INDEX(Forms貼り付け!$A:$AZ,77,X$3)),1),""))</f>
        <v/>
      </c>
      <c r="Y78" s="8">
        <f>IF(Y$3="","",IFERROR(LEFT(TRIM(INDEX(Forms貼り付け!$A:$AZ,77,Y$3)),1),""))</f>
        <v/>
      </c>
      <c r="Z78" s="8">
        <f>IF(Z$3="","",IFERROR(LEFT(TRIM(INDEX(Forms貼り付け!$A:$AZ,77,Z$3)),1),""))</f>
        <v/>
      </c>
      <c r="AA78" s="8">
        <f>IF(AA$3="","",IFERROR(LEFT(TRIM(INDEX(Forms貼り付け!$A:$AZ,77,AA$3)),1),""))</f>
        <v/>
      </c>
      <c r="AB78" s="8">
        <f>IF(AB$3="","",IFERROR(LEFT(TRIM(INDEX(Forms貼り付け!$A:$AZ,77,AB$3)),1),""))</f>
        <v/>
      </c>
      <c r="AC78" s="8">
        <f>IF(AC$3="","",IFERROR(LEFT(TRIM(INDEX(Forms貼り付け!$A:$AZ,77,AC$3)),1),""))</f>
        <v/>
      </c>
      <c r="AD78" s="8">
        <f>IF(AD$3="","",IFERROR(LEFT(TRIM(INDEX(Forms貼り付け!$A:$AZ,77,AD$3)),1),""))</f>
        <v/>
      </c>
      <c r="AE78" s="8">
        <f>IF(AE$3="","",IFERROR(LEFT(TRIM(INDEX(Forms貼り付け!$A:$AZ,77,AE$3)),1),""))</f>
        <v/>
      </c>
      <c r="AF78" s="8">
        <f>IF(AF$3="","",IFERROR(LEFT(TRIM(INDEX(Forms貼り付け!$A:$AZ,77,AF$3)),1),""))</f>
        <v/>
      </c>
      <c r="AG78" s="8">
        <f>IF(AG$3="","",IFERROR(LEFT(TRIM(INDEX(Forms貼り付け!$A:$AZ,77,AG$3)),1),""))</f>
        <v/>
      </c>
      <c r="AH78" s="8">
        <f>IF(AH$3="","",IFERROR(LEFT(TRIM(INDEX(Forms貼り付け!$A:$AZ,77,AH$3)),1),""))</f>
        <v/>
      </c>
      <c r="AI78" s="8">
        <f>IF(AI$3="","",IFERROR(LEFT(TRIM(INDEX(Forms貼り付け!$A:$AZ,77,AI$3)),1),""))</f>
        <v/>
      </c>
      <c r="AJ78" s="8">
        <f>IF(AJ$3="","",IFERROR(LEFT(TRIM(INDEX(Forms貼り付け!$A:$AZ,77,AJ$3)),1),""))</f>
        <v/>
      </c>
      <c r="AK78" s="8">
        <f>IF(AK$3="","",IFERROR(LEFT(TRIM(INDEX(Forms貼り付け!$A:$AZ,77,AK$3)),1),""))</f>
        <v/>
      </c>
      <c r="AL78" s="8">
        <f>IF(AL$3="","",IFERROR(LEFT(TRIM(INDEX(Forms貼り付け!$A:$AZ,77,AL$3)),1),""))</f>
        <v/>
      </c>
      <c r="AM78" s="8">
        <f>IF(AM$3="","",IFERROR(LEFT(TRIM(INDEX(Forms貼り付け!$A:$AZ,77,AM$3)),1),""))</f>
        <v/>
      </c>
      <c r="AN78" s="8">
        <f>IF(AN$3="","",IFERROR(LEFT(TRIM(INDEX(Forms貼り付け!$A:$AZ,77,AN$3)),1),""))</f>
        <v/>
      </c>
      <c r="AO78" s="8">
        <f>IF(AO$3="","",IFERROR(LEFT(TRIM(INDEX(Forms貼り付け!$A:$AZ,77,AO$3)),1),""))</f>
        <v/>
      </c>
      <c r="AP78" s="8">
        <f>IF(AP$3="","",IFERROR(LEFT(TRIM(INDEX(Forms貼り付け!$A:$AZ,77,AP$3)),1),""))</f>
        <v/>
      </c>
      <c r="AQ78" s="8">
        <f>IF(AQ$3="","",IFERROR(LEFT(TRIM(INDEX(Forms貼り付け!$A:$AZ,77,AQ$3)),1),""))</f>
        <v/>
      </c>
      <c r="AR78" s="8">
        <f>IF(AR$3="","",IFERROR(LEFT(TRIM(INDEX(Forms貼り付け!$A:$AZ,77,AR$3)),1),""))</f>
        <v/>
      </c>
      <c r="AS78" s="8">
        <f>IF(AS$3="","",IFERROR(LEFT(TRIM(INDEX(Forms貼り付け!$A:$AZ,77,AS$3)),1),""))</f>
        <v/>
      </c>
      <c r="AT78" s="8">
        <f>IF(AT$3="","",IFERROR(LEFT(TRIM(INDEX(Forms貼り付け!$A:$AZ,77,AT$3)),1),""))</f>
        <v/>
      </c>
      <c r="AU78" s="8">
        <f>IF(AU$3="","",IFERROR(LEFT(TRIM(INDEX(Forms貼り付け!$A:$AZ,77,AU$3)),1),""))</f>
        <v/>
      </c>
      <c r="AV78" s="8">
        <f>IF(AV$3="","",IFERROR(LEFT(TRIM(INDEX(Forms貼り付け!$A:$AZ,77,AV$3)),1),""))</f>
        <v/>
      </c>
      <c r="AW78" s="8">
        <f>IF(AW$3="","",IFERROR(LEFT(TRIM(INDEX(Forms貼り付け!$A:$AZ,77,AW$3)),1),""))</f>
        <v/>
      </c>
      <c r="AX78" s="8">
        <f>IF(AX$3="","",IFERROR(LEFT(TRIM(INDEX(Forms貼り付け!$A:$AZ,77,AX$3)),1),""))</f>
        <v/>
      </c>
      <c r="AY78" s="8">
        <f>IF(AY$3="","",IFERROR(LEFT(TRIM(INDEX(Forms貼り付け!$A:$AZ,77,AY$3)),1),""))</f>
        <v/>
      </c>
      <c r="AZ78" s="8">
        <f>IF(AZ$3="","",IFERROR(LEFT(TRIM(INDEX(Forms貼り付け!$A:$AZ,77,AZ$3)),1),""))</f>
        <v/>
      </c>
      <c r="BA78" s="8">
        <f>IF(BA$3="","",IFERROR(LEFT(TRIM(INDEX(Forms貼り付け!$A:$AZ,77,BA$3)),1),""))</f>
        <v/>
      </c>
      <c r="BB78" s="8">
        <f>IF(BB$3="","",IFERROR(LEFT(TRIM(INDEX(Forms貼り付け!$A:$AZ,77,BB$3)),1),""))</f>
        <v/>
      </c>
      <c r="BC78" s="8">
        <f>IF(BC$3="","",IFERROR(LEFT(TRIM(INDEX(Forms貼り付け!$A:$AZ,77,BC$3)),1),""))</f>
        <v/>
      </c>
    </row>
    <row r="79">
      <c r="A79" s="8" t="inlineStr">
        <is>
          <t>U075</t>
        </is>
      </c>
      <c r="B79" s="9">
        <f>IF($B$3="","",INDEX(Forms貼り付け!$A:$AZ,78,$B$3))</f>
        <v/>
      </c>
      <c r="C79" s="9">
        <f>IF($C$3="","",INDEX(Forms貼り付け!$A:$AZ,78,$C$3))</f>
        <v/>
      </c>
      <c r="D79" s="8">
        <f>IF($D$3="","",INDEX(Forms貼り付け!$A:$AZ,78,$D$3))</f>
        <v/>
      </c>
      <c r="E79" s="8">
        <f>IF($E$3="","",INDEX(Forms貼り付け!$A:$AZ,78,$E$3))</f>
        <v/>
      </c>
      <c r="F79" s="8">
        <f>IF(F$3="","",IFERROR(LEFT(TRIM(INDEX(Forms貼り付け!$A:$AZ,78,F$3)),1),""))</f>
        <v/>
      </c>
      <c r="G79" s="8">
        <f>IF(G$3="","",IFERROR(LEFT(TRIM(INDEX(Forms貼り付け!$A:$AZ,78,G$3)),1),""))</f>
        <v/>
      </c>
      <c r="H79" s="8">
        <f>IF(H$3="","",IFERROR(LEFT(TRIM(INDEX(Forms貼り付け!$A:$AZ,78,H$3)),1),""))</f>
        <v/>
      </c>
      <c r="I79" s="8">
        <f>IF(I$3="","",IFERROR(LEFT(TRIM(INDEX(Forms貼り付け!$A:$AZ,78,I$3)),1),""))</f>
        <v/>
      </c>
      <c r="J79" s="8">
        <f>IF(J$3="","",IFERROR(LEFT(TRIM(INDEX(Forms貼り付け!$A:$AZ,78,J$3)),1),""))</f>
        <v/>
      </c>
      <c r="K79" s="8">
        <f>IF(K$3="","",IFERROR(LEFT(TRIM(INDEX(Forms貼り付け!$A:$AZ,78,K$3)),1),""))</f>
        <v/>
      </c>
      <c r="L79" s="8">
        <f>IF(L$3="","",IFERROR(LEFT(TRIM(INDEX(Forms貼り付け!$A:$AZ,78,L$3)),1),""))</f>
        <v/>
      </c>
      <c r="M79" s="8">
        <f>IF(M$3="","",IFERROR(LEFT(TRIM(INDEX(Forms貼り付け!$A:$AZ,78,M$3)),1),""))</f>
        <v/>
      </c>
      <c r="N79" s="8">
        <f>IF(N$3="","",IFERROR(LEFT(TRIM(INDEX(Forms貼り付け!$A:$AZ,78,N$3)),1),""))</f>
        <v/>
      </c>
      <c r="O79" s="8">
        <f>IF(O$3="","",IFERROR(LEFT(TRIM(INDEX(Forms貼り付け!$A:$AZ,78,O$3)),1),""))</f>
        <v/>
      </c>
      <c r="P79" s="8">
        <f>IF(P$3="","",IFERROR(LEFT(TRIM(INDEX(Forms貼り付け!$A:$AZ,78,P$3)),1),""))</f>
        <v/>
      </c>
      <c r="Q79" s="8">
        <f>IF(Q$3="","",IFERROR(LEFT(TRIM(INDEX(Forms貼り付け!$A:$AZ,78,Q$3)),1),""))</f>
        <v/>
      </c>
      <c r="R79" s="8">
        <f>IF(R$3="","",IFERROR(LEFT(TRIM(INDEX(Forms貼り付け!$A:$AZ,78,R$3)),1),""))</f>
        <v/>
      </c>
      <c r="S79" s="8">
        <f>IF(S$3="","",IFERROR(LEFT(TRIM(INDEX(Forms貼り付け!$A:$AZ,78,S$3)),1),""))</f>
        <v/>
      </c>
      <c r="T79" s="8">
        <f>IF(T$3="","",IFERROR(LEFT(TRIM(INDEX(Forms貼り付け!$A:$AZ,78,T$3)),1),""))</f>
        <v/>
      </c>
      <c r="U79" s="8">
        <f>IF(U$3="","",IFERROR(LEFT(TRIM(INDEX(Forms貼り付け!$A:$AZ,78,U$3)),1),""))</f>
        <v/>
      </c>
      <c r="V79" s="8">
        <f>IF(V$3="","",IFERROR(LEFT(TRIM(INDEX(Forms貼り付け!$A:$AZ,78,V$3)),1),""))</f>
        <v/>
      </c>
      <c r="W79" s="8">
        <f>IF(W$3="","",IFERROR(LEFT(TRIM(INDEX(Forms貼り付け!$A:$AZ,78,W$3)),1),""))</f>
        <v/>
      </c>
      <c r="X79" s="8">
        <f>IF(X$3="","",IFERROR(LEFT(TRIM(INDEX(Forms貼り付け!$A:$AZ,78,X$3)),1),""))</f>
        <v/>
      </c>
      <c r="Y79" s="8">
        <f>IF(Y$3="","",IFERROR(LEFT(TRIM(INDEX(Forms貼り付け!$A:$AZ,78,Y$3)),1),""))</f>
        <v/>
      </c>
      <c r="Z79" s="8">
        <f>IF(Z$3="","",IFERROR(LEFT(TRIM(INDEX(Forms貼り付け!$A:$AZ,78,Z$3)),1),""))</f>
        <v/>
      </c>
      <c r="AA79" s="8">
        <f>IF(AA$3="","",IFERROR(LEFT(TRIM(INDEX(Forms貼り付け!$A:$AZ,78,AA$3)),1),""))</f>
        <v/>
      </c>
      <c r="AB79" s="8">
        <f>IF(AB$3="","",IFERROR(LEFT(TRIM(INDEX(Forms貼り付け!$A:$AZ,78,AB$3)),1),""))</f>
        <v/>
      </c>
      <c r="AC79" s="8">
        <f>IF(AC$3="","",IFERROR(LEFT(TRIM(INDEX(Forms貼り付け!$A:$AZ,78,AC$3)),1),""))</f>
        <v/>
      </c>
      <c r="AD79" s="8">
        <f>IF(AD$3="","",IFERROR(LEFT(TRIM(INDEX(Forms貼り付け!$A:$AZ,78,AD$3)),1),""))</f>
        <v/>
      </c>
      <c r="AE79" s="8">
        <f>IF(AE$3="","",IFERROR(LEFT(TRIM(INDEX(Forms貼り付け!$A:$AZ,78,AE$3)),1),""))</f>
        <v/>
      </c>
      <c r="AF79" s="8">
        <f>IF(AF$3="","",IFERROR(LEFT(TRIM(INDEX(Forms貼り付け!$A:$AZ,78,AF$3)),1),""))</f>
        <v/>
      </c>
      <c r="AG79" s="8">
        <f>IF(AG$3="","",IFERROR(LEFT(TRIM(INDEX(Forms貼り付け!$A:$AZ,78,AG$3)),1),""))</f>
        <v/>
      </c>
      <c r="AH79" s="8">
        <f>IF(AH$3="","",IFERROR(LEFT(TRIM(INDEX(Forms貼り付け!$A:$AZ,78,AH$3)),1),""))</f>
        <v/>
      </c>
      <c r="AI79" s="8">
        <f>IF(AI$3="","",IFERROR(LEFT(TRIM(INDEX(Forms貼り付け!$A:$AZ,78,AI$3)),1),""))</f>
        <v/>
      </c>
      <c r="AJ79" s="8">
        <f>IF(AJ$3="","",IFERROR(LEFT(TRIM(INDEX(Forms貼り付け!$A:$AZ,78,AJ$3)),1),""))</f>
        <v/>
      </c>
      <c r="AK79" s="8">
        <f>IF(AK$3="","",IFERROR(LEFT(TRIM(INDEX(Forms貼り付け!$A:$AZ,78,AK$3)),1),""))</f>
        <v/>
      </c>
      <c r="AL79" s="8">
        <f>IF(AL$3="","",IFERROR(LEFT(TRIM(INDEX(Forms貼り付け!$A:$AZ,78,AL$3)),1),""))</f>
        <v/>
      </c>
      <c r="AM79" s="8">
        <f>IF(AM$3="","",IFERROR(LEFT(TRIM(INDEX(Forms貼り付け!$A:$AZ,78,AM$3)),1),""))</f>
        <v/>
      </c>
      <c r="AN79" s="8">
        <f>IF(AN$3="","",IFERROR(LEFT(TRIM(INDEX(Forms貼り付け!$A:$AZ,78,AN$3)),1),""))</f>
        <v/>
      </c>
      <c r="AO79" s="8">
        <f>IF(AO$3="","",IFERROR(LEFT(TRIM(INDEX(Forms貼り付け!$A:$AZ,78,AO$3)),1),""))</f>
        <v/>
      </c>
      <c r="AP79" s="8">
        <f>IF(AP$3="","",IFERROR(LEFT(TRIM(INDEX(Forms貼り付け!$A:$AZ,78,AP$3)),1),""))</f>
        <v/>
      </c>
      <c r="AQ79" s="8">
        <f>IF(AQ$3="","",IFERROR(LEFT(TRIM(INDEX(Forms貼り付け!$A:$AZ,78,AQ$3)),1),""))</f>
        <v/>
      </c>
      <c r="AR79" s="8">
        <f>IF(AR$3="","",IFERROR(LEFT(TRIM(INDEX(Forms貼り付け!$A:$AZ,78,AR$3)),1),""))</f>
        <v/>
      </c>
      <c r="AS79" s="8">
        <f>IF(AS$3="","",IFERROR(LEFT(TRIM(INDEX(Forms貼り付け!$A:$AZ,78,AS$3)),1),""))</f>
        <v/>
      </c>
      <c r="AT79" s="8">
        <f>IF(AT$3="","",IFERROR(LEFT(TRIM(INDEX(Forms貼り付け!$A:$AZ,78,AT$3)),1),""))</f>
        <v/>
      </c>
      <c r="AU79" s="8">
        <f>IF(AU$3="","",IFERROR(LEFT(TRIM(INDEX(Forms貼り付け!$A:$AZ,78,AU$3)),1),""))</f>
        <v/>
      </c>
      <c r="AV79" s="8">
        <f>IF(AV$3="","",IFERROR(LEFT(TRIM(INDEX(Forms貼り付け!$A:$AZ,78,AV$3)),1),""))</f>
        <v/>
      </c>
      <c r="AW79" s="8">
        <f>IF(AW$3="","",IFERROR(LEFT(TRIM(INDEX(Forms貼り付け!$A:$AZ,78,AW$3)),1),""))</f>
        <v/>
      </c>
      <c r="AX79" s="8">
        <f>IF(AX$3="","",IFERROR(LEFT(TRIM(INDEX(Forms貼り付け!$A:$AZ,78,AX$3)),1),""))</f>
        <v/>
      </c>
      <c r="AY79" s="8">
        <f>IF(AY$3="","",IFERROR(LEFT(TRIM(INDEX(Forms貼り付け!$A:$AZ,78,AY$3)),1),""))</f>
        <v/>
      </c>
      <c r="AZ79" s="8">
        <f>IF(AZ$3="","",IFERROR(LEFT(TRIM(INDEX(Forms貼り付け!$A:$AZ,78,AZ$3)),1),""))</f>
        <v/>
      </c>
      <c r="BA79" s="8">
        <f>IF(BA$3="","",IFERROR(LEFT(TRIM(INDEX(Forms貼り付け!$A:$AZ,78,BA$3)),1),""))</f>
        <v/>
      </c>
      <c r="BB79" s="8">
        <f>IF(BB$3="","",IFERROR(LEFT(TRIM(INDEX(Forms貼り付け!$A:$AZ,78,BB$3)),1),""))</f>
        <v/>
      </c>
      <c r="BC79" s="8">
        <f>IF(BC$3="","",IFERROR(LEFT(TRIM(INDEX(Forms貼り付け!$A:$AZ,78,BC$3)),1),""))</f>
        <v/>
      </c>
    </row>
    <row r="80">
      <c r="A80" s="8" t="inlineStr">
        <is>
          <t>U076</t>
        </is>
      </c>
      <c r="B80" s="9">
        <f>IF($B$3="","",INDEX(Forms貼り付け!$A:$AZ,79,$B$3))</f>
        <v/>
      </c>
      <c r="C80" s="9">
        <f>IF($C$3="","",INDEX(Forms貼り付け!$A:$AZ,79,$C$3))</f>
        <v/>
      </c>
      <c r="D80" s="8">
        <f>IF($D$3="","",INDEX(Forms貼り付け!$A:$AZ,79,$D$3))</f>
        <v/>
      </c>
      <c r="E80" s="8">
        <f>IF($E$3="","",INDEX(Forms貼り付け!$A:$AZ,79,$E$3))</f>
        <v/>
      </c>
      <c r="F80" s="8">
        <f>IF(F$3="","",IFERROR(LEFT(TRIM(INDEX(Forms貼り付け!$A:$AZ,79,F$3)),1),""))</f>
        <v/>
      </c>
      <c r="G80" s="8">
        <f>IF(G$3="","",IFERROR(LEFT(TRIM(INDEX(Forms貼り付け!$A:$AZ,79,G$3)),1),""))</f>
        <v/>
      </c>
      <c r="H80" s="8">
        <f>IF(H$3="","",IFERROR(LEFT(TRIM(INDEX(Forms貼り付け!$A:$AZ,79,H$3)),1),""))</f>
        <v/>
      </c>
      <c r="I80" s="8">
        <f>IF(I$3="","",IFERROR(LEFT(TRIM(INDEX(Forms貼り付け!$A:$AZ,79,I$3)),1),""))</f>
        <v/>
      </c>
      <c r="J80" s="8">
        <f>IF(J$3="","",IFERROR(LEFT(TRIM(INDEX(Forms貼り付け!$A:$AZ,79,J$3)),1),""))</f>
        <v/>
      </c>
      <c r="K80" s="8">
        <f>IF(K$3="","",IFERROR(LEFT(TRIM(INDEX(Forms貼り付け!$A:$AZ,79,K$3)),1),""))</f>
        <v/>
      </c>
      <c r="L80" s="8">
        <f>IF(L$3="","",IFERROR(LEFT(TRIM(INDEX(Forms貼り付け!$A:$AZ,79,L$3)),1),""))</f>
        <v/>
      </c>
      <c r="M80" s="8">
        <f>IF(M$3="","",IFERROR(LEFT(TRIM(INDEX(Forms貼り付け!$A:$AZ,79,M$3)),1),""))</f>
        <v/>
      </c>
      <c r="N80" s="8">
        <f>IF(N$3="","",IFERROR(LEFT(TRIM(INDEX(Forms貼り付け!$A:$AZ,79,N$3)),1),""))</f>
        <v/>
      </c>
      <c r="O80" s="8">
        <f>IF(O$3="","",IFERROR(LEFT(TRIM(INDEX(Forms貼り付け!$A:$AZ,79,O$3)),1),""))</f>
        <v/>
      </c>
      <c r="P80" s="8">
        <f>IF(P$3="","",IFERROR(LEFT(TRIM(INDEX(Forms貼り付け!$A:$AZ,79,P$3)),1),""))</f>
        <v/>
      </c>
      <c r="Q80" s="8">
        <f>IF(Q$3="","",IFERROR(LEFT(TRIM(INDEX(Forms貼り付け!$A:$AZ,79,Q$3)),1),""))</f>
        <v/>
      </c>
      <c r="R80" s="8">
        <f>IF(R$3="","",IFERROR(LEFT(TRIM(INDEX(Forms貼り付け!$A:$AZ,79,R$3)),1),""))</f>
        <v/>
      </c>
      <c r="S80" s="8">
        <f>IF(S$3="","",IFERROR(LEFT(TRIM(INDEX(Forms貼り付け!$A:$AZ,79,S$3)),1),""))</f>
        <v/>
      </c>
      <c r="T80" s="8">
        <f>IF(T$3="","",IFERROR(LEFT(TRIM(INDEX(Forms貼り付け!$A:$AZ,79,T$3)),1),""))</f>
        <v/>
      </c>
      <c r="U80" s="8">
        <f>IF(U$3="","",IFERROR(LEFT(TRIM(INDEX(Forms貼り付け!$A:$AZ,79,U$3)),1),""))</f>
        <v/>
      </c>
      <c r="V80" s="8">
        <f>IF(V$3="","",IFERROR(LEFT(TRIM(INDEX(Forms貼り付け!$A:$AZ,79,V$3)),1),""))</f>
        <v/>
      </c>
      <c r="W80" s="8">
        <f>IF(W$3="","",IFERROR(LEFT(TRIM(INDEX(Forms貼り付け!$A:$AZ,79,W$3)),1),""))</f>
        <v/>
      </c>
      <c r="X80" s="8">
        <f>IF(X$3="","",IFERROR(LEFT(TRIM(INDEX(Forms貼り付け!$A:$AZ,79,X$3)),1),""))</f>
        <v/>
      </c>
      <c r="Y80" s="8">
        <f>IF(Y$3="","",IFERROR(LEFT(TRIM(INDEX(Forms貼り付け!$A:$AZ,79,Y$3)),1),""))</f>
        <v/>
      </c>
      <c r="Z80" s="8">
        <f>IF(Z$3="","",IFERROR(LEFT(TRIM(INDEX(Forms貼り付け!$A:$AZ,79,Z$3)),1),""))</f>
        <v/>
      </c>
      <c r="AA80" s="8">
        <f>IF(AA$3="","",IFERROR(LEFT(TRIM(INDEX(Forms貼り付け!$A:$AZ,79,AA$3)),1),""))</f>
        <v/>
      </c>
      <c r="AB80" s="8">
        <f>IF(AB$3="","",IFERROR(LEFT(TRIM(INDEX(Forms貼り付け!$A:$AZ,79,AB$3)),1),""))</f>
        <v/>
      </c>
      <c r="AC80" s="8">
        <f>IF(AC$3="","",IFERROR(LEFT(TRIM(INDEX(Forms貼り付け!$A:$AZ,79,AC$3)),1),""))</f>
        <v/>
      </c>
      <c r="AD80" s="8">
        <f>IF(AD$3="","",IFERROR(LEFT(TRIM(INDEX(Forms貼り付け!$A:$AZ,79,AD$3)),1),""))</f>
        <v/>
      </c>
      <c r="AE80" s="8">
        <f>IF(AE$3="","",IFERROR(LEFT(TRIM(INDEX(Forms貼り付け!$A:$AZ,79,AE$3)),1),""))</f>
        <v/>
      </c>
      <c r="AF80" s="8">
        <f>IF(AF$3="","",IFERROR(LEFT(TRIM(INDEX(Forms貼り付け!$A:$AZ,79,AF$3)),1),""))</f>
        <v/>
      </c>
      <c r="AG80" s="8">
        <f>IF(AG$3="","",IFERROR(LEFT(TRIM(INDEX(Forms貼り付け!$A:$AZ,79,AG$3)),1),""))</f>
        <v/>
      </c>
      <c r="AH80" s="8">
        <f>IF(AH$3="","",IFERROR(LEFT(TRIM(INDEX(Forms貼り付け!$A:$AZ,79,AH$3)),1),""))</f>
        <v/>
      </c>
      <c r="AI80" s="8">
        <f>IF(AI$3="","",IFERROR(LEFT(TRIM(INDEX(Forms貼り付け!$A:$AZ,79,AI$3)),1),""))</f>
        <v/>
      </c>
      <c r="AJ80" s="8">
        <f>IF(AJ$3="","",IFERROR(LEFT(TRIM(INDEX(Forms貼り付け!$A:$AZ,79,AJ$3)),1),""))</f>
        <v/>
      </c>
      <c r="AK80" s="8">
        <f>IF(AK$3="","",IFERROR(LEFT(TRIM(INDEX(Forms貼り付け!$A:$AZ,79,AK$3)),1),""))</f>
        <v/>
      </c>
      <c r="AL80" s="8">
        <f>IF(AL$3="","",IFERROR(LEFT(TRIM(INDEX(Forms貼り付け!$A:$AZ,79,AL$3)),1),""))</f>
        <v/>
      </c>
      <c r="AM80" s="8">
        <f>IF(AM$3="","",IFERROR(LEFT(TRIM(INDEX(Forms貼り付け!$A:$AZ,79,AM$3)),1),""))</f>
        <v/>
      </c>
      <c r="AN80" s="8">
        <f>IF(AN$3="","",IFERROR(LEFT(TRIM(INDEX(Forms貼り付け!$A:$AZ,79,AN$3)),1),""))</f>
        <v/>
      </c>
      <c r="AO80" s="8">
        <f>IF(AO$3="","",IFERROR(LEFT(TRIM(INDEX(Forms貼り付け!$A:$AZ,79,AO$3)),1),""))</f>
        <v/>
      </c>
      <c r="AP80" s="8">
        <f>IF(AP$3="","",IFERROR(LEFT(TRIM(INDEX(Forms貼り付け!$A:$AZ,79,AP$3)),1),""))</f>
        <v/>
      </c>
      <c r="AQ80" s="8">
        <f>IF(AQ$3="","",IFERROR(LEFT(TRIM(INDEX(Forms貼り付け!$A:$AZ,79,AQ$3)),1),""))</f>
        <v/>
      </c>
      <c r="AR80" s="8">
        <f>IF(AR$3="","",IFERROR(LEFT(TRIM(INDEX(Forms貼り付け!$A:$AZ,79,AR$3)),1),""))</f>
        <v/>
      </c>
      <c r="AS80" s="8">
        <f>IF(AS$3="","",IFERROR(LEFT(TRIM(INDEX(Forms貼り付け!$A:$AZ,79,AS$3)),1),""))</f>
        <v/>
      </c>
      <c r="AT80" s="8">
        <f>IF(AT$3="","",IFERROR(LEFT(TRIM(INDEX(Forms貼り付け!$A:$AZ,79,AT$3)),1),""))</f>
        <v/>
      </c>
      <c r="AU80" s="8">
        <f>IF(AU$3="","",IFERROR(LEFT(TRIM(INDEX(Forms貼り付け!$A:$AZ,79,AU$3)),1),""))</f>
        <v/>
      </c>
      <c r="AV80" s="8">
        <f>IF(AV$3="","",IFERROR(LEFT(TRIM(INDEX(Forms貼り付け!$A:$AZ,79,AV$3)),1),""))</f>
        <v/>
      </c>
      <c r="AW80" s="8">
        <f>IF(AW$3="","",IFERROR(LEFT(TRIM(INDEX(Forms貼り付け!$A:$AZ,79,AW$3)),1),""))</f>
        <v/>
      </c>
      <c r="AX80" s="8">
        <f>IF(AX$3="","",IFERROR(LEFT(TRIM(INDEX(Forms貼り付け!$A:$AZ,79,AX$3)),1),""))</f>
        <v/>
      </c>
      <c r="AY80" s="8">
        <f>IF(AY$3="","",IFERROR(LEFT(TRIM(INDEX(Forms貼り付け!$A:$AZ,79,AY$3)),1),""))</f>
        <v/>
      </c>
      <c r="AZ80" s="8">
        <f>IF(AZ$3="","",IFERROR(LEFT(TRIM(INDEX(Forms貼り付け!$A:$AZ,79,AZ$3)),1),""))</f>
        <v/>
      </c>
      <c r="BA80" s="8">
        <f>IF(BA$3="","",IFERROR(LEFT(TRIM(INDEX(Forms貼り付け!$A:$AZ,79,BA$3)),1),""))</f>
        <v/>
      </c>
      <c r="BB80" s="8">
        <f>IF(BB$3="","",IFERROR(LEFT(TRIM(INDEX(Forms貼り付け!$A:$AZ,79,BB$3)),1),""))</f>
        <v/>
      </c>
      <c r="BC80" s="8">
        <f>IF(BC$3="","",IFERROR(LEFT(TRIM(INDEX(Forms貼り付け!$A:$AZ,79,BC$3)),1),""))</f>
        <v/>
      </c>
    </row>
    <row r="81">
      <c r="A81" s="8" t="inlineStr">
        <is>
          <t>U077</t>
        </is>
      </c>
      <c r="B81" s="9">
        <f>IF($B$3="","",INDEX(Forms貼り付け!$A:$AZ,80,$B$3))</f>
        <v/>
      </c>
      <c r="C81" s="9">
        <f>IF($C$3="","",INDEX(Forms貼り付け!$A:$AZ,80,$C$3))</f>
        <v/>
      </c>
      <c r="D81" s="8">
        <f>IF($D$3="","",INDEX(Forms貼り付け!$A:$AZ,80,$D$3))</f>
        <v/>
      </c>
      <c r="E81" s="8">
        <f>IF($E$3="","",INDEX(Forms貼り付け!$A:$AZ,80,$E$3))</f>
        <v/>
      </c>
      <c r="F81" s="8">
        <f>IF(F$3="","",IFERROR(LEFT(TRIM(INDEX(Forms貼り付け!$A:$AZ,80,F$3)),1),""))</f>
        <v/>
      </c>
      <c r="G81" s="8">
        <f>IF(G$3="","",IFERROR(LEFT(TRIM(INDEX(Forms貼り付け!$A:$AZ,80,G$3)),1),""))</f>
        <v/>
      </c>
      <c r="H81" s="8">
        <f>IF(H$3="","",IFERROR(LEFT(TRIM(INDEX(Forms貼り付け!$A:$AZ,80,H$3)),1),""))</f>
        <v/>
      </c>
      <c r="I81" s="8">
        <f>IF(I$3="","",IFERROR(LEFT(TRIM(INDEX(Forms貼り付け!$A:$AZ,80,I$3)),1),""))</f>
        <v/>
      </c>
      <c r="J81" s="8">
        <f>IF(J$3="","",IFERROR(LEFT(TRIM(INDEX(Forms貼り付け!$A:$AZ,80,J$3)),1),""))</f>
        <v/>
      </c>
      <c r="K81" s="8">
        <f>IF(K$3="","",IFERROR(LEFT(TRIM(INDEX(Forms貼り付け!$A:$AZ,80,K$3)),1),""))</f>
        <v/>
      </c>
      <c r="L81" s="8">
        <f>IF(L$3="","",IFERROR(LEFT(TRIM(INDEX(Forms貼り付け!$A:$AZ,80,L$3)),1),""))</f>
        <v/>
      </c>
      <c r="M81" s="8">
        <f>IF(M$3="","",IFERROR(LEFT(TRIM(INDEX(Forms貼り付け!$A:$AZ,80,M$3)),1),""))</f>
        <v/>
      </c>
      <c r="N81" s="8">
        <f>IF(N$3="","",IFERROR(LEFT(TRIM(INDEX(Forms貼り付け!$A:$AZ,80,N$3)),1),""))</f>
        <v/>
      </c>
      <c r="O81" s="8">
        <f>IF(O$3="","",IFERROR(LEFT(TRIM(INDEX(Forms貼り付け!$A:$AZ,80,O$3)),1),""))</f>
        <v/>
      </c>
      <c r="P81" s="8">
        <f>IF(P$3="","",IFERROR(LEFT(TRIM(INDEX(Forms貼り付け!$A:$AZ,80,P$3)),1),""))</f>
        <v/>
      </c>
      <c r="Q81" s="8">
        <f>IF(Q$3="","",IFERROR(LEFT(TRIM(INDEX(Forms貼り付け!$A:$AZ,80,Q$3)),1),""))</f>
        <v/>
      </c>
      <c r="R81" s="8">
        <f>IF(R$3="","",IFERROR(LEFT(TRIM(INDEX(Forms貼り付け!$A:$AZ,80,R$3)),1),""))</f>
        <v/>
      </c>
      <c r="S81" s="8">
        <f>IF(S$3="","",IFERROR(LEFT(TRIM(INDEX(Forms貼り付け!$A:$AZ,80,S$3)),1),""))</f>
        <v/>
      </c>
      <c r="T81" s="8">
        <f>IF(T$3="","",IFERROR(LEFT(TRIM(INDEX(Forms貼り付け!$A:$AZ,80,T$3)),1),""))</f>
        <v/>
      </c>
      <c r="U81" s="8">
        <f>IF(U$3="","",IFERROR(LEFT(TRIM(INDEX(Forms貼り付け!$A:$AZ,80,U$3)),1),""))</f>
        <v/>
      </c>
      <c r="V81" s="8">
        <f>IF(V$3="","",IFERROR(LEFT(TRIM(INDEX(Forms貼り付け!$A:$AZ,80,V$3)),1),""))</f>
        <v/>
      </c>
      <c r="W81" s="8">
        <f>IF(W$3="","",IFERROR(LEFT(TRIM(INDEX(Forms貼り付け!$A:$AZ,80,W$3)),1),""))</f>
        <v/>
      </c>
      <c r="X81" s="8">
        <f>IF(X$3="","",IFERROR(LEFT(TRIM(INDEX(Forms貼り付け!$A:$AZ,80,X$3)),1),""))</f>
        <v/>
      </c>
      <c r="Y81" s="8">
        <f>IF(Y$3="","",IFERROR(LEFT(TRIM(INDEX(Forms貼り付け!$A:$AZ,80,Y$3)),1),""))</f>
        <v/>
      </c>
      <c r="Z81" s="8">
        <f>IF(Z$3="","",IFERROR(LEFT(TRIM(INDEX(Forms貼り付け!$A:$AZ,80,Z$3)),1),""))</f>
        <v/>
      </c>
      <c r="AA81" s="8">
        <f>IF(AA$3="","",IFERROR(LEFT(TRIM(INDEX(Forms貼り付け!$A:$AZ,80,AA$3)),1),""))</f>
        <v/>
      </c>
      <c r="AB81" s="8">
        <f>IF(AB$3="","",IFERROR(LEFT(TRIM(INDEX(Forms貼り付け!$A:$AZ,80,AB$3)),1),""))</f>
        <v/>
      </c>
      <c r="AC81" s="8">
        <f>IF(AC$3="","",IFERROR(LEFT(TRIM(INDEX(Forms貼り付け!$A:$AZ,80,AC$3)),1),""))</f>
        <v/>
      </c>
      <c r="AD81" s="8">
        <f>IF(AD$3="","",IFERROR(LEFT(TRIM(INDEX(Forms貼り付け!$A:$AZ,80,AD$3)),1),""))</f>
        <v/>
      </c>
      <c r="AE81" s="8">
        <f>IF(AE$3="","",IFERROR(LEFT(TRIM(INDEX(Forms貼り付け!$A:$AZ,80,AE$3)),1),""))</f>
        <v/>
      </c>
      <c r="AF81" s="8">
        <f>IF(AF$3="","",IFERROR(LEFT(TRIM(INDEX(Forms貼り付け!$A:$AZ,80,AF$3)),1),""))</f>
        <v/>
      </c>
      <c r="AG81" s="8">
        <f>IF(AG$3="","",IFERROR(LEFT(TRIM(INDEX(Forms貼り付け!$A:$AZ,80,AG$3)),1),""))</f>
        <v/>
      </c>
      <c r="AH81" s="8">
        <f>IF(AH$3="","",IFERROR(LEFT(TRIM(INDEX(Forms貼り付け!$A:$AZ,80,AH$3)),1),""))</f>
        <v/>
      </c>
      <c r="AI81" s="8">
        <f>IF(AI$3="","",IFERROR(LEFT(TRIM(INDEX(Forms貼り付け!$A:$AZ,80,AI$3)),1),""))</f>
        <v/>
      </c>
      <c r="AJ81" s="8">
        <f>IF(AJ$3="","",IFERROR(LEFT(TRIM(INDEX(Forms貼り付け!$A:$AZ,80,AJ$3)),1),""))</f>
        <v/>
      </c>
      <c r="AK81" s="8">
        <f>IF(AK$3="","",IFERROR(LEFT(TRIM(INDEX(Forms貼り付け!$A:$AZ,80,AK$3)),1),""))</f>
        <v/>
      </c>
      <c r="AL81" s="8">
        <f>IF(AL$3="","",IFERROR(LEFT(TRIM(INDEX(Forms貼り付け!$A:$AZ,80,AL$3)),1),""))</f>
        <v/>
      </c>
      <c r="AM81" s="8">
        <f>IF(AM$3="","",IFERROR(LEFT(TRIM(INDEX(Forms貼り付け!$A:$AZ,80,AM$3)),1),""))</f>
        <v/>
      </c>
      <c r="AN81" s="8">
        <f>IF(AN$3="","",IFERROR(LEFT(TRIM(INDEX(Forms貼り付け!$A:$AZ,80,AN$3)),1),""))</f>
        <v/>
      </c>
      <c r="AO81" s="8">
        <f>IF(AO$3="","",IFERROR(LEFT(TRIM(INDEX(Forms貼り付け!$A:$AZ,80,AO$3)),1),""))</f>
        <v/>
      </c>
      <c r="AP81" s="8">
        <f>IF(AP$3="","",IFERROR(LEFT(TRIM(INDEX(Forms貼り付け!$A:$AZ,80,AP$3)),1),""))</f>
        <v/>
      </c>
      <c r="AQ81" s="8">
        <f>IF(AQ$3="","",IFERROR(LEFT(TRIM(INDEX(Forms貼り付け!$A:$AZ,80,AQ$3)),1),""))</f>
        <v/>
      </c>
      <c r="AR81" s="8">
        <f>IF(AR$3="","",IFERROR(LEFT(TRIM(INDEX(Forms貼り付け!$A:$AZ,80,AR$3)),1),""))</f>
        <v/>
      </c>
      <c r="AS81" s="8">
        <f>IF(AS$3="","",IFERROR(LEFT(TRIM(INDEX(Forms貼り付け!$A:$AZ,80,AS$3)),1),""))</f>
        <v/>
      </c>
      <c r="AT81" s="8">
        <f>IF(AT$3="","",IFERROR(LEFT(TRIM(INDEX(Forms貼り付け!$A:$AZ,80,AT$3)),1),""))</f>
        <v/>
      </c>
      <c r="AU81" s="8">
        <f>IF(AU$3="","",IFERROR(LEFT(TRIM(INDEX(Forms貼り付け!$A:$AZ,80,AU$3)),1),""))</f>
        <v/>
      </c>
      <c r="AV81" s="8">
        <f>IF(AV$3="","",IFERROR(LEFT(TRIM(INDEX(Forms貼り付け!$A:$AZ,80,AV$3)),1),""))</f>
        <v/>
      </c>
      <c r="AW81" s="8">
        <f>IF(AW$3="","",IFERROR(LEFT(TRIM(INDEX(Forms貼り付け!$A:$AZ,80,AW$3)),1),""))</f>
        <v/>
      </c>
      <c r="AX81" s="8">
        <f>IF(AX$3="","",IFERROR(LEFT(TRIM(INDEX(Forms貼り付け!$A:$AZ,80,AX$3)),1),""))</f>
        <v/>
      </c>
      <c r="AY81" s="8">
        <f>IF(AY$3="","",IFERROR(LEFT(TRIM(INDEX(Forms貼り付け!$A:$AZ,80,AY$3)),1),""))</f>
        <v/>
      </c>
      <c r="AZ81" s="8">
        <f>IF(AZ$3="","",IFERROR(LEFT(TRIM(INDEX(Forms貼り付け!$A:$AZ,80,AZ$3)),1),""))</f>
        <v/>
      </c>
      <c r="BA81" s="8">
        <f>IF(BA$3="","",IFERROR(LEFT(TRIM(INDEX(Forms貼り付け!$A:$AZ,80,BA$3)),1),""))</f>
        <v/>
      </c>
      <c r="BB81" s="8">
        <f>IF(BB$3="","",IFERROR(LEFT(TRIM(INDEX(Forms貼り付け!$A:$AZ,80,BB$3)),1),""))</f>
        <v/>
      </c>
      <c r="BC81" s="8">
        <f>IF(BC$3="","",IFERROR(LEFT(TRIM(INDEX(Forms貼り付け!$A:$AZ,80,BC$3)),1),""))</f>
        <v/>
      </c>
    </row>
    <row r="82">
      <c r="A82" s="8" t="inlineStr">
        <is>
          <t>U078</t>
        </is>
      </c>
      <c r="B82" s="9">
        <f>IF($B$3="","",INDEX(Forms貼り付け!$A:$AZ,81,$B$3))</f>
        <v/>
      </c>
      <c r="C82" s="9">
        <f>IF($C$3="","",INDEX(Forms貼り付け!$A:$AZ,81,$C$3))</f>
        <v/>
      </c>
      <c r="D82" s="8">
        <f>IF($D$3="","",INDEX(Forms貼り付け!$A:$AZ,81,$D$3))</f>
        <v/>
      </c>
      <c r="E82" s="8">
        <f>IF($E$3="","",INDEX(Forms貼り付け!$A:$AZ,81,$E$3))</f>
        <v/>
      </c>
      <c r="F82" s="8">
        <f>IF(F$3="","",IFERROR(LEFT(TRIM(INDEX(Forms貼り付け!$A:$AZ,81,F$3)),1),""))</f>
        <v/>
      </c>
      <c r="G82" s="8">
        <f>IF(G$3="","",IFERROR(LEFT(TRIM(INDEX(Forms貼り付け!$A:$AZ,81,G$3)),1),""))</f>
        <v/>
      </c>
      <c r="H82" s="8">
        <f>IF(H$3="","",IFERROR(LEFT(TRIM(INDEX(Forms貼り付け!$A:$AZ,81,H$3)),1),""))</f>
        <v/>
      </c>
      <c r="I82" s="8">
        <f>IF(I$3="","",IFERROR(LEFT(TRIM(INDEX(Forms貼り付け!$A:$AZ,81,I$3)),1),""))</f>
        <v/>
      </c>
      <c r="J82" s="8">
        <f>IF(J$3="","",IFERROR(LEFT(TRIM(INDEX(Forms貼り付け!$A:$AZ,81,J$3)),1),""))</f>
        <v/>
      </c>
      <c r="K82" s="8">
        <f>IF(K$3="","",IFERROR(LEFT(TRIM(INDEX(Forms貼り付け!$A:$AZ,81,K$3)),1),""))</f>
        <v/>
      </c>
      <c r="L82" s="8">
        <f>IF(L$3="","",IFERROR(LEFT(TRIM(INDEX(Forms貼り付け!$A:$AZ,81,L$3)),1),""))</f>
        <v/>
      </c>
      <c r="M82" s="8">
        <f>IF(M$3="","",IFERROR(LEFT(TRIM(INDEX(Forms貼り付け!$A:$AZ,81,M$3)),1),""))</f>
        <v/>
      </c>
      <c r="N82" s="8">
        <f>IF(N$3="","",IFERROR(LEFT(TRIM(INDEX(Forms貼り付け!$A:$AZ,81,N$3)),1),""))</f>
        <v/>
      </c>
      <c r="O82" s="8">
        <f>IF(O$3="","",IFERROR(LEFT(TRIM(INDEX(Forms貼り付け!$A:$AZ,81,O$3)),1),""))</f>
        <v/>
      </c>
      <c r="P82" s="8">
        <f>IF(P$3="","",IFERROR(LEFT(TRIM(INDEX(Forms貼り付け!$A:$AZ,81,P$3)),1),""))</f>
        <v/>
      </c>
      <c r="Q82" s="8">
        <f>IF(Q$3="","",IFERROR(LEFT(TRIM(INDEX(Forms貼り付け!$A:$AZ,81,Q$3)),1),""))</f>
        <v/>
      </c>
      <c r="R82" s="8">
        <f>IF(R$3="","",IFERROR(LEFT(TRIM(INDEX(Forms貼り付け!$A:$AZ,81,R$3)),1),""))</f>
        <v/>
      </c>
      <c r="S82" s="8">
        <f>IF(S$3="","",IFERROR(LEFT(TRIM(INDEX(Forms貼り付け!$A:$AZ,81,S$3)),1),""))</f>
        <v/>
      </c>
      <c r="T82" s="8">
        <f>IF(T$3="","",IFERROR(LEFT(TRIM(INDEX(Forms貼り付け!$A:$AZ,81,T$3)),1),""))</f>
        <v/>
      </c>
      <c r="U82" s="8">
        <f>IF(U$3="","",IFERROR(LEFT(TRIM(INDEX(Forms貼り付け!$A:$AZ,81,U$3)),1),""))</f>
        <v/>
      </c>
      <c r="V82" s="8">
        <f>IF(V$3="","",IFERROR(LEFT(TRIM(INDEX(Forms貼り付け!$A:$AZ,81,V$3)),1),""))</f>
        <v/>
      </c>
      <c r="W82" s="8">
        <f>IF(W$3="","",IFERROR(LEFT(TRIM(INDEX(Forms貼り付け!$A:$AZ,81,W$3)),1),""))</f>
        <v/>
      </c>
      <c r="X82" s="8">
        <f>IF(X$3="","",IFERROR(LEFT(TRIM(INDEX(Forms貼り付け!$A:$AZ,81,X$3)),1),""))</f>
        <v/>
      </c>
      <c r="Y82" s="8">
        <f>IF(Y$3="","",IFERROR(LEFT(TRIM(INDEX(Forms貼り付け!$A:$AZ,81,Y$3)),1),""))</f>
        <v/>
      </c>
      <c r="Z82" s="8">
        <f>IF(Z$3="","",IFERROR(LEFT(TRIM(INDEX(Forms貼り付け!$A:$AZ,81,Z$3)),1),""))</f>
        <v/>
      </c>
      <c r="AA82" s="8">
        <f>IF(AA$3="","",IFERROR(LEFT(TRIM(INDEX(Forms貼り付け!$A:$AZ,81,AA$3)),1),""))</f>
        <v/>
      </c>
      <c r="AB82" s="8">
        <f>IF(AB$3="","",IFERROR(LEFT(TRIM(INDEX(Forms貼り付け!$A:$AZ,81,AB$3)),1),""))</f>
        <v/>
      </c>
      <c r="AC82" s="8">
        <f>IF(AC$3="","",IFERROR(LEFT(TRIM(INDEX(Forms貼り付け!$A:$AZ,81,AC$3)),1),""))</f>
        <v/>
      </c>
      <c r="AD82" s="8">
        <f>IF(AD$3="","",IFERROR(LEFT(TRIM(INDEX(Forms貼り付け!$A:$AZ,81,AD$3)),1),""))</f>
        <v/>
      </c>
      <c r="AE82" s="8">
        <f>IF(AE$3="","",IFERROR(LEFT(TRIM(INDEX(Forms貼り付け!$A:$AZ,81,AE$3)),1),""))</f>
        <v/>
      </c>
      <c r="AF82" s="8">
        <f>IF(AF$3="","",IFERROR(LEFT(TRIM(INDEX(Forms貼り付け!$A:$AZ,81,AF$3)),1),""))</f>
        <v/>
      </c>
      <c r="AG82" s="8">
        <f>IF(AG$3="","",IFERROR(LEFT(TRIM(INDEX(Forms貼り付け!$A:$AZ,81,AG$3)),1),""))</f>
        <v/>
      </c>
      <c r="AH82" s="8">
        <f>IF(AH$3="","",IFERROR(LEFT(TRIM(INDEX(Forms貼り付け!$A:$AZ,81,AH$3)),1),""))</f>
        <v/>
      </c>
      <c r="AI82" s="8">
        <f>IF(AI$3="","",IFERROR(LEFT(TRIM(INDEX(Forms貼り付け!$A:$AZ,81,AI$3)),1),""))</f>
        <v/>
      </c>
      <c r="AJ82" s="8">
        <f>IF(AJ$3="","",IFERROR(LEFT(TRIM(INDEX(Forms貼り付け!$A:$AZ,81,AJ$3)),1),""))</f>
        <v/>
      </c>
      <c r="AK82" s="8">
        <f>IF(AK$3="","",IFERROR(LEFT(TRIM(INDEX(Forms貼り付け!$A:$AZ,81,AK$3)),1),""))</f>
        <v/>
      </c>
      <c r="AL82" s="8">
        <f>IF(AL$3="","",IFERROR(LEFT(TRIM(INDEX(Forms貼り付け!$A:$AZ,81,AL$3)),1),""))</f>
        <v/>
      </c>
      <c r="AM82" s="8">
        <f>IF(AM$3="","",IFERROR(LEFT(TRIM(INDEX(Forms貼り付け!$A:$AZ,81,AM$3)),1),""))</f>
        <v/>
      </c>
      <c r="AN82" s="8">
        <f>IF(AN$3="","",IFERROR(LEFT(TRIM(INDEX(Forms貼り付け!$A:$AZ,81,AN$3)),1),""))</f>
        <v/>
      </c>
      <c r="AO82" s="8">
        <f>IF(AO$3="","",IFERROR(LEFT(TRIM(INDEX(Forms貼り付け!$A:$AZ,81,AO$3)),1),""))</f>
        <v/>
      </c>
      <c r="AP82" s="8">
        <f>IF(AP$3="","",IFERROR(LEFT(TRIM(INDEX(Forms貼り付け!$A:$AZ,81,AP$3)),1),""))</f>
        <v/>
      </c>
      <c r="AQ82" s="8">
        <f>IF(AQ$3="","",IFERROR(LEFT(TRIM(INDEX(Forms貼り付け!$A:$AZ,81,AQ$3)),1),""))</f>
        <v/>
      </c>
      <c r="AR82" s="8">
        <f>IF(AR$3="","",IFERROR(LEFT(TRIM(INDEX(Forms貼り付け!$A:$AZ,81,AR$3)),1),""))</f>
        <v/>
      </c>
      <c r="AS82" s="8">
        <f>IF(AS$3="","",IFERROR(LEFT(TRIM(INDEX(Forms貼り付け!$A:$AZ,81,AS$3)),1),""))</f>
        <v/>
      </c>
      <c r="AT82" s="8">
        <f>IF(AT$3="","",IFERROR(LEFT(TRIM(INDEX(Forms貼り付け!$A:$AZ,81,AT$3)),1),""))</f>
        <v/>
      </c>
      <c r="AU82" s="8">
        <f>IF(AU$3="","",IFERROR(LEFT(TRIM(INDEX(Forms貼り付け!$A:$AZ,81,AU$3)),1),""))</f>
        <v/>
      </c>
      <c r="AV82" s="8">
        <f>IF(AV$3="","",IFERROR(LEFT(TRIM(INDEX(Forms貼り付け!$A:$AZ,81,AV$3)),1),""))</f>
        <v/>
      </c>
      <c r="AW82" s="8">
        <f>IF(AW$3="","",IFERROR(LEFT(TRIM(INDEX(Forms貼り付け!$A:$AZ,81,AW$3)),1),""))</f>
        <v/>
      </c>
      <c r="AX82" s="8">
        <f>IF(AX$3="","",IFERROR(LEFT(TRIM(INDEX(Forms貼り付け!$A:$AZ,81,AX$3)),1),""))</f>
        <v/>
      </c>
      <c r="AY82" s="8">
        <f>IF(AY$3="","",IFERROR(LEFT(TRIM(INDEX(Forms貼り付け!$A:$AZ,81,AY$3)),1),""))</f>
        <v/>
      </c>
      <c r="AZ82" s="8">
        <f>IF(AZ$3="","",IFERROR(LEFT(TRIM(INDEX(Forms貼り付け!$A:$AZ,81,AZ$3)),1),""))</f>
        <v/>
      </c>
      <c r="BA82" s="8">
        <f>IF(BA$3="","",IFERROR(LEFT(TRIM(INDEX(Forms貼り付け!$A:$AZ,81,BA$3)),1),""))</f>
        <v/>
      </c>
      <c r="BB82" s="8">
        <f>IF(BB$3="","",IFERROR(LEFT(TRIM(INDEX(Forms貼り付け!$A:$AZ,81,BB$3)),1),""))</f>
        <v/>
      </c>
      <c r="BC82" s="8">
        <f>IF(BC$3="","",IFERROR(LEFT(TRIM(INDEX(Forms貼り付け!$A:$AZ,81,BC$3)),1),""))</f>
        <v/>
      </c>
    </row>
    <row r="83">
      <c r="A83" s="8" t="inlineStr">
        <is>
          <t>U079</t>
        </is>
      </c>
      <c r="B83" s="9">
        <f>IF($B$3="","",INDEX(Forms貼り付け!$A:$AZ,82,$B$3))</f>
        <v/>
      </c>
      <c r="C83" s="9">
        <f>IF($C$3="","",INDEX(Forms貼り付け!$A:$AZ,82,$C$3))</f>
        <v/>
      </c>
      <c r="D83" s="8">
        <f>IF($D$3="","",INDEX(Forms貼り付け!$A:$AZ,82,$D$3))</f>
        <v/>
      </c>
      <c r="E83" s="8">
        <f>IF($E$3="","",INDEX(Forms貼り付け!$A:$AZ,82,$E$3))</f>
        <v/>
      </c>
      <c r="F83" s="8">
        <f>IF(F$3="","",IFERROR(LEFT(TRIM(INDEX(Forms貼り付け!$A:$AZ,82,F$3)),1),""))</f>
        <v/>
      </c>
      <c r="G83" s="8">
        <f>IF(G$3="","",IFERROR(LEFT(TRIM(INDEX(Forms貼り付け!$A:$AZ,82,G$3)),1),""))</f>
        <v/>
      </c>
      <c r="H83" s="8">
        <f>IF(H$3="","",IFERROR(LEFT(TRIM(INDEX(Forms貼り付け!$A:$AZ,82,H$3)),1),""))</f>
        <v/>
      </c>
      <c r="I83" s="8">
        <f>IF(I$3="","",IFERROR(LEFT(TRIM(INDEX(Forms貼り付け!$A:$AZ,82,I$3)),1),""))</f>
        <v/>
      </c>
      <c r="J83" s="8">
        <f>IF(J$3="","",IFERROR(LEFT(TRIM(INDEX(Forms貼り付け!$A:$AZ,82,J$3)),1),""))</f>
        <v/>
      </c>
      <c r="K83" s="8">
        <f>IF(K$3="","",IFERROR(LEFT(TRIM(INDEX(Forms貼り付け!$A:$AZ,82,K$3)),1),""))</f>
        <v/>
      </c>
      <c r="L83" s="8">
        <f>IF(L$3="","",IFERROR(LEFT(TRIM(INDEX(Forms貼り付け!$A:$AZ,82,L$3)),1),""))</f>
        <v/>
      </c>
      <c r="M83" s="8">
        <f>IF(M$3="","",IFERROR(LEFT(TRIM(INDEX(Forms貼り付け!$A:$AZ,82,M$3)),1),""))</f>
        <v/>
      </c>
      <c r="N83" s="8">
        <f>IF(N$3="","",IFERROR(LEFT(TRIM(INDEX(Forms貼り付け!$A:$AZ,82,N$3)),1),""))</f>
        <v/>
      </c>
      <c r="O83" s="8">
        <f>IF(O$3="","",IFERROR(LEFT(TRIM(INDEX(Forms貼り付け!$A:$AZ,82,O$3)),1),""))</f>
        <v/>
      </c>
      <c r="P83" s="8">
        <f>IF(P$3="","",IFERROR(LEFT(TRIM(INDEX(Forms貼り付け!$A:$AZ,82,P$3)),1),""))</f>
        <v/>
      </c>
      <c r="Q83" s="8">
        <f>IF(Q$3="","",IFERROR(LEFT(TRIM(INDEX(Forms貼り付け!$A:$AZ,82,Q$3)),1),""))</f>
        <v/>
      </c>
      <c r="R83" s="8">
        <f>IF(R$3="","",IFERROR(LEFT(TRIM(INDEX(Forms貼り付け!$A:$AZ,82,R$3)),1),""))</f>
        <v/>
      </c>
      <c r="S83" s="8">
        <f>IF(S$3="","",IFERROR(LEFT(TRIM(INDEX(Forms貼り付け!$A:$AZ,82,S$3)),1),""))</f>
        <v/>
      </c>
      <c r="T83" s="8">
        <f>IF(T$3="","",IFERROR(LEFT(TRIM(INDEX(Forms貼り付け!$A:$AZ,82,T$3)),1),""))</f>
        <v/>
      </c>
      <c r="U83" s="8">
        <f>IF(U$3="","",IFERROR(LEFT(TRIM(INDEX(Forms貼り付け!$A:$AZ,82,U$3)),1),""))</f>
        <v/>
      </c>
      <c r="V83" s="8">
        <f>IF(V$3="","",IFERROR(LEFT(TRIM(INDEX(Forms貼り付け!$A:$AZ,82,V$3)),1),""))</f>
        <v/>
      </c>
      <c r="W83" s="8">
        <f>IF(W$3="","",IFERROR(LEFT(TRIM(INDEX(Forms貼り付け!$A:$AZ,82,W$3)),1),""))</f>
        <v/>
      </c>
      <c r="X83" s="8">
        <f>IF(X$3="","",IFERROR(LEFT(TRIM(INDEX(Forms貼り付け!$A:$AZ,82,X$3)),1),""))</f>
        <v/>
      </c>
      <c r="Y83" s="8">
        <f>IF(Y$3="","",IFERROR(LEFT(TRIM(INDEX(Forms貼り付け!$A:$AZ,82,Y$3)),1),""))</f>
        <v/>
      </c>
      <c r="Z83" s="8">
        <f>IF(Z$3="","",IFERROR(LEFT(TRIM(INDEX(Forms貼り付け!$A:$AZ,82,Z$3)),1),""))</f>
        <v/>
      </c>
      <c r="AA83" s="8">
        <f>IF(AA$3="","",IFERROR(LEFT(TRIM(INDEX(Forms貼り付け!$A:$AZ,82,AA$3)),1),""))</f>
        <v/>
      </c>
      <c r="AB83" s="8">
        <f>IF(AB$3="","",IFERROR(LEFT(TRIM(INDEX(Forms貼り付け!$A:$AZ,82,AB$3)),1),""))</f>
        <v/>
      </c>
      <c r="AC83" s="8">
        <f>IF(AC$3="","",IFERROR(LEFT(TRIM(INDEX(Forms貼り付け!$A:$AZ,82,AC$3)),1),""))</f>
        <v/>
      </c>
      <c r="AD83" s="8">
        <f>IF(AD$3="","",IFERROR(LEFT(TRIM(INDEX(Forms貼り付け!$A:$AZ,82,AD$3)),1),""))</f>
        <v/>
      </c>
      <c r="AE83" s="8">
        <f>IF(AE$3="","",IFERROR(LEFT(TRIM(INDEX(Forms貼り付け!$A:$AZ,82,AE$3)),1),""))</f>
        <v/>
      </c>
      <c r="AF83" s="8">
        <f>IF(AF$3="","",IFERROR(LEFT(TRIM(INDEX(Forms貼り付け!$A:$AZ,82,AF$3)),1),""))</f>
        <v/>
      </c>
      <c r="AG83" s="8">
        <f>IF(AG$3="","",IFERROR(LEFT(TRIM(INDEX(Forms貼り付け!$A:$AZ,82,AG$3)),1),""))</f>
        <v/>
      </c>
      <c r="AH83" s="8">
        <f>IF(AH$3="","",IFERROR(LEFT(TRIM(INDEX(Forms貼り付け!$A:$AZ,82,AH$3)),1),""))</f>
        <v/>
      </c>
      <c r="AI83" s="8">
        <f>IF(AI$3="","",IFERROR(LEFT(TRIM(INDEX(Forms貼り付け!$A:$AZ,82,AI$3)),1),""))</f>
        <v/>
      </c>
      <c r="AJ83" s="8">
        <f>IF(AJ$3="","",IFERROR(LEFT(TRIM(INDEX(Forms貼り付け!$A:$AZ,82,AJ$3)),1),""))</f>
        <v/>
      </c>
      <c r="AK83" s="8">
        <f>IF(AK$3="","",IFERROR(LEFT(TRIM(INDEX(Forms貼り付け!$A:$AZ,82,AK$3)),1),""))</f>
        <v/>
      </c>
      <c r="AL83" s="8">
        <f>IF(AL$3="","",IFERROR(LEFT(TRIM(INDEX(Forms貼り付け!$A:$AZ,82,AL$3)),1),""))</f>
        <v/>
      </c>
      <c r="AM83" s="8">
        <f>IF(AM$3="","",IFERROR(LEFT(TRIM(INDEX(Forms貼り付け!$A:$AZ,82,AM$3)),1),""))</f>
        <v/>
      </c>
      <c r="AN83" s="8">
        <f>IF(AN$3="","",IFERROR(LEFT(TRIM(INDEX(Forms貼り付け!$A:$AZ,82,AN$3)),1),""))</f>
        <v/>
      </c>
      <c r="AO83" s="8">
        <f>IF(AO$3="","",IFERROR(LEFT(TRIM(INDEX(Forms貼り付け!$A:$AZ,82,AO$3)),1),""))</f>
        <v/>
      </c>
      <c r="AP83" s="8">
        <f>IF(AP$3="","",IFERROR(LEFT(TRIM(INDEX(Forms貼り付け!$A:$AZ,82,AP$3)),1),""))</f>
        <v/>
      </c>
      <c r="AQ83" s="8">
        <f>IF(AQ$3="","",IFERROR(LEFT(TRIM(INDEX(Forms貼り付け!$A:$AZ,82,AQ$3)),1),""))</f>
        <v/>
      </c>
      <c r="AR83" s="8">
        <f>IF(AR$3="","",IFERROR(LEFT(TRIM(INDEX(Forms貼り付け!$A:$AZ,82,AR$3)),1),""))</f>
        <v/>
      </c>
      <c r="AS83" s="8">
        <f>IF(AS$3="","",IFERROR(LEFT(TRIM(INDEX(Forms貼り付け!$A:$AZ,82,AS$3)),1),""))</f>
        <v/>
      </c>
      <c r="AT83" s="8">
        <f>IF(AT$3="","",IFERROR(LEFT(TRIM(INDEX(Forms貼り付け!$A:$AZ,82,AT$3)),1),""))</f>
        <v/>
      </c>
      <c r="AU83" s="8">
        <f>IF(AU$3="","",IFERROR(LEFT(TRIM(INDEX(Forms貼り付け!$A:$AZ,82,AU$3)),1),""))</f>
        <v/>
      </c>
      <c r="AV83" s="8">
        <f>IF(AV$3="","",IFERROR(LEFT(TRIM(INDEX(Forms貼り付け!$A:$AZ,82,AV$3)),1),""))</f>
        <v/>
      </c>
      <c r="AW83" s="8">
        <f>IF(AW$3="","",IFERROR(LEFT(TRIM(INDEX(Forms貼り付け!$A:$AZ,82,AW$3)),1),""))</f>
        <v/>
      </c>
      <c r="AX83" s="8">
        <f>IF(AX$3="","",IFERROR(LEFT(TRIM(INDEX(Forms貼り付け!$A:$AZ,82,AX$3)),1),""))</f>
        <v/>
      </c>
      <c r="AY83" s="8">
        <f>IF(AY$3="","",IFERROR(LEFT(TRIM(INDEX(Forms貼り付け!$A:$AZ,82,AY$3)),1),""))</f>
        <v/>
      </c>
      <c r="AZ83" s="8">
        <f>IF(AZ$3="","",IFERROR(LEFT(TRIM(INDEX(Forms貼り付け!$A:$AZ,82,AZ$3)),1),""))</f>
        <v/>
      </c>
      <c r="BA83" s="8">
        <f>IF(BA$3="","",IFERROR(LEFT(TRIM(INDEX(Forms貼り付け!$A:$AZ,82,BA$3)),1),""))</f>
        <v/>
      </c>
      <c r="BB83" s="8">
        <f>IF(BB$3="","",IFERROR(LEFT(TRIM(INDEX(Forms貼り付け!$A:$AZ,82,BB$3)),1),""))</f>
        <v/>
      </c>
      <c r="BC83" s="8">
        <f>IF(BC$3="","",IFERROR(LEFT(TRIM(INDEX(Forms貼り付け!$A:$AZ,82,BC$3)),1),""))</f>
        <v/>
      </c>
    </row>
    <row r="84">
      <c r="A84" s="8" t="inlineStr">
        <is>
          <t>U080</t>
        </is>
      </c>
      <c r="B84" s="9">
        <f>IF($B$3="","",INDEX(Forms貼り付け!$A:$AZ,83,$B$3))</f>
        <v/>
      </c>
      <c r="C84" s="9">
        <f>IF($C$3="","",INDEX(Forms貼り付け!$A:$AZ,83,$C$3))</f>
        <v/>
      </c>
      <c r="D84" s="8">
        <f>IF($D$3="","",INDEX(Forms貼り付け!$A:$AZ,83,$D$3))</f>
        <v/>
      </c>
      <c r="E84" s="8">
        <f>IF($E$3="","",INDEX(Forms貼り付け!$A:$AZ,83,$E$3))</f>
        <v/>
      </c>
      <c r="F84" s="8">
        <f>IF(F$3="","",IFERROR(LEFT(TRIM(INDEX(Forms貼り付け!$A:$AZ,83,F$3)),1),""))</f>
        <v/>
      </c>
      <c r="G84" s="8">
        <f>IF(G$3="","",IFERROR(LEFT(TRIM(INDEX(Forms貼り付け!$A:$AZ,83,G$3)),1),""))</f>
        <v/>
      </c>
      <c r="H84" s="8">
        <f>IF(H$3="","",IFERROR(LEFT(TRIM(INDEX(Forms貼り付け!$A:$AZ,83,H$3)),1),""))</f>
        <v/>
      </c>
      <c r="I84" s="8">
        <f>IF(I$3="","",IFERROR(LEFT(TRIM(INDEX(Forms貼り付け!$A:$AZ,83,I$3)),1),""))</f>
        <v/>
      </c>
      <c r="J84" s="8">
        <f>IF(J$3="","",IFERROR(LEFT(TRIM(INDEX(Forms貼り付け!$A:$AZ,83,J$3)),1),""))</f>
        <v/>
      </c>
      <c r="K84" s="8">
        <f>IF(K$3="","",IFERROR(LEFT(TRIM(INDEX(Forms貼り付け!$A:$AZ,83,K$3)),1),""))</f>
        <v/>
      </c>
      <c r="L84" s="8">
        <f>IF(L$3="","",IFERROR(LEFT(TRIM(INDEX(Forms貼り付け!$A:$AZ,83,L$3)),1),""))</f>
        <v/>
      </c>
      <c r="M84" s="8">
        <f>IF(M$3="","",IFERROR(LEFT(TRIM(INDEX(Forms貼り付け!$A:$AZ,83,M$3)),1),""))</f>
        <v/>
      </c>
      <c r="N84" s="8">
        <f>IF(N$3="","",IFERROR(LEFT(TRIM(INDEX(Forms貼り付け!$A:$AZ,83,N$3)),1),""))</f>
        <v/>
      </c>
      <c r="O84" s="8">
        <f>IF(O$3="","",IFERROR(LEFT(TRIM(INDEX(Forms貼り付け!$A:$AZ,83,O$3)),1),""))</f>
        <v/>
      </c>
      <c r="P84" s="8">
        <f>IF(P$3="","",IFERROR(LEFT(TRIM(INDEX(Forms貼り付け!$A:$AZ,83,P$3)),1),""))</f>
        <v/>
      </c>
      <c r="Q84" s="8">
        <f>IF(Q$3="","",IFERROR(LEFT(TRIM(INDEX(Forms貼り付け!$A:$AZ,83,Q$3)),1),""))</f>
        <v/>
      </c>
      <c r="R84" s="8">
        <f>IF(R$3="","",IFERROR(LEFT(TRIM(INDEX(Forms貼り付け!$A:$AZ,83,R$3)),1),""))</f>
        <v/>
      </c>
      <c r="S84" s="8">
        <f>IF(S$3="","",IFERROR(LEFT(TRIM(INDEX(Forms貼り付け!$A:$AZ,83,S$3)),1),""))</f>
        <v/>
      </c>
      <c r="T84" s="8">
        <f>IF(T$3="","",IFERROR(LEFT(TRIM(INDEX(Forms貼り付け!$A:$AZ,83,T$3)),1),""))</f>
        <v/>
      </c>
      <c r="U84" s="8">
        <f>IF(U$3="","",IFERROR(LEFT(TRIM(INDEX(Forms貼り付け!$A:$AZ,83,U$3)),1),""))</f>
        <v/>
      </c>
      <c r="V84" s="8">
        <f>IF(V$3="","",IFERROR(LEFT(TRIM(INDEX(Forms貼り付け!$A:$AZ,83,V$3)),1),""))</f>
        <v/>
      </c>
      <c r="W84" s="8">
        <f>IF(W$3="","",IFERROR(LEFT(TRIM(INDEX(Forms貼り付け!$A:$AZ,83,W$3)),1),""))</f>
        <v/>
      </c>
      <c r="X84" s="8">
        <f>IF(X$3="","",IFERROR(LEFT(TRIM(INDEX(Forms貼り付け!$A:$AZ,83,X$3)),1),""))</f>
        <v/>
      </c>
      <c r="Y84" s="8">
        <f>IF(Y$3="","",IFERROR(LEFT(TRIM(INDEX(Forms貼り付け!$A:$AZ,83,Y$3)),1),""))</f>
        <v/>
      </c>
      <c r="Z84" s="8">
        <f>IF(Z$3="","",IFERROR(LEFT(TRIM(INDEX(Forms貼り付け!$A:$AZ,83,Z$3)),1),""))</f>
        <v/>
      </c>
      <c r="AA84" s="8">
        <f>IF(AA$3="","",IFERROR(LEFT(TRIM(INDEX(Forms貼り付け!$A:$AZ,83,AA$3)),1),""))</f>
        <v/>
      </c>
      <c r="AB84" s="8">
        <f>IF(AB$3="","",IFERROR(LEFT(TRIM(INDEX(Forms貼り付け!$A:$AZ,83,AB$3)),1),""))</f>
        <v/>
      </c>
      <c r="AC84" s="8">
        <f>IF(AC$3="","",IFERROR(LEFT(TRIM(INDEX(Forms貼り付け!$A:$AZ,83,AC$3)),1),""))</f>
        <v/>
      </c>
      <c r="AD84" s="8">
        <f>IF(AD$3="","",IFERROR(LEFT(TRIM(INDEX(Forms貼り付け!$A:$AZ,83,AD$3)),1),""))</f>
        <v/>
      </c>
      <c r="AE84" s="8">
        <f>IF(AE$3="","",IFERROR(LEFT(TRIM(INDEX(Forms貼り付け!$A:$AZ,83,AE$3)),1),""))</f>
        <v/>
      </c>
      <c r="AF84" s="8">
        <f>IF(AF$3="","",IFERROR(LEFT(TRIM(INDEX(Forms貼り付け!$A:$AZ,83,AF$3)),1),""))</f>
        <v/>
      </c>
      <c r="AG84" s="8">
        <f>IF(AG$3="","",IFERROR(LEFT(TRIM(INDEX(Forms貼り付け!$A:$AZ,83,AG$3)),1),""))</f>
        <v/>
      </c>
      <c r="AH84" s="8">
        <f>IF(AH$3="","",IFERROR(LEFT(TRIM(INDEX(Forms貼り付け!$A:$AZ,83,AH$3)),1),""))</f>
        <v/>
      </c>
      <c r="AI84" s="8">
        <f>IF(AI$3="","",IFERROR(LEFT(TRIM(INDEX(Forms貼り付け!$A:$AZ,83,AI$3)),1),""))</f>
        <v/>
      </c>
      <c r="AJ84" s="8">
        <f>IF(AJ$3="","",IFERROR(LEFT(TRIM(INDEX(Forms貼り付け!$A:$AZ,83,AJ$3)),1),""))</f>
        <v/>
      </c>
      <c r="AK84" s="8">
        <f>IF(AK$3="","",IFERROR(LEFT(TRIM(INDEX(Forms貼り付け!$A:$AZ,83,AK$3)),1),""))</f>
        <v/>
      </c>
      <c r="AL84" s="8">
        <f>IF(AL$3="","",IFERROR(LEFT(TRIM(INDEX(Forms貼り付け!$A:$AZ,83,AL$3)),1),""))</f>
        <v/>
      </c>
      <c r="AM84" s="8">
        <f>IF(AM$3="","",IFERROR(LEFT(TRIM(INDEX(Forms貼り付け!$A:$AZ,83,AM$3)),1),""))</f>
        <v/>
      </c>
      <c r="AN84" s="8">
        <f>IF(AN$3="","",IFERROR(LEFT(TRIM(INDEX(Forms貼り付け!$A:$AZ,83,AN$3)),1),""))</f>
        <v/>
      </c>
      <c r="AO84" s="8">
        <f>IF(AO$3="","",IFERROR(LEFT(TRIM(INDEX(Forms貼り付け!$A:$AZ,83,AO$3)),1),""))</f>
        <v/>
      </c>
      <c r="AP84" s="8">
        <f>IF(AP$3="","",IFERROR(LEFT(TRIM(INDEX(Forms貼り付け!$A:$AZ,83,AP$3)),1),""))</f>
        <v/>
      </c>
      <c r="AQ84" s="8">
        <f>IF(AQ$3="","",IFERROR(LEFT(TRIM(INDEX(Forms貼り付け!$A:$AZ,83,AQ$3)),1),""))</f>
        <v/>
      </c>
      <c r="AR84" s="8">
        <f>IF(AR$3="","",IFERROR(LEFT(TRIM(INDEX(Forms貼り付け!$A:$AZ,83,AR$3)),1),""))</f>
        <v/>
      </c>
      <c r="AS84" s="8">
        <f>IF(AS$3="","",IFERROR(LEFT(TRIM(INDEX(Forms貼り付け!$A:$AZ,83,AS$3)),1),""))</f>
        <v/>
      </c>
      <c r="AT84" s="8">
        <f>IF(AT$3="","",IFERROR(LEFT(TRIM(INDEX(Forms貼り付け!$A:$AZ,83,AT$3)),1),""))</f>
        <v/>
      </c>
      <c r="AU84" s="8">
        <f>IF(AU$3="","",IFERROR(LEFT(TRIM(INDEX(Forms貼り付け!$A:$AZ,83,AU$3)),1),""))</f>
        <v/>
      </c>
      <c r="AV84" s="8">
        <f>IF(AV$3="","",IFERROR(LEFT(TRIM(INDEX(Forms貼り付け!$A:$AZ,83,AV$3)),1),""))</f>
        <v/>
      </c>
      <c r="AW84" s="8">
        <f>IF(AW$3="","",IFERROR(LEFT(TRIM(INDEX(Forms貼り付け!$A:$AZ,83,AW$3)),1),""))</f>
        <v/>
      </c>
      <c r="AX84" s="8">
        <f>IF(AX$3="","",IFERROR(LEFT(TRIM(INDEX(Forms貼り付け!$A:$AZ,83,AX$3)),1),""))</f>
        <v/>
      </c>
      <c r="AY84" s="8">
        <f>IF(AY$3="","",IFERROR(LEFT(TRIM(INDEX(Forms貼り付け!$A:$AZ,83,AY$3)),1),""))</f>
        <v/>
      </c>
      <c r="AZ84" s="8">
        <f>IF(AZ$3="","",IFERROR(LEFT(TRIM(INDEX(Forms貼り付け!$A:$AZ,83,AZ$3)),1),""))</f>
        <v/>
      </c>
      <c r="BA84" s="8">
        <f>IF(BA$3="","",IFERROR(LEFT(TRIM(INDEX(Forms貼り付け!$A:$AZ,83,BA$3)),1),""))</f>
        <v/>
      </c>
      <c r="BB84" s="8">
        <f>IF(BB$3="","",IFERROR(LEFT(TRIM(INDEX(Forms貼り付け!$A:$AZ,83,BB$3)),1),""))</f>
        <v/>
      </c>
      <c r="BC84" s="8">
        <f>IF(BC$3="","",IFERROR(LEFT(TRIM(INDEX(Forms貼り付け!$A:$AZ,83,BC$3)),1),""))</f>
        <v/>
      </c>
    </row>
    <row r="85">
      <c r="A85" s="8" t="inlineStr">
        <is>
          <t>U081</t>
        </is>
      </c>
      <c r="B85" s="9">
        <f>IF($B$3="","",INDEX(Forms貼り付け!$A:$AZ,84,$B$3))</f>
        <v/>
      </c>
      <c r="C85" s="9">
        <f>IF($C$3="","",INDEX(Forms貼り付け!$A:$AZ,84,$C$3))</f>
        <v/>
      </c>
      <c r="D85" s="8">
        <f>IF($D$3="","",INDEX(Forms貼り付け!$A:$AZ,84,$D$3))</f>
        <v/>
      </c>
      <c r="E85" s="8">
        <f>IF($E$3="","",INDEX(Forms貼り付け!$A:$AZ,84,$E$3))</f>
        <v/>
      </c>
      <c r="F85" s="8">
        <f>IF(F$3="","",IFERROR(LEFT(TRIM(INDEX(Forms貼り付け!$A:$AZ,84,F$3)),1),""))</f>
        <v/>
      </c>
      <c r="G85" s="8">
        <f>IF(G$3="","",IFERROR(LEFT(TRIM(INDEX(Forms貼り付け!$A:$AZ,84,G$3)),1),""))</f>
        <v/>
      </c>
      <c r="H85" s="8">
        <f>IF(H$3="","",IFERROR(LEFT(TRIM(INDEX(Forms貼り付け!$A:$AZ,84,H$3)),1),""))</f>
        <v/>
      </c>
      <c r="I85" s="8">
        <f>IF(I$3="","",IFERROR(LEFT(TRIM(INDEX(Forms貼り付け!$A:$AZ,84,I$3)),1),""))</f>
        <v/>
      </c>
      <c r="J85" s="8">
        <f>IF(J$3="","",IFERROR(LEFT(TRIM(INDEX(Forms貼り付け!$A:$AZ,84,J$3)),1),""))</f>
        <v/>
      </c>
      <c r="K85" s="8">
        <f>IF(K$3="","",IFERROR(LEFT(TRIM(INDEX(Forms貼り付け!$A:$AZ,84,K$3)),1),""))</f>
        <v/>
      </c>
      <c r="L85" s="8">
        <f>IF(L$3="","",IFERROR(LEFT(TRIM(INDEX(Forms貼り付け!$A:$AZ,84,L$3)),1),""))</f>
        <v/>
      </c>
      <c r="M85" s="8">
        <f>IF(M$3="","",IFERROR(LEFT(TRIM(INDEX(Forms貼り付け!$A:$AZ,84,M$3)),1),""))</f>
        <v/>
      </c>
      <c r="N85" s="8">
        <f>IF(N$3="","",IFERROR(LEFT(TRIM(INDEX(Forms貼り付け!$A:$AZ,84,N$3)),1),""))</f>
        <v/>
      </c>
      <c r="O85" s="8">
        <f>IF(O$3="","",IFERROR(LEFT(TRIM(INDEX(Forms貼り付け!$A:$AZ,84,O$3)),1),""))</f>
        <v/>
      </c>
      <c r="P85" s="8">
        <f>IF(P$3="","",IFERROR(LEFT(TRIM(INDEX(Forms貼り付け!$A:$AZ,84,P$3)),1),""))</f>
        <v/>
      </c>
      <c r="Q85" s="8">
        <f>IF(Q$3="","",IFERROR(LEFT(TRIM(INDEX(Forms貼り付け!$A:$AZ,84,Q$3)),1),""))</f>
        <v/>
      </c>
      <c r="R85" s="8">
        <f>IF(R$3="","",IFERROR(LEFT(TRIM(INDEX(Forms貼り付け!$A:$AZ,84,R$3)),1),""))</f>
        <v/>
      </c>
      <c r="S85" s="8">
        <f>IF(S$3="","",IFERROR(LEFT(TRIM(INDEX(Forms貼り付け!$A:$AZ,84,S$3)),1),""))</f>
        <v/>
      </c>
      <c r="T85" s="8">
        <f>IF(T$3="","",IFERROR(LEFT(TRIM(INDEX(Forms貼り付け!$A:$AZ,84,T$3)),1),""))</f>
        <v/>
      </c>
      <c r="U85" s="8">
        <f>IF(U$3="","",IFERROR(LEFT(TRIM(INDEX(Forms貼り付け!$A:$AZ,84,U$3)),1),""))</f>
        <v/>
      </c>
      <c r="V85" s="8">
        <f>IF(V$3="","",IFERROR(LEFT(TRIM(INDEX(Forms貼り付け!$A:$AZ,84,V$3)),1),""))</f>
        <v/>
      </c>
      <c r="W85" s="8">
        <f>IF(W$3="","",IFERROR(LEFT(TRIM(INDEX(Forms貼り付け!$A:$AZ,84,W$3)),1),""))</f>
        <v/>
      </c>
      <c r="X85" s="8">
        <f>IF(X$3="","",IFERROR(LEFT(TRIM(INDEX(Forms貼り付け!$A:$AZ,84,X$3)),1),""))</f>
        <v/>
      </c>
      <c r="Y85" s="8">
        <f>IF(Y$3="","",IFERROR(LEFT(TRIM(INDEX(Forms貼り付け!$A:$AZ,84,Y$3)),1),""))</f>
        <v/>
      </c>
      <c r="Z85" s="8">
        <f>IF(Z$3="","",IFERROR(LEFT(TRIM(INDEX(Forms貼り付け!$A:$AZ,84,Z$3)),1),""))</f>
        <v/>
      </c>
      <c r="AA85" s="8">
        <f>IF(AA$3="","",IFERROR(LEFT(TRIM(INDEX(Forms貼り付け!$A:$AZ,84,AA$3)),1),""))</f>
        <v/>
      </c>
      <c r="AB85" s="8">
        <f>IF(AB$3="","",IFERROR(LEFT(TRIM(INDEX(Forms貼り付け!$A:$AZ,84,AB$3)),1),""))</f>
        <v/>
      </c>
      <c r="AC85" s="8">
        <f>IF(AC$3="","",IFERROR(LEFT(TRIM(INDEX(Forms貼り付け!$A:$AZ,84,AC$3)),1),""))</f>
        <v/>
      </c>
      <c r="AD85" s="8">
        <f>IF(AD$3="","",IFERROR(LEFT(TRIM(INDEX(Forms貼り付け!$A:$AZ,84,AD$3)),1),""))</f>
        <v/>
      </c>
      <c r="AE85" s="8">
        <f>IF(AE$3="","",IFERROR(LEFT(TRIM(INDEX(Forms貼り付け!$A:$AZ,84,AE$3)),1),""))</f>
        <v/>
      </c>
      <c r="AF85" s="8">
        <f>IF(AF$3="","",IFERROR(LEFT(TRIM(INDEX(Forms貼り付け!$A:$AZ,84,AF$3)),1),""))</f>
        <v/>
      </c>
      <c r="AG85" s="8">
        <f>IF(AG$3="","",IFERROR(LEFT(TRIM(INDEX(Forms貼り付け!$A:$AZ,84,AG$3)),1),""))</f>
        <v/>
      </c>
      <c r="AH85" s="8">
        <f>IF(AH$3="","",IFERROR(LEFT(TRIM(INDEX(Forms貼り付け!$A:$AZ,84,AH$3)),1),""))</f>
        <v/>
      </c>
      <c r="AI85" s="8">
        <f>IF(AI$3="","",IFERROR(LEFT(TRIM(INDEX(Forms貼り付け!$A:$AZ,84,AI$3)),1),""))</f>
        <v/>
      </c>
      <c r="AJ85" s="8">
        <f>IF(AJ$3="","",IFERROR(LEFT(TRIM(INDEX(Forms貼り付け!$A:$AZ,84,AJ$3)),1),""))</f>
        <v/>
      </c>
      <c r="AK85" s="8">
        <f>IF(AK$3="","",IFERROR(LEFT(TRIM(INDEX(Forms貼り付け!$A:$AZ,84,AK$3)),1),""))</f>
        <v/>
      </c>
      <c r="AL85" s="8">
        <f>IF(AL$3="","",IFERROR(LEFT(TRIM(INDEX(Forms貼り付け!$A:$AZ,84,AL$3)),1),""))</f>
        <v/>
      </c>
      <c r="AM85" s="8">
        <f>IF(AM$3="","",IFERROR(LEFT(TRIM(INDEX(Forms貼り付け!$A:$AZ,84,AM$3)),1),""))</f>
        <v/>
      </c>
      <c r="AN85" s="8">
        <f>IF(AN$3="","",IFERROR(LEFT(TRIM(INDEX(Forms貼り付け!$A:$AZ,84,AN$3)),1),""))</f>
        <v/>
      </c>
      <c r="AO85" s="8">
        <f>IF(AO$3="","",IFERROR(LEFT(TRIM(INDEX(Forms貼り付け!$A:$AZ,84,AO$3)),1),""))</f>
        <v/>
      </c>
      <c r="AP85" s="8">
        <f>IF(AP$3="","",IFERROR(LEFT(TRIM(INDEX(Forms貼り付け!$A:$AZ,84,AP$3)),1),""))</f>
        <v/>
      </c>
      <c r="AQ85" s="8">
        <f>IF(AQ$3="","",IFERROR(LEFT(TRIM(INDEX(Forms貼り付け!$A:$AZ,84,AQ$3)),1),""))</f>
        <v/>
      </c>
      <c r="AR85" s="8">
        <f>IF(AR$3="","",IFERROR(LEFT(TRIM(INDEX(Forms貼り付け!$A:$AZ,84,AR$3)),1),""))</f>
        <v/>
      </c>
      <c r="AS85" s="8">
        <f>IF(AS$3="","",IFERROR(LEFT(TRIM(INDEX(Forms貼り付け!$A:$AZ,84,AS$3)),1),""))</f>
        <v/>
      </c>
      <c r="AT85" s="8">
        <f>IF(AT$3="","",IFERROR(LEFT(TRIM(INDEX(Forms貼り付け!$A:$AZ,84,AT$3)),1),""))</f>
        <v/>
      </c>
      <c r="AU85" s="8">
        <f>IF(AU$3="","",IFERROR(LEFT(TRIM(INDEX(Forms貼り付け!$A:$AZ,84,AU$3)),1),""))</f>
        <v/>
      </c>
      <c r="AV85" s="8">
        <f>IF(AV$3="","",IFERROR(LEFT(TRIM(INDEX(Forms貼り付け!$A:$AZ,84,AV$3)),1),""))</f>
        <v/>
      </c>
      <c r="AW85" s="8">
        <f>IF(AW$3="","",IFERROR(LEFT(TRIM(INDEX(Forms貼り付け!$A:$AZ,84,AW$3)),1),""))</f>
        <v/>
      </c>
      <c r="AX85" s="8">
        <f>IF(AX$3="","",IFERROR(LEFT(TRIM(INDEX(Forms貼り付け!$A:$AZ,84,AX$3)),1),""))</f>
        <v/>
      </c>
      <c r="AY85" s="8">
        <f>IF(AY$3="","",IFERROR(LEFT(TRIM(INDEX(Forms貼り付け!$A:$AZ,84,AY$3)),1),""))</f>
        <v/>
      </c>
      <c r="AZ85" s="8">
        <f>IF(AZ$3="","",IFERROR(LEFT(TRIM(INDEX(Forms貼り付け!$A:$AZ,84,AZ$3)),1),""))</f>
        <v/>
      </c>
      <c r="BA85" s="8">
        <f>IF(BA$3="","",IFERROR(LEFT(TRIM(INDEX(Forms貼り付け!$A:$AZ,84,BA$3)),1),""))</f>
        <v/>
      </c>
      <c r="BB85" s="8">
        <f>IF(BB$3="","",IFERROR(LEFT(TRIM(INDEX(Forms貼り付け!$A:$AZ,84,BB$3)),1),""))</f>
        <v/>
      </c>
      <c r="BC85" s="8">
        <f>IF(BC$3="","",IFERROR(LEFT(TRIM(INDEX(Forms貼り付け!$A:$AZ,84,BC$3)),1),""))</f>
        <v/>
      </c>
    </row>
    <row r="86">
      <c r="A86" s="8" t="inlineStr">
        <is>
          <t>U082</t>
        </is>
      </c>
      <c r="B86" s="9">
        <f>IF($B$3="","",INDEX(Forms貼り付け!$A:$AZ,85,$B$3))</f>
        <v/>
      </c>
      <c r="C86" s="9">
        <f>IF($C$3="","",INDEX(Forms貼り付け!$A:$AZ,85,$C$3))</f>
        <v/>
      </c>
      <c r="D86" s="8">
        <f>IF($D$3="","",INDEX(Forms貼り付け!$A:$AZ,85,$D$3))</f>
        <v/>
      </c>
      <c r="E86" s="8">
        <f>IF($E$3="","",INDEX(Forms貼り付け!$A:$AZ,85,$E$3))</f>
        <v/>
      </c>
      <c r="F86" s="8">
        <f>IF(F$3="","",IFERROR(LEFT(TRIM(INDEX(Forms貼り付け!$A:$AZ,85,F$3)),1),""))</f>
        <v/>
      </c>
      <c r="G86" s="8">
        <f>IF(G$3="","",IFERROR(LEFT(TRIM(INDEX(Forms貼り付け!$A:$AZ,85,G$3)),1),""))</f>
        <v/>
      </c>
      <c r="H86" s="8">
        <f>IF(H$3="","",IFERROR(LEFT(TRIM(INDEX(Forms貼り付け!$A:$AZ,85,H$3)),1),""))</f>
        <v/>
      </c>
      <c r="I86" s="8">
        <f>IF(I$3="","",IFERROR(LEFT(TRIM(INDEX(Forms貼り付け!$A:$AZ,85,I$3)),1),""))</f>
        <v/>
      </c>
      <c r="J86" s="8">
        <f>IF(J$3="","",IFERROR(LEFT(TRIM(INDEX(Forms貼り付け!$A:$AZ,85,J$3)),1),""))</f>
        <v/>
      </c>
      <c r="K86" s="8">
        <f>IF(K$3="","",IFERROR(LEFT(TRIM(INDEX(Forms貼り付け!$A:$AZ,85,K$3)),1),""))</f>
        <v/>
      </c>
      <c r="L86" s="8">
        <f>IF(L$3="","",IFERROR(LEFT(TRIM(INDEX(Forms貼り付け!$A:$AZ,85,L$3)),1),""))</f>
        <v/>
      </c>
      <c r="M86" s="8">
        <f>IF(M$3="","",IFERROR(LEFT(TRIM(INDEX(Forms貼り付け!$A:$AZ,85,M$3)),1),""))</f>
        <v/>
      </c>
      <c r="N86" s="8">
        <f>IF(N$3="","",IFERROR(LEFT(TRIM(INDEX(Forms貼り付け!$A:$AZ,85,N$3)),1),""))</f>
        <v/>
      </c>
      <c r="O86" s="8">
        <f>IF(O$3="","",IFERROR(LEFT(TRIM(INDEX(Forms貼り付け!$A:$AZ,85,O$3)),1),""))</f>
        <v/>
      </c>
      <c r="P86" s="8">
        <f>IF(P$3="","",IFERROR(LEFT(TRIM(INDEX(Forms貼り付け!$A:$AZ,85,P$3)),1),""))</f>
        <v/>
      </c>
      <c r="Q86" s="8">
        <f>IF(Q$3="","",IFERROR(LEFT(TRIM(INDEX(Forms貼り付け!$A:$AZ,85,Q$3)),1),""))</f>
        <v/>
      </c>
      <c r="R86" s="8">
        <f>IF(R$3="","",IFERROR(LEFT(TRIM(INDEX(Forms貼り付け!$A:$AZ,85,R$3)),1),""))</f>
        <v/>
      </c>
      <c r="S86" s="8">
        <f>IF(S$3="","",IFERROR(LEFT(TRIM(INDEX(Forms貼り付け!$A:$AZ,85,S$3)),1),""))</f>
        <v/>
      </c>
      <c r="T86" s="8">
        <f>IF(T$3="","",IFERROR(LEFT(TRIM(INDEX(Forms貼り付け!$A:$AZ,85,T$3)),1),""))</f>
        <v/>
      </c>
      <c r="U86" s="8">
        <f>IF(U$3="","",IFERROR(LEFT(TRIM(INDEX(Forms貼り付け!$A:$AZ,85,U$3)),1),""))</f>
        <v/>
      </c>
      <c r="V86" s="8">
        <f>IF(V$3="","",IFERROR(LEFT(TRIM(INDEX(Forms貼り付け!$A:$AZ,85,V$3)),1),""))</f>
        <v/>
      </c>
      <c r="W86" s="8">
        <f>IF(W$3="","",IFERROR(LEFT(TRIM(INDEX(Forms貼り付け!$A:$AZ,85,W$3)),1),""))</f>
        <v/>
      </c>
      <c r="X86" s="8">
        <f>IF(X$3="","",IFERROR(LEFT(TRIM(INDEX(Forms貼り付け!$A:$AZ,85,X$3)),1),""))</f>
        <v/>
      </c>
      <c r="Y86" s="8">
        <f>IF(Y$3="","",IFERROR(LEFT(TRIM(INDEX(Forms貼り付け!$A:$AZ,85,Y$3)),1),""))</f>
        <v/>
      </c>
      <c r="Z86" s="8">
        <f>IF(Z$3="","",IFERROR(LEFT(TRIM(INDEX(Forms貼り付け!$A:$AZ,85,Z$3)),1),""))</f>
        <v/>
      </c>
      <c r="AA86" s="8">
        <f>IF(AA$3="","",IFERROR(LEFT(TRIM(INDEX(Forms貼り付け!$A:$AZ,85,AA$3)),1),""))</f>
        <v/>
      </c>
      <c r="AB86" s="8">
        <f>IF(AB$3="","",IFERROR(LEFT(TRIM(INDEX(Forms貼り付け!$A:$AZ,85,AB$3)),1),""))</f>
        <v/>
      </c>
      <c r="AC86" s="8">
        <f>IF(AC$3="","",IFERROR(LEFT(TRIM(INDEX(Forms貼り付け!$A:$AZ,85,AC$3)),1),""))</f>
        <v/>
      </c>
      <c r="AD86" s="8">
        <f>IF(AD$3="","",IFERROR(LEFT(TRIM(INDEX(Forms貼り付け!$A:$AZ,85,AD$3)),1),""))</f>
        <v/>
      </c>
      <c r="AE86" s="8">
        <f>IF(AE$3="","",IFERROR(LEFT(TRIM(INDEX(Forms貼り付け!$A:$AZ,85,AE$3)),1),""))</f>
        <v/>
      </c>
      <c r="AF86" s="8">
        <f>IF(AF$3="","",IFERROR(LEFT(TRIM(INDEX(Forms貼り付け!$A:$AZ,85,AF$3)),1),""))</f>
        <v/>
      </c>
      <c r="AG86" s="8">
        <f>IF(AG$3="","",IFERROR(LEFT(TRIM(INDEX(Forms貼り付け!$A:$AZ,85,AG$3)),1),""))</f>
        <v/>
      </c>
      <c r="AH86" s="8">
        <f>IF(AH$3="","",IFERROR(LEFT(TRIM(INDEX(Forms貼り付け!$A:$AZ,85,AH$3)),1),""))</f>
        <v/>
      </c>
      <c r="AI86" s="8">
        <f>IF(AI$3="","",IFERROR(LEFT(TRIM(INDEX(Forms貼り付け!$A:$AZ,85,AI$3)),1),""))</f>
        <v/>
      </c>
      <c r="AJ86" s="8">
        <f>IF(AJ$3="","",IFERROR(LEFT(TRIM(INDEX(Forms貼り付け!$A:$AZ,85,AJ$3)),1),""))</f>
        <v/>
      </c>
      <c r="AK86" s="8">
        <f>IF(AK$3="","",IFERROR(LEFT(TRIM(INDEX(Forms貼り付け!$A:$AZ,85,AK$3)),1),""))</f>
        <v/>
      </c>
      <c r="AL86" s="8">
        <f>IF(AL$3="","",IFERROR(LEFT(TRIM(INDEX(Forms貼り付け!$A:$AZ,85,AL$3)),1),""))</f>
        <v/>
      </c>
      <c r="AM86" s="8">
        <f>IF(AM$3="","",IFERROR(LEFT(TRIM(INDEX(Forms貼り付け!$A:$AZ,85,AM$3)),1),""))</f>
        <v/>
      </c>
      <c r="AN86" s="8">
        <f>IF(AN$3="","",IFERROR(LEFT(TRIM(INDEX(Forms貼り付け!$A:$AZ,85,AN$3)),1),""))</f>
        <v/>
      </c>
      <c r="AO86" s="8">
        <f>IF(AO$3="","",IFERROR(LEFT(TRIM(INDEX(Forms貼り付け!$A:$AZ,85,AO$3)),1),""))</f>
        <v/>
      </c>
      <c r="AP86" s="8">
        <f>IF(AP$3="","",IFERROR(LEFT(TRIM(INDEX(Forms貼り付け!$A:$AZ,85,AP$3)),1),""))</f>
        <v/>
      </c>
      <c r="AQ86" s="8">
        <f>IF(AQ$3="","",IFERROR(LEFT(TRIM(INDEX(Forms貼り付け!$A:$AZ,85,AQ$3)),1),""))</f>
        <v/>
      </c>
      <c r="AR86" s="8">
        <f>IF(AR$3="","",IFERROR(LEFT(TRIM(INDEX(Forms貼り付け!$A:$AZ,85,AR$3)),1),""))</f>
        <v/>
      </c>
      <c r="AS86" s="8">
        <f>IF(AS$3="","",IFERROR(LEFT(TRIM(INDEX(Forms貼り付け!$A:$AZ,85,AS$3)),1),""))</f>
        <v/>
      </c>
      <c r="AT86" s="8">
        <f>IF(AT$3="","",IFERROR(LEFT(TRIM(INDEX(Forms貼り付け!$A:$AZ,85,AT$3)),1),""))</f>
        <v/>
      </c>
      <c r="AU86" s="8">
        <f>IF(AU$3="","",IFERROR(LEFT(TRIM(INDEX(Forms貼り付け!$A:$AZ,85,AU$3)),1),""))</f>
        <v/>
      </c>
      <c r="AV86" s="8">
        <f>IF(AV$3="","",IFERROR(LEFT(TRIM(INDEX(Forms貼り付け!$A:$AZ,85,AV$3)),1),""))</f>
        <v/>
      </c>
      <c r="AW86" s="8">
        <f>IF(AW$3="","",IFERROR(LEFT(TRIM(INDEX(Forms貼り付け!$A:$AZ,85,AW$3)),1),""))</f>
        <v/>
      </c>
      <c r="AX86" s="8">
        <f>IF(AX$3="","",IFERROR(LEFT(TRIM(INDEX(Forms貼り付け!$A:$AZ,85,AX$3)),1),""))</f>
        <v/>
      </c>
      <c r="AY86" s="8">
        <f>IF(AY$3="","",IFERROR(LEFT(TRIM(INDEX(Forms貼り付け!$A:$AZ,85,AY$3)),1),""))</f>
        <v/>
      </c>
      <c r="AZ86" s="8">
        <f>IF(AZ$3="","",IFERROR(LEFT(TRIM(INDEX(Forms貼り付け!$A:$AZ,85,AZ$3)),1),""))</f>
        <v/>
      </c>
      <c r="BA86" s="8">
        <f>IF(BA$3="","",IFERROR(LEFT(TRIM(INDEX(Forms貼り付け!$A:$AZ,85,BA$3)),1),""))</f>
        <v/>
      </c>
      <c r="BB86" s="8">
        <f>IF(BB$3="","",IFERROR(LEFT(TRIM(INDEX(Forms貼り付け!$A:$AZ,85,BB$3)),1),""))</f>
        <v/>
      </c>
      <c r="BC86" s="8">
        <f>IF(BC$3="","",IFERROR(LEFT(TRIM(INDEX(Forms貼り付け!$A:$AZ,85,BC$3)),1),""))</f>
        <v/>
      </c>
    </row>
    <row r="87">
      <c r="A87" s="8" t="inlineStr">
        <is>
          <t>U083</t>
        </is>
      </c>
      <c r="B87" s="9">
        <f>IF($B$3="","",INDEX(Forms貼り付け!$A:$AZ,86,$B$3))</f>
        <v/>
      </c>
      <c r="C87" s="9">
        <f>IF($C$3="","",INDEX(Forms貼り付け!$A:$AZ,86,$C$3))</f>
        <v/>
      </c>
      <c r="D87" s="8">
        <f>IF($D$3="","",INDEX(Forms貼り付け!$A:$AZ,86,$D$3))</f>
        <v/>
      </c>
      <c r="E87" s="8">
        <f>IF($E$3="","",INDEX(Forms貼り付け!$A:$AZ,86,$E$3))</f>
        <v/>
      </c>
      <c r="F87" s="8">
        <f>IF(F$3="","",IFERROR(LEFT(TRIM(INDEX(Forms貼り付け!$A:$AZ,86,F$3)),1),""))</f>
        <v/>
      </c>
      <c r="G87" s="8">
        <f>IF(G$3="","",IFERROR(LEFT(TRIM(INDEX(Forms貼り付け!$A:$AZ,86,G$3)),1),""))</f>
        <v/>
      </c>
      <c r="H87" s="8">
        <f>IF(H$3="","",IFERROR(LEFT(TRIM(INDEX(Forms貼り付け!$A:$AZ,86,H$3)),1),""))</f>
        <v/>
      </c>
      <c r="I87" s="8">
        <f>IF(I$3="","",IFERROR(LEFT(TRIM(INDEX(Forms貼り付け!$A:$AZ,86,I$3)),1),""))</f>
        <v/>
      </c>
      <c r="J87" s="8">
        <f>IF(J$3="","",IFERROR(LEFT(TRIM(INDEX(Forms貼り付け!$A:$AZ,86,J$3)),1),""))</f>
        <v/>
      </c>
      <c r="K87" s="8">
        <f>IF(K$3="","",IFERROR(LEFT(TRIM(INDEX(Forms貼り付け!$A:$AZ,86,K$3)),1),""))</f>
        <v/>
      </c>
      <c r="L87" s="8">
        <f>IF(L$3="","",IFERROR(LEFT(TRIM(INDEX(Forms貼り付け!$A:$AZ,86,L$3)),1),""))</f>
        <v/>
      </c>
      <c r="M87" s="8">
        <f>IF(M$3="","",IFERROR(LEFT(TRIM(INDEX(Forms貼り付け!$A:$AZ,86,M$3)),1),""))</f>
        <v/>
      </c>
      <c r="N87" s="8">
        <f>IF(N$3="","",IFERROR(LEFT(TRIM(INDEX(Forms貼り付け!$A:$AZ,86,N$3)),1),""))</f>
        <v/>
      </c>
      <c r="O87" s="8">
        <f>IF(O$3="","",IFERROR(LEFT(TRIM(INDEX(Forms貼り付け!$A:$AZ,86,O$3)),1),""))</f>
        <v/>
      </c>
      <c r="P87" s="8">
        <f>IF(P$3="","",IFERROR(LEFT(TRIM(INDEX(Forms貼り付け!$A:$AZ,86,P$3)),1),""))</f>
        <v/>
      </c>
      <c r="Q87" s="8">
        <f>IF(Q$3="","",IFERROR(LEFT(TRIM(INDEX(Forms貼り付け!$A:$AZ,86,Q$3)),1),""))</f>
        <v/>
      </c>
      <c r="R87" s="8">
        <f>IF(R$3="","",IFERROR(LEFT(TRIM(INDEX(Forms貼り付け!$A:$AZ,86,R$3)),1),""))</f>
        <v/>
      </c>
      <c r="S87" s="8">
        <f>IF(S$3="","",IFERROR(LEFT(TRIM(INDEX(Forms貼り付け!$A:$AZ,86,S$3)),1),""))</f>
        <v/>
      </c>
      <c r="T87" s="8">
        <f>IF(T$3="","",IFERROR(LEFT(TRIM(INDEX(Forms貼り付け!$A:$AZ,86,T$3)),1),""))</f>
        <v/>
      </c>
      <c r="U87" s="8">
        <f>IF(U$3="","",IFERROR(LEFT(TRIM(INDEX(Forms貼り付け!$A:$AZ,86,U$3)),1),""))</f>
        <v/>
      </c>
      <c r="V87" s="8">
        <f>IF(V$3="","",IFERROR(LEFT(TRIM(INDEX(Forms貼り付け!$A:$AZ,86,V$3)),1),""))</f>
        <v/>
      </c>
      <c r="W87" s="8">
        <f>IF(W$3="","",IFERROR(LEFT(TRIM(INDEX(Forms貼り付け!$A:$AZ,86,W$3)),1),""))</f>
        <v/>
      </c>
      <c r="X87" s="8">
        <f>IF(X$3="","",IFERROR(LEFT(TRIM(INDEX(Forms貼り付け!$A:$AZ,86,X$3)),1),""))</f>
        <v/>
      </c>
      <c r="Y87" s="8">
        <f>IF(Y$3="","",IFERROR(LEFT(TRIM(INDEX(Forms貼り付け!$A:$AZ,86,Y$3)),1),""))</f>
        <v/>
      </c>
      <c r="Z87" s="8">
        <f>IF(Z$3="","",IFERROR(LEFT(TRIM(INDEX(Forms貼り付け!$A:$AZ,86,Z$3)),1),""))</f>
        <v/>
      </c>
      <c r="AA87" s="8">
        <f>IF(AA$3="","",IFERROR(LEFT(TRIM(INDEX(Forms貼り付け!$A:$AZ,86,AA$3)),1),""))</f>
        <v/>
      </c>
      <c r="AB87" s="8">
        <f>IF(AB$3="","",IFERROR(LEFT(TRIM(INDEX(Forms貼り付け!$A:$AZ,86,AB$3)),1),""))</f>
        <v/>
      </c>
      <c r="AC87" s="8">
        <f>IF(AC$3="","",IFERROR(LEFT(TRIM(INDEX(Forms貼り付け!$A:$AZ,86,AC$3)),1),""))</f>
        <v/>
      </c>
      <c r="AD87" s="8">
        <f>IF(AD$3="","",IFERROR(LEFT(TRIM(INDEX(Forms貼り付け!$A:$AZ,86,AD$3)),1),""))</f>
        <v/>
      </c>
      <c r="AE87" s="8">
        <f>IF(AE$3="","",IFERROR(LEFT(TRIM(INDEX(Forms貼り付け!$A:$AZ,86,AE$3)),1),""))</f>
        <v/>
      </c>
      <c r="AF87" s="8">
        <f>IF(AF$3="","",IFERROR(LEFT(TRIM(INDEX(Forms貼り付け!$A:$AZ,86,AF$3)),1),""))</f>
        <v/>
      </c>
      <c r="AG87" s="8">
        <f>IF(AG$3="","",IFERROR(LEFT(TRIM(INDEX(Forms貼り付け!$A:$AZ,86,AG$3)),1),""))</f>
        <v/>
      </c>
      <c r="AH87" s="8">
        <f>IF(AH$3="","",IFERROR(LEFT(TRIM(INDEX(Forms貼り付け!$A:$AZ,86,AH$3)),1),""))</f>
        <v/>
      </c>
      <c r="AI87" s="8">
        <f>IF(AI$3="","",IFERROR(LEFT(TRIM(INDEX(Forms貼り付け!$A:$AZ,86,AI$3)),1),""))</f>
        <v/>
      </c>
      <c r="AJ87" s="8">
        <f>IF(AJ$3="","",IFERROR(LEFT(TRIM(INDEX(Forms貼り付け!$A:$AZ,86,AJ$3)),1),""))</f>
        <v/>
      </c>
      <c r="AK87" s="8">
        <f>IF(AK$3="","",IFERROR(LEFT(TRIM(INDEX(Forms貼り付け!$A:$AZ,86,AK$3)),1),""))</f>
        <v/>
      </c>
      <c r="AL87" s="8">
        <f>IF(AL$3="","",IFERROR(LEFT(TRIM(INDEX(Forms貼り付け!$A:$AZ,86,AL$3)),1),""))</f>
        <v/>
      </c>
      <c r="AM87" s="8">
        <f>IF(AM$3="","",IFERROR(LEFT(TRIM(INDEX(Forms貼り付け!$A:$AZ,86,AM$3)),1),""))</f>
        <v/>
      </c>
      <c r="AN87" s="8">
        <f>IF(AN$3="","",IFERROR(LEFT(TRIM(INDEX(Forms貼り付け!$A:$AZ,86,AN$3)),1),""))</f>
        <v/>
      </c>
      <c r="AO87" s="8">
        <f>IF(AO$3="","",IFERROR(LEFT(TRIM(INDEX(Forms貼り付け!$A:$AZ,86,AO$3)),1),""))</f>
        <v/>
      </c>
      <c r="AP87" s="8">
        <f>IF(AP$3="","",IFERROR(LEFT(TRIM(INDEX(Forms貼り付け!$A:$AZ,86,AP$3)),1),""))</f>
        <v/>
      </c>
      <c r="AQ87" s="8">
        <f>IF(AQ$3="","",IFERROR(LEFT(TRIM(INDEX(Forms貼り付け!$A:$AZ,86,AQ$3)),1),""))</f>
        <v/>
      </c>
      <c r="AR87" s="8">
        <f>IF(AR$3="","",IFERROR(LEFT(TRIM(INDEX(Forms貼り付け!$A:$AZ,86,AR$3)),1),""))</f>
        <v/>
      </c>
      <c r="AS87" s="8">
        <f>IF(AS$3="","",IFERROR(LEFT(TRIM(INDEX(Forms貼り付け!$A:$AZ,86,AS$3)),1),""))</f>
        <v/>
      </c>
      <c r="AT87" s="8">
        <f>IF(AT$3="","",IFERROR(LEFT(TRIM(INDEX(Forms貼り付け!$A:$AZ,86,AT$3)),1),""))</f>
        <v/>
      </c>
      <c r="AU87" s="8">
        <f>IF(AU$3="","",IFERROR(LEFT(TRIM(INDEX(Forms貼り付け!$A:$AZ,86,AU$3)),1),""))</f>
        <v/>
      </c>
      <c r="AV87" s="8">
        <f>IF(AV$3="","",IFERROR(LEFT(TRIM(INDEX(Forms貼り付け!$A:$AZ,86,AV$3)),1),""))</f>
        <v/>
      </c>
      <c r="AW87" s="8">
        <f>IF(AW$3="","",IFERROR(LEFT(TRIM(INDEX(Forms貼り付け!$A:$AZ,86,AW$3)),1),""))</f>
        <v/>
      </c>
      <c r="AX87" s="8">
        <f>IF(AX$3="","",IFERROR(LEFT(TRIM(INDEX(Forms貼り付け!$A:$AZ,86,AX$3)),1),""))</f>
        <v/>
      </c>
      <c r="AY87" s="8">
        <f>IF(AY$3="","",IFERROR(LEFT(TRIM(INDEX(Forms貼り付け!$A:$AZ,86,AY$3)),1),""))</f>
        <v/>
      </c>
      <c r="AZ87" s="8">
        <f>IF(AZ$3="","",IFERROR(LEFT(TRIM(INDEX(Forms貼り付け!$A:$AZ,86,AZ$3)),1),""))</f>
        <v/>
      </c>
      <c r="BA87" s="8">
        <f>IF(BA$3="","",IFERROR(LEFT(TRIM(INDEX(Forms貼り付け!$A:$AZ,86,BA$3)),1),""))</f>
        <v/>
      </c>
      <c r="BB87" s="8">
        <f>IF(BB$3="","",IFERROR(LEFT(TRIM(INDEX(Forms貼り付け!$A:$AZ,86,BB$3)),1),""))</f>
        <v/>
      </c>
      <c r="BC87" s="8">
        <f>IF(BC$3="","",IFERROR(LEFT(TRIM(INDEX(Forms貼り付け!$A:$AZ,86,BC$3)),1),""))</f>
        <v/>
      </c>
    </row>
    <row r="88">
      <c r="A88" s="8" t="inlineStr">
        <is>
          <t>U084</t>
        </is>
      </c>
      <c r="B88" s="9">
        <f>IF($B$3="","",INDEX(Forms貼り付け!$A:$AZ,87,$B$3))</f>
        <v/>
      </c>
      <c r="C88" s="9">
        <f>IF($C$3="","",INDEX(Forms貼り付け!$A:$AZ,87,$C$3))</f>
        <v/>
      </c>
      <c r="D88" s="8">
        <f>IF($D$3="","",INDEX(Forms貼り付け!$A:$AZ,87,$D$3))</f>
        <v/>
      </c>
      <c r="E88" s="8">
        <f>IF($E$3="","",INDEX(Forms貼り付け!$A:$AZ,87,$E$3))</f>
        <v/>
      </c>
      <c r="F88" s="8">
        <f>IF(F$3="","",IFERROR(LEFT(TRIM(INDEX(Forms貼り付け!$A:$AZ,87,F$3)),1),""))</f>
        <v/>
      </c>
      <c r="G88" s="8">
        <f>IF(G$3="","",IFERROR(LEFT(TRIM(INDEX(Forms貼り付け!$A:$AZ,87,G$3)),1),""))</f>
        <v/>
      </c>
      <c r="H88" s="8">
        <f>IF(H$3="","",IFERROR(LEFT(TRIM(INDEX(Forms貼り付け!$A:$AZ,87,H$3)),1),""))</f>
        <v/>
      </c>
      <c r="I88" s="8">
        <f>IF(I$3="","",IFERROR(LEFT(TRIM(INDEX(Forms貼り付け!$A:$AZ,87,I$3)),1),""))</f>
        <v/>
      </c>
      <c r="J88" s="8">
        <f>IF(J$3="","",IFERROR(LEFT(TRIM(INDEX(Forms貼り付け!$A:$AZ,87,J$3)),1),""))</f>
        <v/>
      </c>
      <c r="K88" s="8">
        <f>IF(K$3="","",IFERROR(LEFT(TRIM(INDEX(Forms貼り付け!$A:$AZ,87,K$3)),1),""))</f>
        <v/>
      </c>
      <c r="L88" s="8">
        <f>IF(L$3="","",IFERROR(LEFT(TRIM(INDEX(Forms貼り付け!$A:$AZ,87,L$3)),1),""))</f>
        <v/>
      </c>
      <c r="M88" s="8">
        <f>IF(M$3="","",IFERROR(LEFT(TRIM(INDEX(Forms貼り付け!$A:$AZ,87,M$3)),1),""))</f>
        <v/>
      </c>
      <c r="N88" s="8">
        <f>IF(N$3="","",IFERROR(LEFT(TRIM(INDEX(Forms貼り付け!$A:$AZ,87,N$3)),1),""))</f>
        <v/>
      </c>
      <c r="O88" s="8">
        <f>IF(O$3="","",IFERROR(LEFT(TRIM(INDEX(Forms貼り付け!$A:$AZ,87,O$3)),1),""))</f>
        <v/>
      </c>
      <c r="P88" s="8">
        <f>IF(P$3="","",IFERROR(LEFT(TRIM(INDEX(Forms貼り付け!$A:$AZ,87,P$3)),1),""))</f>
        <v/>
      </c>
      <c r="Q88" s="8">
        <f>IF(Q$3="","",IFERROR(LEFT(TRIM(INDEX(Forms貼り付け!$A:$AZ,87,Q$3)),1),""))</f>
        <v/>
      </c>
      <c r="R88" s="8">
        <f>IF(R$3="","",IFERROR(LEFT(TRIM(INDEX(Forms貼り付け!$A:$AZ,87,R$3)),1),""))</f>
        <v/>
      </c>
      <c r="S88" s="8">
        <f>IF(S$3="","",IFERROR(LEFT(TRIM(INDEX(Forms貼り付け!$A:$AZ,87,S$3)),1),""))</f>
        <v/>
      </c>
      <c r="T88" s="8">
        <f>IF(T$3="","",IFERROR(LEFT(TRIM(INDEX(Forms貼り付け!$A:$AZ,87,T$3)),1),""))</f>
        <v/>
      </c>
      <c r="U88" s="8">
        <f>IF(U$3="","",IFERROR(LEFT(TRIM(INDEX(Forms貼り付け!$A:$AZ,87,U$3)),1),""))</f>
        <v/>
      </c>
      <c r="V88" s="8">
        <f>IF(V$3="","",IFERROR(LEFT(TRIM(INDEX(Forms貼り付け!$A:$AZ,87,V$3)),1),""))</f>
        <v/>
      </c>
      <c r="W88" s="8">
        <f>IF(W$3="","",IFERROR(LEFT(TRIM(INDEX(Forms貼り付け!$A:$AZ,87,W$3)),1),""))</f>
        <v/>
      </c>
      <c r="X88" s="8">
        <f>IF(X$3="","",IFERROR(LEFT(TRIM(INDEX(Forms貼り付け!$A:$AZ,87,X$3)),1),""))</f>
        <v/>
      </c>
      <c r="Y88" s="8">
        <f>IF(Y$3="","",IFERROR(LEFT(TRIM(INDEX(Forms貼り付け!$A:$AZ,87,Y$3)),1),""))</f>
        <v/>
      </c>
      <c r="Z88" s="8">
        <f>IF(Z$3="","",IFERROR(LEFT(TRIM(INDEX(Forms貼り付け!$A:$AZ,87,Z$3)),1),""))</f>
        <v/>
      </c>
      <c r="AA88" s="8">
        <f>IF(AA$3="","",IFERROR(LEFT(TRIM(INDEX(Forms貼り付け!$A:$AZ,87,AA$3)),1),""))</f>
        <v/>
      </c>
      <c r="AB88" s="8">
        <f>IF(AB$3="","",IFERROR(LEFT(TRIM(INDEX(Forms貼り付け!$A:$AZ,87,AB$3)),1),""))</f>
        <v/>
      </c>
      <c r="AC88" s="8">
        <f>IF(AC$3="","",IFERROR(LEFT(TRIM(INDEX(Forms貼り付け!$A:$AZ,87,AC$3)),1),""))</f>
        <v/>
      </c>
      <c r="AD88" s="8">
        <f>IF(AD$3="","",IFERROR(LEFT(TRIM(INDEX(Forms貼り付け!$A:$AZ,87,AD$3)),1),""))</f>
        <v/>
      </c>
      <c r="AE88" s="8">
        <f>IF(AE$3="","",IFERROR(LEFT(TRIM(INDEX(Forms貼り付け!$A:$AZ,87,AE$3)),1),""))</f>
        <v/>
      </c>
      <c r="AF88" s="8">
        <f>IF(AF$3="","",IFERROR(LEFT(TRIM(INDEX(Forms貼り付け!$A:$AZ,87,AF$3)),1),""))</f>
        <v/>
      </c>
      <c r="AG88" s="8">
        <f>IF(AG$3="","",IFERROR(LEFT(TRIM(INDEX(Forms貼り付け!$A:$AZ,87,AG$3)),1),""))</f>
        <v/>
      </c>
      <c r="AH88" s="8">
        <f>IF(AH$3="","",IFERROR(LEFT(TRIM(INDEX(Forms貼り付け!$A:$AZ,87,AH$3)),1),""))</f>
        <v/>
      </c>
      <c r="AI88" s="8">
        <f>IF(AI$3="","",IFERROR(LEFT(TRIM(INDEX(Forms貼り付け!$A:$AZ,87,AI$3)),1),""))</f>
        <v/>
      </c>
      <c r="AJ88" s="8">
        <f>IF(AJ$3="","",IFERROR(LEFT(TRIM(INDEX(Forms貼り付け!$A:$AZ,87,AJ$3)),1),""))</f>
        <v/>
      </c>
      <c r="AK88" s="8">
        <f>IF(AK$3="","",IFERROR(LEFT(TRIM(INDEX(Forms貼り付け!$A:$AZ,87,AK$3)),1),""))</f>
        <v/>
      </c>
      <c r="AL88" s="8">
        <f>IF(AL$3="","",IFERROR(LEFT(TRIM(INDEX(Forms貼り付け!$A:$AZ,87,AL$3)),1),""))</f>
        <v/>
      </c>
      <c r="AM88" s="8">
        <f>IF(AM$3="","",IFERROR(LEFT(TRIM(INDEX(Forms貼り付け!$A:$AZ,87,AM$3)),1),""))</f>
        <v/>
      </c>
      <c r="AN88" s="8">
        <f>IF(AN$3="","",IFERROR(LEFT(TRIM(INDEX(Forms貼り付け!$A:$AZ,87,AN$3)),1),""))</f>
        <v/>
      </c>
      <c r="AO88" s="8">
        <f>IF(AO$3="","",IFERROR(LEFT(TRIM(INDEX(Forms貼り付け!$A:$AZ,87,AO$3)),1),""))</f>
        <v/>
      </c>
      <c r="AP88" s="8">
        <f>IF(AP$3="","",IFERROR(LEFT(TRIM(INDEX(Forms貼り付け!$A:$AZ,87,AP$3)),1),""))</f>
        <v/>
      </c>
      <c r="AQ88" s="8">
        <f>IF(AQ$3="","",IFERROR(LEFT(TRIM(INDEX(Forms貼り付け!$A:$AZ,87,AQ$3)),1),""))</f>
        <v/>
      </c>
      <c r="AR88" s="8">
        <f>IF(AR$3="","",IFERROR(LEFT(TRIM(INDEX(Forms貼り付け!$A:$AZ,87,AR$3)),1),""))</f>
        <v/>
      </c>
      <c r="AS88" s="8">
        <f>IF(AS$3="","",IFERROR(LEFT(TRIM(INDEX(Forms貼り付け!$A:$AZ,87,AS$3)),1),""))</f>
        <v/>
      </c>
      <c r="AT88" s="8">
        <f>IF(AT$3="","",IFERROR(LEFT(TRIM(INDEX(Forms貼り付け!$A:$AZ,87,AT$3)),1),""))</f>
        <v/>
      </c>
      <c r="AU88" s="8">
        <f>IF(AU$3="","",IFERROR(LEFT(TRIM(INDEX(Forms貼り付け!$A:$AZ,87,AU$3)),1),""))</f>
        <v/>
      </c>
      <c r="AV88" s="8">
        <f>IF(AV$3="","",IFERROR(LEFT(TRIM(INDEX(Forms貼り付け!$A:$AZ,87,AV$3)),1),""))</f>
        <v/>
      </c>
      <c r="AW88" s="8">
        <f>IF(AW$3="","",IFERROR(LEFT(TRIM(INDEX(Forms貼り付け!$A:$AZ,87,AW$3)),1),""))</f>
        <v/>
      </c>
      <c r="AX88" s="8">
        <f>IF(AX$3="","",IFERROR(LEFT(TRIM(INDEX(Forms貼り付け!$A:$AZ,87,AX$3)),1),""))</f>
        <v/>
      </c>
      <c r="AY88" s="8">
        <f>IF(AY$3="","",IFERROR(LEFT(TRIM(INDEX(Forms貼り付け!$A:$AZ,87,AY$3)),1),""))</f>
        <v/>
      </c>
      <c r="AZ88" s="8">
        <f>IF(AZ$3="","",IFERROR(LEFT(TRIM(INDEX(Forms貼り付け!$A:$AZ,87,AZ$3)),1),""))</f>
        <v/>
      </c>
      <c r="BA88" s="8">
        <f>IF(BA$3="","",IFERROR(LEFT(TRIM(INDEX(Forms貼り付け!$A:$AZ,87,BA$3)),1),""))</f>
        <v/>
      </c>
      <c r="BB88" s="8">
        <f>IF(BB$3="","",IFERROR(LEFT(TRIM(INDEX(Forms貼り付け!$A:$AZ,87,BB$3)),1),""))</f>
        <v/>
      </c>
      <c r="BC88" s="8">
        <f>IF(BC$3="","",IFERROR(LEFT(TRIM(INDEX(Forms貼り付け!$A:$AZ,87,BC$3)),1),""))</f>
        <v/>
      </c>
    </row>
    <row r="89">
      <c r="A89" s="8" t="inlineStr">
        <is>
          <t>U085</t>
        </is>
      </c>
      <c r="B89" s="9">
        <f>IF($B$3="","",INDEX(Forms貼り付け!$A:$AZ,88,$B$3))</f>
        <v/>
      </c>
      <c r="C89" s="9">
        <f>IF($C$3="","",INDEX(Forms貼り付け!$A:$AZ,88,$C$3))</f>
        <v/>
      </c>
      <c r="D89" s="8">
        <f>IF($D$3="","",INDEX(Forms貼り付け!$A:$AZ,88,$D$3))</f>
        <v/>
      </c>
      <c r="E89" s="8">
        <f>IF($E$3="","",INDEX(Forms貼り付け!$A:$AZ,88,$E$3))</f>
        <v/>
      </c>
      <c r="F89" s="8">
        <f>IF(F$3="","",IFERROR(LEFT(TRIM(INDEX(Forms貼り付け!$A:$AZ,88,F$3)),1),""))</f>
        <v/>
      </c>
      <c r="G89" s="8">
        <f>IF(G$3="","",IFERROR(LEFT(TRIM(INDEX(Forms貼り付け!$A:$AZ,88,G$3)),1),""))</f>
        <v/>
      </c>
      <c r="H89" s="8">
        <f>IF(H$3="","",IFERROR(LEFT(TRIM(INDEX(Forms貼り付け!$A:$AZ,88,H$3)),1),""))</f>
        <v/>
      </c>
      <c r="I89" s="8">
        <f>IF(I$3="","",IFERROR(LEFT(TRIM(INDEX(Forms貼り付け!$A:$AZ,88,I$3)),1),""))</f>
        <v/>
      </c>
      <c r="J89" s="8">
        <f>IF(J$3="","",IFERROR(LEFT(TRIM(INDEX(Forms貼り付け!$A:$AZ,88,J$3)),1),""))</f>
        <v/>
      </c>
      <c r="K89" s="8">
        <f>IF(K$3="","",IFERROR(LEFT(TRIM(INDEX(Forms貼り付け!$A:$AZ,88,K$3)),1),""))</f>
        <v/>
      </c>
      <c r="L89" s="8">
        <f>IF(L$3="","",IFERROR(LEFT(TRIM(INDEX(Forms貼り付け!$A:$AZ,88,L$3)),1),""))</f>
        <v/>
      </c>
      <c r="M89" s="8">
        <f>IF(M$3="","",IFERROR(LEFT(TRIM(INDEX(Forms貼り付け!$A:$AZ,88,M$3)),1),""))</f>
        <v/>
      </c>
      <c r="N89" s="8">
        <f>IF(N$3="","",IFERROR(LEFT(TRIM(INDEX(Forms貼り付け!$A:$AZ,88,N$3)),1),""))</f>
        <v/>
      </c>
      <c r="O89" s="8">
        <f>IF(O$3="","",IFERROR(LEFT(TRIM(INDEX(Forms貼り付け!$A:$AZ,88,O$3)),1),""))</f>
        <v/>
      </c>
      <c r="P89" s="8">
        <f>IF(P$3="","",IFERROR(LEFT(TRIM(INDEX(Forms貼り付け!$A:$AZ,88,P$3)),1),""))</f>
        <v/>
      </c>
      <c r="Q89" s="8">
        <f>IF(Q$3="","",IFERROR(LEFT(TRIM(INDEX(Forms貼り付け!$A:$AZ,88,Q$3)),1),""))</f>
        <v/>
      </c>
      <c r="R89" s="8">
        <f>IF(R$3="","",IFERROR(LEFT(TRIM(INDEX(Forms貼り付け!$A:$AZ,88,R$3)),1),""))</f>
        <v/>
      </c>
      <c r="S89" s="8">
        <f>IF(S$3="","",IFERROR(LEFT(TRIM(INDEX(Forms貼り付け!$A:$AZ,88,S$3)),1),""))</f>
        <v/>
      </c>
      <c r="T89" s="8">
        <f>IF(T$3="","",IFERROR(LEFT(TRIM(INDEX(Forms貼り付け!$A:$AZ,88,T$3)),1),""))</f>
        <v/>
      </c>
      <c r="U89" s="8">
        <f>IF(U$3="","",IFERROR(LEFT(TRIM(INDEX(Forms貼り付け!$A:$AZ,88,U$3)),1),""))</f>
        <v/>
      </c>
      <c r="V89" s="8">
        <f>IF(V$3="","",IFERROR(LEFT(TRIM(INDEX(Forms貼り付け!$A:$AZ,88,V$3)),1),""))</f>
        <v/>
      </c>
      <c r="W89" s="8">
        <f>IF(W$3="","",IFERROR(LEFT(TRIM(INDEX(Forms貼り付け!$A:$AZ,88,W$3)),1),""))</f>
        <v/>
      </c>
      <c r="X89" s="8">
        <f>IF(X$3="","",IFERROR(LEFT(TRIM(INDEX(Forms貼り付け!$A:$AZ,88,X$3)),1),""))</f>
        <v/>
      </c>
      <c r="Y89" s="8">
        <f>IF(Y$3="","",IFERROR(LEFT(TRIM(INDEX(Forms貼り付け!$A:$AZ,88,Y$3)),1),""))</f>
        <v/>
      </c>
      <c r="Z89" s="8">
        <f>IF(Z$3="","",IFERROR(LEFT(TRIM(INDEX(Forms貼り付け!$A:$AZ,88,Z$3)),1),""))</f>
        <v/>
      </c>
      <c r="AA89" s="8">
        <f>IF(AA$3="","",IFERROR(LEFT(TRIM(INDEX(Forms貼り付け!$A:$AZ,88,AA$3)),1),""))</f>
        <v/>
      </c>
      <c r="AB89" s="8">
        <f>IF(AB$3="","",IFERROR(LEFT(TRIM(INDEX(Forms貼り付け!$A:$AZ,88,AB$3)),1),""))</f>
        <v/>
      </c>
      <c r="AC89" s="8">
        <f>IF(AC$3="","",IFERROR(LEFT(TRIM(INDEX(Forms貼り付け!$A:$AZ,88,AC$3)),1),""))</f>
        <v/>
      </c>
      <c r="AD89" s="8">
        <f>IF(AD$3="","",IFERROR(LEFT(TRIM(INDEX(Forms貼り付け!$A:$AZ,88,AD$3)),1),""))</f>
        <v/>
      </c>
      <c r="AE89" s="8">
        <f>IF(AE$3="","",IFERROR(LEFT(TRIM(INDEX(Forms貼り付け!$A:$AZ,88,AE$3)),1),""))</f>
        <v/>
      </c>
      <c r="AF89" s="8">
        <f>IF(AF$3="","",IFERROR(LEFT(TRIM(INDEX(Forms貼り付け!$A:$AZ,88,AF$3)),1),""))</f>
        <v/>
      </c>
      <c r="AG89" s="8">
        <f>IF(AG$3="","",IFERROR(LEFT(TRIM(INDEX(Forms貼り付け!$A:$AZ,88,AG$3)),1),""))</f>
        <v/>
      </c>
      <c r="AH89" s="8">
        <f>IF(AH$3="","",IFERROR(LEFT(TRIM(INDEX(Forms貼り付け!$A:$AZ,88,AH$3)),1),""))</f>
        <v/>
      </c>
      <c r="AI89" s="8">
        <f>IF(AI$3="","",IFERROR(LEFT(TRIM(INDEX(Forms貼り付け!$A:$AZ,88,AI$3)),1),""))</f>
        <v/>
      </c>
      <c r="AJ89" s="8">
        <f>IF(AJ$3="","",IFERROR(LEFT(TRIM(INDEX(Forms貼り付け!$A:$AZ,88,AJ$3)),1),""))</f>
        <v/>
      </c>
      <c r="AK89" s="8">
        <f>IF(AK$3="","",IFERROR(LEFT(TRIM(INDEX(Forms貼り付け!$A:$AZ,88,AK$3)),1),""))</f>
        <v/>
      </c>
      <c r="AL89" s="8">
        <f>IF(AL$3="","",IFERROR(LEFT(TRIM(INDEX(Forms貼り付け!$A:$AZ,88,AL$3)),1),""))</f>
        <v/>
      </c>
      <c r="AM89" s="8">
        <f>IF(AM$3="","",IFERROR(LEFT(TRIM(INDEX(Forms貼り付け!$A:$AZ,88,AM$3)),1),""))</f>
        <v/>
      </c>
      <c r="AN89" s="8">
        <f>IF(AN$3="","",IFERROR(LEFT(TRIM(INDEX(Forms貼り付け!$A:$AZ,88,AN$3)),1),""))</f>
        <v/>
      </c>
      <c r="AO89" s="8">
        <f>IF(AO$3="","",IFERROR(LEFT(TRIM(INDEX(Forms貼り付け!$A:$AZ,88,AO$3)),1),""))</f>
        <v/>
      </c>
      <c r="AP89" s="8">
        <f>IF(AP$3="","",IFERROR(LEFT(TRIM(INDEX(Forms貼り付け!$A:$AZ,88,AP$3)),1),""))</f>
        <v/>
      </c>
      <c r="AQ89" s="8">
        <f>IF(AQ$3="","",IFERROR(LEFT(TRIM(INDEX(Forms貼り付け!$A:$AZ,88,AQ$3)),1),""))</f>
        <v/>
      </c>
      <c r="AR89" s="8">
        <f>IF(AR$3="","",IFERROR(LEFT(TRIM(INDEX(Forms貼り付け!$A:$AZ,88,AR$3)),1),""))</f>
        <v/>
      </c>
      <c r="AS89" s="8">
        <f>IF(AS$3="","",IFERROR(LEFT(TRIM(INDEX(Forms貼り付け!$A:$AZ,88,AS$3)),1),""))</f>
        <v/>
      </c>
      <c r="AT89" s="8">
        <f>IF(AT$3="","",IFERROR(LEFT(TRIM(INDEX(Forms貼り付け!$A:$AZ,88,AT$3)),1),""))</f>
        <v/>
      </c>
      <c r="AU89" s="8">
        <f>IF(AU$3="","",IFERROR(LEFT(TRIM(INDEX(Forms貼り付け!$A:$AZ,88,AU$3)),1),""))</f>
        <v/>
      </c>
      <c r="AV89" s="8">
        <f>IF(AV$3="","",IFERROR(LEFT(TRIM(INDEX(Forms貼り付け!$A:$AZ,88,AV$3)),1),""))</f>
        <v/>
      </c>
      <c r="AW89" s="8">
        <f>IF(AW$3="","",IFERROR(LEFT(TRIM(INDEX(Forms貼り付け!$A:$AZ,88,AW$3)),1),""))</f>
        <v/>
      </c>
      <c r="AX89" s="8">
        <f>IF(AX$3="","",IFERROR(LEFT(TRIM(INDEX(Forms貼り付け!$A:$AZ,88,AX$3)),1),""))</f>
        <v/>
      </c>
      <c r="AY89" s="8">
        <f>IF(AY$3="","",IFERROR(LEFT(TRIM(INDEX(Forms貼り付け!$A:$AZ,88,AY$3)),1),""))</f>
        <v/>
      </c>
      <c r="AZ89" s="8">
        <f>IF(AZ$3="","",IFERROR(LEFT(TRIM(INDEX(Forms貼り付け!$A:$AZ,88,AZ$3)),1),""))</f>
        <v/>
      </c>
      <c r="BA89" s="8">
        <f>IF(BA$3="","",IFERROR(LEFT(TRIM(INDEX(Forms貼り付け!$A:$AZ,88,BA$3)),1),""))</f>
        <v/>
      </c>
      <c r="BB89" s="8">
        <f>IF(BB$3="","",IFERROR(LEFT(TRIM(INDEX(Forms貼り付け!$A:$AZ,88,BB$3)),1),""))</f>
        <v/>
      </c>
      <c r="BC89" s="8">
        <f>IF(BC$3="","",IFERROR(LEFT(TRIM(INDEX(Forms貼り付け!$A:$AZ,88,BC$3)),1),""))</f>
        <v/>
      </c>
    </row>
    <row r="90">
      <c r="A90" s="8" t="inlineStr">
        <is>
          <t>U086</t>
        </is>
      </c>
      <c r="B90" s="9">
        <f>IF($B$3="","",INDEX(Forms貼り付け!$A:$AZ,89,$B$3))</f>
        <v/>
      </c>
      <c r="C90" s="9">
        <f>IF($C$3="","",INDEX(Forms貼り付け!$A:$AZ,89,$C$3))</f>
        <v/>
      </c>
      <c r="D90" s="8">
        <f>IF($D$3="","",INDEX(Forms貼り付け!$A:$AZ,89,$D$3))</f>
        <v/>
      </c>
      <c r="E90" s="8">
        <f>IF($E$3="","",INDEX(Forms貼り付け!$A:$AZ,89,$E$3))</f>
        <v/>
      </c>
      <c r="F90" s="8">
        <f>IF(F$3="","",IFERROR(LEFT(TRIM(INDEX(Forms貼り付け!$A:$AZ,89,F$3)),1),""))</f>
        <v/>
      </c>
      <c r="G90" s="8">
        <f>IF(G$3="","",IFERROR(LEFT(TRIM(INDEX(Forms貼り付け!$A:$AZ,89,G$3)),1),""))</f>
        <v/>
      </c>
      <c r="H90" s="8">
        <f>IF(H$3="","",IFERROR(LEFT(TRIM(INDEX(Forms貼り付け!$A:$AZ,89,H$3)),1),""))</f>
        <v/>
      </c>
      <c r="I90" s="8">
        <f>IF(I$3="","",IFERROR(LEFT(TRIM(INDEX(Forms貼り付け!$A:$AZ,89,I$3)),1),""))</f>
        <v/>
      </c>
      <c r="J90" s="8">
        <f>IF(J$3="","",IFERROR(LEFT(TRIM(INDEX(Forms貼り付け!$A:$AZ,89,J$3)),1),""))</f>
        <v/>
      </c>
      <c r="K90" s="8">
        <f>IF(K$3="","",IFERROR(LEFT(TRIM(INDEX(Forms貼り付け!$A:$AZ,89,K$3)),1),""))</f>
        <v/>
      </c>
      <c r="L90" s="8">
        <f>IF(L$3="","",IFERROR(LEFT(TRIM(INDEX(Forms貼り付け!$A:$AZ,89,L$3)),1),""))</f>
        <v/>
      </c>
      <c r="M90" s="8">
        <f>IF(M$3="","",IFERROR(LEFT(TRIM(INDEX(Forms貼り付け!$A:$AZ,89,M$3)),1),""))</f>
        <v/>
      </c>
      <c r="N90" s="8">
        <f>IF(N$3="","",IFERROR(LEFT(TRIM(INDEX(Forms貼り付け!$A:$AZ,89,N$3)),1),""))</f>
        <v/>
      </c>
      <c r="O90" s="8">
        <f>IF(O$3="","",IFERROR(LEFT(TRIM(INDEX(Forms貼り付け!$A:$AZ,89,O$3)),1),""))</f>
        <v/>
      </c>
      <c r="P90" s="8">
        <f>IF(P$3="","",IFERROR(LEFT(TRIM(INDEX(Forms貼り付け!$A:$AZ,89,P$3)),1),""))</f>
        <v/>
      </c>
      <c r="Q90" s="8">
        <f>IF(Q$3="","",IFERROR(LEFT(TRIM(INDEX(Forms貼り付け!$A:$AZ,89,Q$3)),1),""))</f>
        <v/>
      </c>
      <c r="R90" s="8">
        <f>IF(R$3="","",IFERROR(LEFT(TRIM(INDEX(Forms貼り付け!$A:$AZ,89,R$3)),1),""))</f>
        <v/>
      </c>
      <c r="S90" s="8">
        <f>IF(S$3="","",IFERROR(LEFT(TRIM(INDEX(Forms貼り付け!$A:$AZ,89,S$3)),1),""))</f>
        <v/>
      </c>
      <c r="T90" s="8">
        <f>IF(T$3="","",IFERROR(LEFT(TRIM(INDEX(Forms貼り付け!$A:$AZ,89,T$3)),1),""))</f>
        <v/>
      </c>
      <c r="U90" s="8">
        <f>IF(U$3="","",IFERROR(LEFT(TRIM(INDEX(Forms貼り付け!$A:$AZ,89,U$3)),1),""))</f>
        <v/>
      </c>
      <c r="V90" s="8">
        <f>IF(V$3="","",IFERROR(LEFT(TRIM(INDEX(Forms貼り付け!$A:$AZ,89,V$3)),1),""))</f>
        <v/>
      </c>
      <c r="W90" s="8">
        <f>IF(W$3="","",IFERROR(LEFT(TRIM(INDEX(Forms貼り付け!$A:$AZ,89,W$3)),1),""))</f>
        <v/>
      </c>
      <c r="X90" s="8">
        <f>IF(X$3="","",IFERROR(LEFT(TRIM(INDEX(Forms貼り付け!$A:$AZ,89,X$3)),1),""))</f>
        <v/>
      </c>
      <c r="Y90" s="8">
        <f>IF(Y$3="","",IFERROR(LEFT(TRIM(INDEX(Forms貼り付け!$A:$AZ,89,Y$3)),1),""))</f>
        <v/>
      </c>
      <c r="Z90" s="8">
        <f>IF(Z$3="","",IFERROR(LEFT(TRIM(INDEX(Forms貼り付け!$A:$AZ,89,Z$3)),1),""))</f>
        <v/>
      </c>
      <c r="AA90" s="8">
        <f>IF(AA$3="","",IFERROR(LEFT(TRIM(INDEX(Forms貼り付け!$A:$AZ,89,AA$3)),1),""))</f>
        <v/>
      </c>
      <c r="AB90" s="8">
        <f>IF(AB$3="","",IFERROR(LEFT(TRIM(INDEX(Forms貼り付け!$A:$AZ,89,AB$3)),1),""))</f>
        <v/>
      </c>
      <c r="AC90" s="8">
        <f>IF(AC$3="","",IFERROR(LEFT(TRIM(INDEX(Forms貼り付け!$A:$AZ,89,AC$3)),1),""))</f>
        <v/>
      </c>
      <c r="AD90" s="8">
        <f>IF(AD$3="","",IFERROR(LEFT(TRIM(INDEX(Forms貼り付け!$A:$AZ,89,AD$3)),1),""))</f>
        <v/>
      </c>
      <c r="AE90" s="8">
        <f>IF(AE$3="","",IFERROR(LEFT(TRIM(INDEX(Forms貼り付け!$A:$AZ,89,AE$3)),1),""))</f>
        <v/>
      </c>
      <c r="AF90" s="8">
        <f>IF(AF$3="","",IFERROR(LEFT(TRIM(INDEX(Forms貼り付け!$A:$AZ,89,AF$3)),1),""))</f>
        <v/>
      </c>
      <c r="AG90" s="8">
        <f>IF(AG$3="","",IFERROR(LEFT(TRIM(INDEX(Forms貼り付け!$A:$AZ,89,AG$3)),1),""))</f>
        <v/>
      </c>
      <c r="AH90" s="8">
        <f>IF(AH$3="","",IFERROR(LEFT(TRIM(INDEX(Forms貼り付け!$A:$AZ,89,AH$3)),1),""))</f>
        <v/>
      </c>
      <c r="AI90" s="8">
        <f>IF(AI$3="","",IFERROR(LEFT(TRIM(INDEX(Forms貼り付け!$A:$AZ,89,AI$3)),1),""))</f>
        <v/>
      </c>
      <c r="AJ90" s="8">
        <f>IF(AJ$3="","",IFERROR(LEFT(TRIM(INDEX(Forms貼り付け!$A:$AZ,89,AJ$3)),1),""))</f>
        <v/>
      </c>
      <c r="AK90" s="8">
        <f>IF(AK$3="","",IFERROR(LEFT(TRIM(INDEX(Forms貼り付け!$A:$AZ,89,AK$3)),1),""))</f>
        <v/>
      </c>
      <c r="AL90" s="8">
        <f>IF(AL$3="","",IFERROR(LEFT(TRIM(INDEX(Forms貼り付け!$A:$AZ,89,AL$3)),1),""))</f>
        <v/>
      </c>
      <c r="AM90" s="8">
        <f>IF(AM$3="","",IFERROR(LEFT(TRIM(INDEX(Forms貼り付け!$A:$AZ,89,AM$3)),1),""))</f>
        <v/>
      </c>
      <c r="AN90" s="8">
        <f>IF(AN$3="","",IFERROR(LEFT(TRIM(INDEX(Forms貼り付け!$A:$AZ,89,AN$3)),1),""))</f>
        <v/>
      </c>
      <c r="AO90" s="8">
        <f>IF(AO$3="","",IFERROR(LEFT(TRIM(INDEX(Forms貼り付け!$A:$AZ,89,AO$3)),1),""))</f>
        <v/>
      </c>
      <c r="AP90" s="8">
        <f>IF(AP$3="","",IFERROR(LEFT(TRIM(INDEX(Forms貼り付け!$A:$AZ,89,AP$3)),1),""))</f>
        <v/>
      </c>
      <c r="AQ90" s="8">
        <f>IF(AQ$3="","",IFERROR(LEFT(TRIM(INDEX(Forms貼り付け!$A:$AZ,89,AQ$3)),1),""))</f>
        <v/>
      </c>
      <c r="AR90" s="8">
        <f>IF(AR$3="","",IFERROR(LEFT(TRIM(INDEX(Forms貼り付け!$A:$AZ,89,AR$3)),1),""))</f>
        <v/>
      </c>
      <c r="AS90" s="8">
        <f>IF(AS$3="","",IFERROR(LEFT(TRIM(INDEX(Forms貼り付け!$A:$AZ,89,AS$3)),1),""))</f>
        <v/>
      </c>
      <c r="AT90" s="8">
        <f>IF(AT$3="","",IFERROR(LEFT(TRIM(INDEX(Forms貼り付け!$A:$AZ,89,AT$3)),1),""))</f>
        <v/>
      </c>
      <c r="AU90" s="8">
        <f>IF(AU$3="","",IFERROR(LEFT(TRIM(INDEX(Forms貼り付け!$A:$AZ,89,AU$3)),1),""))</f>
        <v/>
      </c>
      <c r="AV90" s="8">
        <f>IF(AV$3="","",IFERROR(LEFT(TRIM(INDEX(Forms貼り付け!$A:$AZ,89,AV$3)),1),""))</f>
        <v/>
      </c>
      <c r="AW90" s="8">
        <f>IF(AW$3="","",IFERROR(LEFT(TRIM(INDEX(Forms貼り付け!$A:$AZ,89,AW$3)),1),""))</f>
        <v/>
      </c>
      <c r="AX90" s="8">
        <f>IF(AX$3="","",IFERROR(LEFT(TRIM(INDEX(Forms貼り付け!$A:$AZ,89,AX$3)),1),""))</f>
        <v/>
      </c>
      <c r="AY90" s="8">
        <f>IF(AY$3="","",IFERROR(LEFT(TRIM(INDEX(Forms貼り付け!$A:$AZ,89,AY$3)),1),""))</f>
        <v/>
      </c>
      <c r="AZ90" s="8">
        <f>IF(AZ$3="","",IFERROR(LEFT(TRIM(INDEX(Forms貼り付け!$A:$AZ,89,AZ$3)),1),""))</f>
        <v/>
      </c>
      <c r="BA90" s="8">
        <f>IF(BA$3="","",IFERROR(LEFT(TRIM(INDEX(Forms貼り付け!$A:$AZ,89,BA$3)),1),""))</f>
        <v/>
      </c>
      <c r="BB90" s="8">
        <f>IF(BB$3="","",IFERROR(LEFT(TRIM(INDEX(Forms貼り付け!$A:$AZ,89,BB$3)),1),""))</f>
        <v/>
      </c>
      <c r="BC90" s="8">
        <f>IF(BC$3="","",IFERROR(LEFT(TRIM(INDEX(Forms貼り付け!$A:$AZ,89,BC$3)),1),""))</f>
        <v/>
      </c>
    </row>
    <row r="91">
      <c r="A91" s="8" t="inlineStr">
        <is>
          <t>U087</t>
        </is>
      </c>
      <c r="B91" s="9">
        <f>IF($B$3="","",INDEX(Forms貼り付け!$A:$AZ,90,$B$3))</f>
        <v/>
      </c>
      <c r="C91" s="9">
        <f>IF($C$3="","",INDEX(Forms貼り付け!$A:$AZ,90,$C$3))</f>
        <v/>
      </c>
      <c r="D91" s="8">
        <f>IF($D$3="","",INDEX(Forms貼り付け!$A:$AZ,90,$D$3))</f>
        <v/>
      </c>
      <c r="E91" s="8">
        <f>IF($E$3="","",INDEX(Forms貼り付け!$A:$AZ,90,$E$3))</f>
        <v/>
      </c>
      <c r="F91" s="8">
        <f>IF(F$3="","",IFERROR(LEFT(TRIM(INDEX(Forms貼り付け!$A:$AZ,90,F$3)),1),""))</f>
        <v/>
      </c>
      <c r="G91" s="8">
        <f>IF(G$3="","",IFERROR(LEFT(TRIM(INDEX(Forms貼り付け!$A:$AZ,90,G$3)),1),""))</f>
        <v/>
      </c>
      <c r="H91" s="8">
        <f>IF(H$3="","",IFERROR(LEFT(TRIM(INDEX(Forms貼り付け!$A:$AZ,90,H$3)),1),""))</f>
        <v/>
      </c>
      <c r="I91" s="8">
        <f>IF(I$3="","",IFERROR(LEFT(TRIM(INDEX(Forms貼り付け!$A:$AZ,90,I$3)),1),""))</f>
        <v/>
      </c>
      <c r="J91" s="8">
        <f>IF(J$3="","",IFERROR(LEFT(TRIM(INDEX(Forms貼り付け!$A:$AZ,90,J$3)),1),""))</f>
        <v/>
      </c>
      <c r="K91" s="8">
        <f>IF(K$3="","",IFERROR(LEFT(TRIM(INDEX(Forms貼り付け!$A:$AZ,90,K$3)),1),""))</f>
        <v/>
      </c>
      <c r="L91" s="8">
        <f>IF(L$3="","",IFERROR(LEFT(TRIM(INDEX(Forms貼り付け!$A:$AZ,90,L$3)),1),""))</f>
        <v/>
      </c>
      <c r="M91" s="8">
        <f>IF(M$3="","",IFERROR(LEFT(TRIM(INDEX(Forms貼り付け!$A:$AZ,90,M$3)),1),""))</f>
        <v/>
      </c>
      <c r="N91" s="8">
        <f>IF(N$3="","",IFERROR(LEFT(TRIM(INDEX(Forms貼り付け!$A:$AZ,90,N$3)),1),""))</f>
        <v/>
      </c>
      <c r="O91" s="8">
        <f>IF(O$3="","",IFERROR(LEFT(TRIM(INDEX(Forms貼り付け!$A:$AZ,90,O$3)),1),""))</f>
        <v/>
      </c>
      <c r="P91" s="8">
        <f>IF(P$3="","",IFERROR(LEFT(TRIM(INDEX(Forms貼り付け!$A:$AZ,90,P$3)),1),""))</f>
        <v/>
      </c>
      <c r="Q91" s="8">
        <f>IF(Q$3="","",IFERROR(LEFT(TRIM(INDEX(Forms貼り付け!$A:$AZ,90,Q$3)),1),""))</f>
        <v/>
      </c>
      <c r="R91" s="8">
        <f>IF(R$3="","",IFERROR(LEFT(TRIM(INDEX(Forms貼り付け!$A:$AZ,90,R$3)),1),""))</f>
        <v/>
      </c>
      <c r="S91" s="8">
        <f>IF(S$3="","",IFERROR(LEFT(TRIM(INDEX(Forms貼り付け!$A:$AZ,90,S$3)),1),""))</f>
        <v/>
      </c>
      <c r="T91" s="8">
        <f>IF(T$3="","",IFERROR(LEFT(TRIM(INDEX(Forms貼り付け!$A:$AZ,90,T$3)),1),""))</f>
        <v/>
      </c>
      <c r="U91" s="8">
        <f>IF(U$3="","",IFERROR(LEFT(TRIM(INDEX(Forms貼り付け!$A:$AZ,90,U$3)),1),""))</f>
        <v/>
      </c>
      <c r="V91" s="8">
        <f>IF(V$3="","",IFERROR(LEFT(TRIM(INDEX(Forms貼り付け!$A:$AZ,90,V$3)),1),""))</f>
        <v/>
      </c>
      <c r="W91" s="8">
        <f>IF(W$3="","",IFERROR(LEFT(TRIM(INDEX(Forms貼り付け!$A:$AZ,90,W$3)),1),""))</f>
        <v/>
      </c>
      <c r="X91" s="8">
        <f>IF(X$3="","",IFERROR(LEFT(TRIM(INDEX(Forms貼り付け!$A:$AZ,90,X$3)),1),""))</f>
        <v/>
      </c>
      <c r="Y91" s="8">
        <f>IF(Y$3="","",IFERROR(LEFT(TRIM(INDEX(Forms貼り付け!$A:$AZ,90,Y$3)),1),""))</f>
        <v/>
      </c>
      <c r="Z91" s="8">
        <f>IF(Z$3="","",IFERROR(LEFT(TRIM(INDEX(Forms貼り付け!$A:$AZ,90,Z$3)),1),""))</f>
        <v/>
      </c>
      <c r="AA91" s="8">
        <f>IF(AA$3="","",IFERROR(LEFT(TRIM(INDEX(Forms貼り付け!$A:$AZ,90,AA$3)),1),""))</f>
        <v/>
      </c>
      <c r="AB91" s="8">
        <f>IF(AB$3="","",IFERROR(LEFT(TRIM(INDEX(Forms貼り付け!$A:$AZ,90,AB$3)),1),""))</f>
        <v/>
      </c>
      <c r="AC91" s="8">
        <f>IF(AC$3="","",IFERROR(LEFT(TRIM(INDEX(Forms貼り付け!$A:$AZ,90,AC$3)),1),""))</f>
        <v/>
      </c>
      <c r="AD91" s="8">
        <f>IF(AD$3="","",IFERROR(LEFT(TRIM(INDEX(Forms貼り付け!$A:$AZ,90,AD$3)),1),""))</f>
        <v/>
      </c>
      <c r="AE91" s="8">
        <f>IF(AE$3="","",IFERROR(LEFT(TRIM(INDEX(Forms貼り付け!$A:$AZ,90,AE$3)),1),""))</f>
        <v/>
      </c>
      <c r="AF91" s="8">
        <f>IF(AF$3="","",IFERROR(LEFT(TRIM(INDEX(Forms貼り付け!$A:$AZ,90,AF$3)),1),""))</f>
        <v/>
      </c>
      <c r="AG91" s="8">
        <f>IF(AG$3="","",IFERROR(LEFT(TRIM(INDEX(Forms貼り付け!$A:$AZ,90,AG$3)),1),""))</f>
        <v/>
      </c>
      <c r="AH91" s="8">
        <f>IF(AH$3="","",IFERROR(LEFT(TRIM(INDEX(Forms貼り付け!$A:$AZ,90,AH$3)),1),""))</f>
        <v/>
      </c>
      <c r="AI91" s="8">
        <f>IF(AI$3="","",IFERROR(LEFT(TRIM(INDEX(Forms貼り付け!$A:$AZ,90,AI$3)),1),""))</f>
        <v/>
      </c>
      <c r="AJ91" s="8">
        <f>IF(AJ$3="","",IFERROR(LEFT(TRIM(INDEX(Forms貼り付け!$A:$AZ,90,AJ$3)),1),""))</f>
        <v/>
      </c>
      <c r="AK91" s="8">
        <f>IF(AK$3="","",IFERROR(LEFT(TRIM(INDEX(Forms貼り付け!$A:$AZ,90,AK$3)),1),""))</f>
        <v/>
      </c>
      <c r="AL91" s="8">
        <f>IF(AL$3="","",IFERROR(LEFT(TRIM(INDEX(Forms貼り付け!$A:$AZ,90,AL$3)),1),""))</f>
        <v/>
      </c>
      <c r="AM91" s="8">
        <f>IF(AM$3="","",IFERROR(LEFT(TRIM(INDEX(Forms貼り付け!$A:$AZ,90,AM$3)),1),""))</f>
        <v/>
      </c>
      <c r="AN91" s="8">
        <f>IF(AN$3="","",IFERROR(LEFT(TRIM(INDEX(Forms貼り付け!$A:$AZ,90,AN$3)),1),""))</f>
        <v/>
      </c>
      <c r="AO91" s="8">
        <f>IF(AO$3="","",IFERROR(LEFT(TRIM(INDEX(Forms貼り付け!$A:$AZ,90,AO$3)),1),""))</f>
        <v/>
      </c>
      <c r="AP91" s="8">
        <f>IF(AP$3="","",IFERROR(LEFT(TRIM(INDEX(Forms貼り付け!$A:$AZ,90,AP$3)),1),""))</f>
        <v/>
      </c>
      <c r="AQ91" s="8">
        <f>IF(AQ$3="","",IFERROR(LEFT(TRIM(INDEX(Forms貼り付け!$A:$AZ,90,AQ$3)),1),""))</f>
        <v/>
      </c>
      <c r="AR91" s="8">
        <f>IF(AR$3="","",IFERROR(LEFT(TRIM(INDEX(Forms貼り付け!$A:$AZ,90,AR$3)),1),""))</f>
        <v/>
      </c>
      <c r="AS91" s="8">
        <f>IF(AS$3="","",IFERROR(LEFT(TRIM(INDEX(Forms貼り付け!$A:$AZ,90,AS$3)),1),""))</f>
        <v/>
      </c>
      <c r="AT91" s="8">
        <f>IF(AT$3="","",IFERROR(LEFT(TRIM(INDEX(Forms貼り付け!$A:$AZ,90,AT$3)),1),""))</f>
        <v/>
      </c>
      <c r="AU91" s="8">
        <f>IF(AU$3="","",IFERROR(LEFT(TRIM(INDEX(Forms貼り付け!$A:$AZ,90,AU$3)),1),""))</f>
        <v/>
      </c>
      <c r="AV91" s="8">
        <f>IF(AV$3="","",IFERROR(LEFT(TRIM(INDEX(Forms貼り付け!$A:$AZ,90,AV$3)),1),""))</f>
        <v/>
      </c>
      <c r="AW91" s="8">
        <f>IF(AW$3="","",IFERROR(LEFT(TRIM(INDEX(Forms貼り付け!$A:$AZ,90,AW$3)),1),""))</f>
        <v/>
      </c>
      <c r="AX91" s="8">
        <f>IF(AX$3="","",IFERROR(LEFT(TRIM(INDEX(Forms貼り付け!$A:$AZ,90,AX$3)),1),""))</f>
        <v/>
      </c>
      <c r="AY91" s="8">
        <f>IF(AY$3="","",IFERROR(LEFT(TRIM(INDEX(Forms貼り付け!$A:$AZ,90,AY$3)),1),""))</f>
        <v/>
      </c>
      <c r="AZ91" s="8">
        <f>IF(AZ$3="","",IFERROR(LEFT(TRIM(INDEX(Forms貼り付け!$A:$AZ,90,AZ$3)),1),""))</f>
        <v/>
      </c>
      <c r="BA91" s="8">
        <f>IF(BA$3="","",IFERROR(LEFT(TRIM(INDEX(Forms貼り付け!$A:$AZ,90,BA$3)),1),""))</f>
        <v/>
      </c>
      <c r="BB91" s="8">
        <f>IF(BB$3="","",IFERROR(LEFT(TRIM(INDEX(Forms貼り付け!$A:$AZ,90,BB$3)),1),""))</f>
        <v/>
      </c>
      <c r="BC91" s="8">
        <f>IF(BC$3="","",IFERROR(LEFT(TRIM(INDEX(Forms貼り付け!$A:$AZ,90,BC$3)),1),""))</f>
        <v/>
      </c>
    </row>
    <row r="92">
      <c r="A92" s="8" t="inlineStr">
        <is>
          <t>U088</t>
        </is>
      </c>
      <c r="B92" s="9">
        <f>IF($B$3="","",INDEX(Forms貼り付け!$A:$AZ,91,$B$3))</f>
        <v/>
      </c>
      <c r="C92" s="9">
        <f>IF($C$3="","",INDEX(Forms貼り付け!$A:$AZ,91,$C$3))</f>
        <v/>
      </c>
      <c r="D92" s="8">
        <f>IF($D$3="","",INDEX(Forms貼り付け!$A:$AZ,91,$D$3))</f>
        <v/>
      </c>
      <c r="E92" s="8">
        <f>IF($E$3="","",INDEX(Forms貼り付け!$A:$AZ,91,$E$3))</f>
        <v/>
      </c>
      <c r="F92" s="8">
        <f>IF(F$3="","",IFERROR(LEFT(TRIM(INDEX(Forms貼り付け!$A:$AZ,91,F$3)),1),""))</f>
        <v/>
      </c>
      <c r="G92" s="8">
        <f>IF(G$3="","",IFERROR(LEFT(TRIM(INDEX(Forms貼り付け!$A:$AZ,91,G$3)),1),""))</f>
        <v/>
      </c>
      <c r="H92" s="8">
        <f>IF(H$3="","",IFERROR(LEFT(TRIM(INDEX(Forms貼り付け!$A:$AZ,91,H$3)),1),""))</f>
        <v/>
      </c>
      <c r="I92" s="8">
        <f>IF(I$3="","",IFERROR(LEFT(TRIM(INDEX(Forms貼り付け!$A:$AZ,91,I$3)),1),""))</f>
        <v/>
      </c>
      <c r="J92" s="8">
        <f>IF(J$3="","",IFERROR(LEFT(TRIM(INDEX(Forms貼り付け!$A:$AZ,91,J$3)),1),""))</f>
        <v/>
      </c>
      <c r="K92" s="8">
        <f>IF(K$3="","",IFERROR(LEFT(TRIM(INDEX(Forms貼り付け!$A:$AZ,91,K$3)),1),""))</f>
        <v/>
      </c>
      <c r="L92" s="8">
        <f>IF(L$3="","",IFERROR(LEFT(TRIM(INDEX(Forms貼り付け!$A:$AZ,91,L$3)),1),""))</f>
        <v/>
      </c>
      <c r="M92" s="8">
        <f>IF(M$3="","",IFERROR(LEFT(TRIM(INDEX(Forms貼り付け!$A:$AZ,91,M$3)),1),""))</f>
        <v/>
      </c>
      <c r="N92" s="8">
        <f>IF(N$3="","",IFERROR(LEFT(TRIM(INDEX(Forms貼り付け!$A:$AZ,91,N$3)),1),""))</f>
        <v/>
      </c>
      <c r="O92" s="8">
        <f>IF(O$3="","",IFERROR(LEFT(TRIM(INDEX(Forms貼り付け!$A:$AZ,91,O$3)),1),""))</f>
        <v/>
      </c>
      <c r="P92" s="8">
        <f>IF(P$3="","",IFERROR(LEFT(TRIM(INDEX(Forms貼り付け!$A:$AZ,91,P$3)),1),""))</f>
        <v/>
      </c>
      <c r="Q92" s="8">
        <f>IF(Q$3="","",IFERROR(LEFT(TRIM(INDEX(Forms貼り付け!$A:$AZ,91,Q$3)),1),""))</f>
        <v/>
      </c>
      <c r="R92" s="8">
        <f>IF(R$3="","",IFERROR(LEFT(TRIM(INDEX(Forms貼り付け!$A:$AZ,91,R$3)),1),""))</f>
        <v/>
      </c>
      <c r="S92" s="8">
        <f>IF(S$3="","",IFERROR(LEFT(TRIM(INDEX(Forms貼り付け!$A:$AZ,91,S$3)),1),""))</f>
        <v/>
      </c>
      <c r="T92" s="8">
        <f>IF(T$3="","",IFERROR(LEFT(TRIM(INDEX(Forms貼り付け!$A:$AZ,91,T$3)),1),""))</f>
        <v/>
      </c>
      <c r="U92" s="8">
        <f>IF(U$3="","",IFERROR(LEFT(TRIM(INDEX(Forms貼り付け!$A:$AZ,91,U$3)),1),""))</f>
        <v/>
      </c>
      <c r="V92" s="8">
        <f>IF(V$3="","",IFERROR(LEFT(TRIM(INDEX(Forms貼り付け!$A:$AZ,91,V$3)),1),""))</f>
        <v/>
      </c>
      <c r="W92" s="8">
        <f>IF(W$3="","",IFERROR(LEFT(TRIM(INDEX(Forms貼り付け!$A:$AZ,91,W$3)),1),""))</f>
        <v/>
      </c>
      <c r="X92" s="8">
        <f>IF(X$3="","",IFERROR(LEFT(TRIM(INDEX(Forms貼り付け!$A:$AZ,91,X$3)),1),""))</f>
        <v/>
      </c>
      <c r="Y92" s="8">
        <f>IF(Y$3="","",IFERROR(LEFT(TRIM(INDEX(Forms貼り付け!$A:$AZ,91,Y$3)),1),""))</f>
        <v/>
      </c>
      <c r="Z92" s="8">
        <f>IF(Z$3="","",IFERROR(LEFT(TRIM(INDEX(Forms貼り付け!$A:$AZ,91,Z$3)),1),""))</f>
        <v/>
      </c>
      <c r="AA92" s="8">
        <f>IF(AA$3="","",IFERROR(LEFT(TRIM(INDEX(Forms貼り付け!$A:$AZ,91,AA$3)),1),""))</f>
        <v/>
      </c>
      <c r="AB92" s="8">
        <f>IF(AB$3="","",IFERROR(LEFT(TRIM(INDEX(Forms貼り付け!$A:$AZ,91,AB$3)),1),""))</f>
        <v/>
      </c>
      <c r="AC92" s="8">
        <f>IF(AC$3="","",IFERROR(LEFT(TRIM(INDEX(Forms貼り付け!$A:$AZ,91,AC$3)),1),""))</f>
        <v/>
      </c>
      <c r="AD92" s="8">
        <f>IF(AD$3="","",IFERROR(LEFT(TRIM(INDEX(Forms貼り付け!$A:$AZ,91,AD$3)),1),""))</f>
        <v/>
      </c>
      <c r="AE92" s="8">
        <f>IF(AE$3="","",IFERROR(LEFT(TRIM(INDEX(Forms貼り付け!$A:$AZ,91,AE$3)),1),""))</f>
        <v/>
      </c>
      <c r="AF92" s="8">
        <f>IF(AF$3="","",IFERROR(LEFT(TRIM(INDEX(Forms貼り付け!$A:$AZ,91,AF$3)),1),""))</f>
        <v/>
      </c>
      <c r="AG92" s="8">
        <f>IF(AG$3="","",IFERROR(LEFT(TRIM(INDEX(Forms貼り付け!$A:$AZ,91,AG$3)),1),""))</f>
        <v/>
      </c>
      <c r="AH92" s="8">
        <f>IF(AH$3="","",IFERROR(LEFT(TRIM(INDEX(Forms貼り付け!$A:$AZ,91,AH$3)),1),""))</f>
        <v/>
      </c>
      <c r="AI92" s="8">
        <f>IF(AI$3="","",IFERROR(LEFT(TRIM(INDEX(Forms貼り付け!$A:$AZ,91,AI$3)),1),""))</f>
        <v/>
      </c>
      <c r="AJ92" s="8">
        <f>IF(AJ$3="","",IFERROR(LEFT(TRIM(INDEX(Forms貼り付け!$A:$AZ,91,AJ$3)),1),""))</f>
        <v/>
      </c>
      <c r="AK92" s="8">
        <f>IF(AK$3="","",IFERROR(LEFT(TRIM(INDEX(Forms貼り付け!$A:$AZ,91,AK$3)),1),""))</f>
        <v/>
      </c>
      <c r="AL92" s="8">
        <f>IF(AL$3="","",IFERROR(LEFT(TRIM(INDEX(Forms貼り付け!$A:$AZ,91,AL$3)),1),""))</f>
        <v/>
      </c>
      <c r="AM92" s="8">
        <f>IF(AM$3="","",IFERROR(LEFT(TRIM(INDEX(Forms貼り付け!$A:$AZ,91,AM$3)),1),""))</f>
        <v/>
      </c>
      <c r="AN92" s="8">
        <f>IF(AN$3="","",IFERROR(LEFT(TRIM(INDEX(Forms貼り付け!$A:$AZ,91,AN$3)),1),""))</f>
        <v/>
      </c>
      <c r="AO92" s="8">
        <f>IF(AO$3="","",IFERROR(LEFT(TRIM(INDEX(Forms貼り付け!$A:$AZ,91,AO$3)),1),""))</f>
        <v/>
      </c>
      <c r="AP92" s="8">
        <f>IF(AP$3="","",IFERROR(LEFT(TRIM(INDEX(Forms貼り付け!$A:$AZ,91,AP$3)),1),""))</f>
        <v/>
      </c>
      <c r="AQ92" s="8">
        <f>IF(AQ$3="","",IFERROR(LEFT(TRIM(INDEX(Forms貼り付け!$A:$AZ,91,AQ$3)),1),""))</f>
        <v/>
      </c>
      <c r="AR92" s="8">
        <f>IF(AR$3="","",IFERROR(LEFT(TRIM(INDEX(Forms貼り付け!$A:$AZ,91,AR$3)),1),""))</f>
        <v/>
      </c>
      <c r="AS92" s="8">
        <f>IF(AS$3="","",IFERROR(LEFT(TRIM(INDEX(Forms貼り付け!$A:$AZ,91,AS$3)),1),""))</f>
        <v/>
      </c>
      <c r="AT92" s="8">
        <f>IF(AT$3="","",IFERROR(LEFT(TRIM(INDEX(Forms貼り付け!$A:$AZ,91,AT$3)),1),""))</f>
        <v/>
      </c>
      <c r="AU92" s="8">
        <f>IF(AU$3="","",IFERROR(LEFT(TRIM(INDEX(Forms貼り付け!$A:$AZ,91,AU$3)),1),""))</f>
        <v/>
      </c>
      <c r="AV92" s="8">
        <f>IF(AV$3="","",IFERROR(LEFT(TRIM(INDEX(Forms貼り付け!$A:$AZ,91,AV$3)),1),""))</f>
        <v/>
      </c>
      <c r="AW92" s="8">
        <f>IF(AW$3="","",IFERROR(LEFT(TRIM(INDEX(Forms貼り付け!$A:$AZ,91,AW$3)),1),""))</f>
        <v/>
      </c>
      <c r="AX92" s="8">
        <f>IF(AX$3="","",IFERROR(LEFT(TRIM(INDEX(Forms貼り付け!$A:$AZ,91,AX$3)),1),""))</f>
        <v/>
      </c>
      <c r="AY92" s="8">
        <f>IF(AY$3="","",IFERROR(LEFT(TRIM(INDEX(Forms貼り付け!$A:$AZ,91,AY$3)),1),""))</f>
        <v/>
      </c>
      <c r="AZ92" s="8">
        <f>IF(AZ$3="","",IFERROR(LEFT(TRIM(INDEX(Forms貼り付け!$A:$AZ,91,AZ$3)),1),""))</f>
        <v/>
      </c>
      <c r="BA92" s="8">
        <f>IF(BA$3="","",IFERROR(LEFT(TRIM(INDEX(Forms貼り付け!$A:$AZ,91,BA$3)),1),""))</f>
        <v/>
      </c>
      <c r="BB92" s="8">
        <f>IF(BB$3="","",IFERROR(LEFT(TRIM(INDEX(Forms貼り付け!$A:$AZ,91,BB$3)),1),""))</f>
        <v/>
      </c>
      <c r="BC92" s="8">
        <f>IF(BC$3="","",IFERROR(LEFT(TRIM(INDEX(Forms貼り付け!$A:$AZ,91,BC$3)),1),""))</f>
        <v/>
      </c>
    </row>
    <row r="93">
      <c r="A93" s="8" t="inlineStr">
        <is>
          <t>U089</t>
        </is>
      </c>
      <c r="B93" s="9">
        <f>IF($B$3="","",INDEX(Forms貼り付け!$A:$AZ,92,$B$3))</f>
        <v/>
      </c>
      <c r="C93" s="9">
        <f>IF($C$3="","",INDEX(Forms貼り付け!$A:$AZ,92,$C$3))</f>
        <v/>
      </c>
      <c r="D93" s="8">
        <f>IF($D$3="","",INDEX(Forms貼り付け!$A:$AZ,92,$D$3))</f>
        <v/>
      </c>
      <c r="E93" s="8">
        <f>IF($E$3="","",INDEX(Forms貼り付け!$A:$AZ,92,$E$3))</f>
        <v/>
      </c>
      <c r="F93" s="8">
        <f>IF(F$3="","",IFERROR(LEFT(TRIM(INDEX(Forms貼り付け!$A:$AZ,92,F$3)),1),""))</f>
        <v/>
      </c>
      <c r="G93" s="8">
        <f>IF(G$3="","",IFERROR(LEFT(TRIM(INDEX(Forms貼り付け!$A:$AZ,92,G$3)),1),""))</f>
        <v/>
      </c>
      <c r="H93" s="8">
        <f>IF(H$3="","",IFERROR(LEFT(TRIM(INDEX(Forms貼り付け!$A:$AZ,92,H$3)),1),""))</f>
        <v/>
      </c>
      <c r="I93" s="8">
        <f>IF(I$3="","",IFERROR(LEFT(TRIM(INDEX(Forms貼り付け!$A:$AZ,92,I$3)),1),""))</f>
        <v/>
      </c>
      <c r="J93" s="8">
        <f>IF(J$3="","",IFERROR(LEFT(TRIM(INDEX(Forms貼り付け!$A:$AZ,92,J$3)),1),""))</f>
        <v/>
      </c>
      <c r="K93" s="8">
        <f>IF(K$3="","",IFERROR(LEFT(TRIM(INDEX(Forms貼り付け!$A:$AZ,92,K$3)),1),""))</f>
        <v/>
      </c>
      <c r="L93" s="8">
        <f>IF(L$3="","",IFERROR(LEFT(TRIM(INDEX(Forms貼り付け!$A:$AZ,92,L$3)),1),""))</f>
        <v/>
      </c>
      <c r="M93" s="8">
        <f>IF(M$3="","",IFERROR(LEFT(TRIM(INDEX(Forms貼り付け!$A:$AZ,92,M$3)),1),""))</f>
        <v/>
      </c>
      <c r="N93" s="8">
        <f>IF(N$3="","",IFERROR(LEFT(TRIM(INDEX(Forms貼り付け!$A:$AZ,92,N$3)),1),""))</f>
        <v/>
      </c>
      <c r="O93" s="8">
        <f>IF(O$3="","",IFERROR(LEFT(TRIM(INDEX(Forms貼り付け!$A:$AZ,92,O$3)),1),""))</f>
        <v/>
      </c>
      <c r="P93" s="8">
        <f>IF(P$3="","",IFERROR(LEFT(TRIM(INDEX(Forms貼り付け!$A:$AZ,92,P$3)),1),""))</f>
        <v/>
      </c>
      <c r="Q93" s="8">
        <f>IF(Q$3="","",IFERROR(LEFT(TRIM(INDEX(Forms貼り付け!$A:$AZ,92,Q$3)),1),""))</f>
        <v/>
      </c>
      <c r="R93" s="8">
        <f>IF(R$3="","",IFERROR(LEFT(TRIM(INDEX(Forms貼り付け!$A:$AZ,92,R$3)),1),""))</f>
        <v/>
      </c>
      <c r="S93" s="8">
        <f>IF(S$3="","",IFERROR(LEFT(TRIM(INDEX(Forms貼り付け!$A:$AZ,92,S$3)),1),""))</f>
        <v/>
      </c>
      <c r="T93" s="8">
        <f>IF(T$3="","",IFERROR(LEFT(TRIM(INDEX(Forms貼り付け!$A:$AZ,92,T$3)),1),""))</f>
        <v/>
      </c>
      <c r="U93" s="8">
        <f>IF(U$3="","",IFERROR(LEFT(TRIM(INDEX(Forms貼り付け!$A:$AZ,92,U$3)),1),""))</f>
        <v/>
      </c>
      <c r="V93" s="8">
        <f>IF(V$3="","",IFERROR(LEFT(TRIM(INDEX(Forms貼り付け!$A:$AZ,92,V$3)),1),""))</f>
        <v/>
      </c>
      <c r="W93" s="8">
        <f>IF(W$3="","",IFERROR(LEFT(TRIM(INDEX(Forms貼り付け!$A:$AZ,92,W$3)),1),""))</f>
        <v/>
      </c>
      <c r="X93" s="8">
        <f>IF(X$3="","",IFERROR(LEFT(TRIM(INDEX(Forms貼り付け!$A:$AZ,92,X$3)),1),""))</f>
        <v/>
      </c>
      <c r="Y93" s="8">
        <f>IF(Y$3="","",IFERROR(LEFT(TRIM(INDEX(Forms貼り付け!$A:$AZ,92,Y$3)),1),""))</f>
        <v/>
      </c>
      <c r="Z93" s="8">
        <f>IF(Z$3="","",IFERROR(LEFT(TRIM(INDEX(Forms貼り付け!$A:$AZ,92,Z$3)),1),""))</f>
        <v/>
      </c>
      <c r="AA93" s="8">
        <f>IF(AA$3="","",IFERROR(LEFT(TRIM(INDEX(Forms貼り付け!$A:$AZ,92,AA$3)),1),""))</f>
        <v/>
      </c>
      <c r="AB93" s="8">
        <f>IF(AB$3="","",IFERROR(LEFT(TRIM(INDEX(Forms貼り付け!$A:$AZ,92,AB$3)),1),""))</f>
        <v/>
      </c>
      <c r="AC93" s="8">
        <f>IF(AC$3="","",IFERROR(LEFT(TRIM(INDEX(Forms貼り付け!$A:$AZ,92,AC$3)),1),""))</f>
        <v/>
      </c>
      <c r="AD93" s="8">
        <f>IF(AD$3="","",IFERROR(LEFT(TRIM(INDEX(Forms貼り付け!$A:$AZ,92,AD$3)),1),""))</f>
        <v/>
      </c>
      <c r="AE93" s="8">
        <f>IF(AE$3="","",IFERROR(LEFT(TRIM(INDEX(Forms貼り付け!$A:$AZ,92,AE$3)),1),""))</f>
        <v/>
      </c>
      <c r="AF93" s="8">
        <f>IF(AF$3="","",IFERROR(LEFT(TRIM(INDEX(Forms貼り付け!$A:$AZ,92,AF$3)),1),""))</f>
        <v/>
      </c>
      <c r="AG93" s="8">
        <f>IF(AG$3="","",IFERROR(LEFT(TRIM(INDEX(Forms貼り付け!$A:$AZ,92,AG$3)),1),""))</f>
        <v/>
      </c>
      <c r="AH93" s="8">
        <f>IF(AH$3="","",IFERROR(LEFT(TRIM(INDEX(Forms貼り付け!$A:$AZ,92,AH$3)),1),""))</f>
        <v/>
      </c>
      <c r="AI93" s="8">
        <f>IF(AI$3="","",IFERROR(LEFT(TRIM(INDEX(Forms貼り付け!$A:$AZ,92,AI$3)),1),""))</f>
        <v/>
      </c>
      <c r="AJ93" s="8">
        <f>IF(AJ$3="","",IFERROR(LEFT(TRIM(INDEX(Forms貼り付け!$A:$AZ,92,AJ$3)),1),""))</f>
        <v/>
      </c>
      <c r="AK93" s="8">
        <f>IF(AK$3="","",IFERROR(LEFT(TRIM(INDEX(Forms貼り付け!$A:$AZ,92,AK$3)),1),""))</f>
        <v/>
      </c>
      <c r="AL93" s="8">
        <f>IF(AL$3="","",IFERROR(LEFT(TRIM(INDEX(Forms貼り付け!$A:$AZ,92,AL$3)),1),""))</f>
        <v/>
      </c>
      <c r="AM93" s="8">
        <f>IF(AM$3="","",IFERROR(LEFT(TRIM(INDEX(Forms貼り付け!$A:$AZ,92,AM$3)),1),""))</f>
        <v/>
      </c>
      <c r="AN93" s="8">
        <f>IF(AN$3="","",IFERROR(LEFT(TRIM(INDEX(Forms貼り付け!$A:$AZ,92,AN$3)),1),""))</f>
        <v/>
      </c>
      <c r="AO93" s="8">
        <f>IF(AO$3="","",IFERROR(LEFT(TRIM(INDEX(Forms貼り付け!$A:$AZ,92,AO$3)),1),""))</f>
        <v/>
      </c>
      <c r="AP93" s="8">
        <f>IF(AP$3="","",IFERROR(LEFT(TRIM(INDEX(Forms貼り付け!$A:$AZ,92,AP$3)),1),""))</f>
        <v/>
      </c>
      <c r="AQ93" s="8">
        <f>IF(AQ$3="","",IFERROR(LEFT(TRIM(INDEX(Forms貼り付け!$A:$AZ,92,AQ$3)),1),""))</f>
        <v/>
      </c>
      <c r="AR93" s="8">
        <f>IF(AR$3="","",IFERROR(LEFT(TRIM(INDEX(Forms貼り付け!$A:$AZ,92,AR$3)),1),""))</f>
        <v/>
      </c>
      <c r="AS93" s="8">
        <f>IF(AS$3="","",IFERROR(LEFT(TRIM(INDEX(Forms貼り付け!$A:$AZ,92,AS$3)),1),""))</f>
        <v/>
      </c>
      <c r="AT93" s="8">
        <f>IF(AT$3="","",IFERROR(LEFT(TRIM(INDEX(Forms貼り付け!$A:$AZ,92,AT$3)),1),""))</f>
        <v/>
      </c>
      <c r="AU93" s="8">
        <f>IF(AU$3="","",IFERROR(LEFT(TRIM(INDEX(Forms貼り付け!$A:$AZ,92,AU$3)),1),""))</f>
        <v/>
      </c>
      <c r="AV93" s="8">
        <f>IF(AV$3="","",IFERROR(LEFT(TRIM(INDEX(Forms貼り付け!$A:$AZ,92,AV$3)),1),""))</f>
        <v/>
      </c>
      <c r="AW93" s="8">
        <f>IF(AW$3="","",IFERROR(LEFT(TRIM(INDEX(Forms貼り付け!$A:$AZ,92,AW$3)),1),""))</f>
        <v/>
      </c>
      <c r="AX93" s="8">
        <f>IF(AX$3="","",IFERROR(LEFT(TRIM(INDEX(Forms貼り付け!$A:$AZ,92,AX$3)),1),""))</f>
        <v/>
      </c>
      <c r="AY93" s="8">
        <f>IF(AY$3="","",IFERROR(LEFT(TRIM(INDEX(Forms貼り付け!$A:$AZ,92,AY$3)),1),""))</f>
        <v/>
      </c>
      <c r="AZ93" s="8">
        <f>IF(AZ$3="","",IFERROR(LEFT(TRIM(INDEX(Forms貼り付け!$A:$AZ,92,AZ$3)),1),""))</f>
        <v/>
      </c>
      <c r="BA93" s="8">
        <f>IF(BA$3="","",IFERROR(LEFT(TRIM(INDEX(Forms貼り付け!$A:$AZ,92,BA$3)),1),""))</f>
        <v/>
      </c>
      <c r="BB93" s="8">
        <f>IF(BB$3="","",IFERROR(LEFT(TRIM(INDEX(Forms貼り付け!$A:$AZ,92,BB$3)),1),""))</f>
        <v/>
      </c>
      <c r="BC93" s="8">
        <f>IF(BC$3="","",IFERROR(LEFT(TRIM(INDEX(Forms貼り付け!$A:$AZ,92,BC$3)),1),""))</f>
        <v/>
      </c>
    </row>
    <row r="94">
      <c r="A94" s="8" t="inlineStr">
        <is>
          <t>U090</t>
        </is>
      </c>
      <c r="B94" s="9">
        <f>IF($B$3="","",INDEX(Forms貼り付け!$A:$AZ,93,$B$3))</f>
        <v/>
      </c>
      <c r="C94" s="9">
        <f>IF($C$3="","",INDEX(Forms貼り付け!$A:$AZ,93,$C$3))</f>
        <v/>
      </c>
      <c r="D94" s="8">
        <f>IF($D$3="","",INDEX(Forms貼り付け!$A:$AZ,93,$D$3))</f>
        <v/>
      </c>
      <c r="E94" s="8">
        <f>IF($E$3="","",INDEX(Forms貼り付け!$A:$AZ,93,$E$3))</f>
        <v/>
      </c>
      <c r="F94" s="8">
        <f>IF(F$3="","",IFERROR(LEFT(TRIM(INDEX(Forms貼り付け!$A:$AZ,93,F$3)),1),""))</f>
        <v/>
      </c>
      <c r="G94" s="8">
        <f>IF(G$3="","",IFERROR(LEFT(TRIM(INDEX(Forms貼り付け!$A:$AZ,93,G$3)),1),""))</f>
        <v/>
      </c>
      <c r="H94" s="8">
        <f>IF(H$3="","",IFERROR(LEFT(TRIM(INDEX(Forms貼り付け!$A:$AZ,93,H$3)),1),""))</f>
        <v/>
      </c>
      <c r="I94" s="8">
        <f>IF(I$3="","",IFERROR(LEFT(TRIM(INDEX(Forms貼り付け!$A:$AZ,93,I$3)),1),""))</f>
        <v/>
      </c>
      <c r="J94" s="8">
        <f>IF(J$3="","",IFERROR(LEFT(TRIM(INDEX(Forms貼り付け!$A:$AZ,93,J$3)),1),""))</f>
        <v/>
      </c>
      <c r="K94" s="8">
        <f>IF(K$3="","",IFERROR(LEFT(TRIM(INDEX(Forms貼り付け!$A:$AZ,93,K$3)),1),""))</f>
        <v/>
      </c>
      <c r="L94" s="8">
        <f>IF(L$3="","",IFERROR(LEFT(TRIM(INDEX(Forms貼り付け!$A:$AZ,93,L$3)),1),""))</f>
        <v/>
      </c>
      <c r="M94" s="8">
        <f>IF(M$3="","",IFERROR(LEFT(TRIM(INDEX(Forms貼り付け!$A:$AZ,93,M$3)),1),""))</f>
        <v/>
      </c>
      <c r="N94" s="8">
        <f>IF(N$3="","",IFERROR(LEFT(TRIM(INDEX(Forms貼り付け!$A:$AZ,93,N$3)),1),""))</f>
        <v/>
      </c>
      <c r="O94" s="8">
        <f>IF(O$3="","",IFERROR(LEFT(TRIM(INDEX(Forms貼り付け!$A:$AZ,93,O$3)),1),""))</f>
        <v/>
      </c>
      <c r="P94" s="8">
        <f>IF(P$3="","",IFERROR(LEFT(TRIM(INDEX(Forms貼り付け!$A:$AZ,93,P$3)),1),""))</f>
        <v/>
      </c>
      <c r="Q94" s="8">
        <f>IF(Q$3="","",IFERROR(LEFT(TRIM(INDEX(Forms貼り付け!$A:$AZ,93,Q$3)),1),""))</f>
        <v/>
      </c>
      <c r="R94" s="8">
        <f>IF(R$3="","",IFERROR(LEFT(TRIM(INDEX(Forms貼り付け!$A:$AZ,93,R$3)),1),""))</f>
        <v/>
      </c>
      <c r="S94" s="8">
        <f>IF(S$3="","",IFERROR(LEFT(TRIM(INDEX(Forms貼り付け!$A:$AZ,93,S$3)),1),""))</f>
        <v/>
      </c>
      <c r="T94" s="8">
        <f>IF(T$3="","",IFERROR(LEFT(TRIM(INDEX(Forms貼り付け!$A:$AZ,93,T$3)),1),""))</f>
        <v/>
      </c>
      <c r="U94" s="8">
        <f>IF(U$3="","",IFERROR(LEFT(TRIM(INDEX(Forms貼り付け!$A:$AZ,93,U$3)),1),""))</f>
        <v/>
      </c>
      <c r="V94" s="8">
        <f>IF(V$3="","",IFERROR(LEFT(TRIM(INDEX(Forms貼り付け!$A:$AZ,93,V$3)),1),""))</f>
        <v/>
      </c>
      <c r="W94" s="8">
        <f>IF(W$3="","",IFERROR(LEFT(TRIM(INDEX(Forms貼り付け!$A:$AZ,93,W$3)),1),""))</f>
        <v/>
      </c>
      <c r="X94" s="8">
        <f>IF(X$3="","",IFERROR(LEFT(TRIM(INDEX(Forms貼り付け!$A:$AZ,93,X$3)),1),""))</f>
        <v/>
      </c>
      <c r="Y94" s="8">
        <f>IF(Y$3="","",IFERROR(LEFT(TRIM(INDEX(Forms貼り付け!$A:$AZ,93,Y$3)),1),""))</f>
        <v/>
      </c>
      <c r="Z94" s="8">
        <f>IF(Z$3="","",IFERROR(LEFT(TRIM(INDEX(Forms貼り付け!$A:$AZ,93,Z$3)),1),""))</f>
        <v/>
      </c>
      <c r="AA94" s="8">
        <f>IF(AA$3="","",IFERROR(LEFT(TRIM(INDEX(Forms貼り付け!$A:$AZ,93,AA$3)),1),""))</f>
        <v/>
      </c>
      <c r="AB94" s="8">
        <f>IF(AB$3="","",IFERROR(LEFT(TRIM(INDEX(Forms貼り付け!$A:$AZ,93,AB$3)),1),""))</f>
        <v/>
      </c>
      <c r="AC94" s="8">
        <f>IF(AC$3="","",IFERROR(LEFT(TRIM(INDEX(Forms貼り付け!$A:$AZ,93,AC$3)),1),""))</f>
        <v/>
      </c>
      <c r="AD94" s="8">
        <f>IF(AD$3="","",IFERROR(LEFT(TRIM(INDEX(Forms貼り付け!$A:$AZ,93,AD$3)),1),""))</f>
        <v/>
      </c>
      <c r="AE94" s="8">
        <f>IF(AE$3="","",IFERROR(LEFT(TRIM(INDEX(Forms貼り付け!$A:$AZ,93,AE$3)),1),""))</f>
        <v/>
      </c>
      <c r="AF94" s="8">
        <f>IF(AF$3="","",IFERROR(LEFT(TRIM(INDEX(Forms貼り付け!$A:$AZ,93,AF$3)),1),""))</f>
        <v/>
      </c>
      <c r="AG94" s="8">
        <f>IF(AG$3="","",IFERROR(LEFT(TRIM(INDEX(Forms貼り付け!$A:$AZ,93,AG$3)),1),""))</f>
        <v/>
      </c>
      <c r="AH94" s="8">
        <f>IF(AH$3="","",IFERROR(LEFT(TRIM(INDEX(Forms貼り付け!$A:$AZ,93,AH$3)),1),""))</f>
        <v/>
      </c>
      <c r="AI94" s="8">
        <f>IF(AI$3="","",IFERROR(LEFT(TRIM(INDEX(Forms貼り付け!$A:$AZ,93,AI$3)),1),""))</f>
        <v/>
      </c>
      <c r="AJ94" s="8">
        <f>IF(AJ$3="","",IFERROR(LEFT(TRIM(INDEX(Forms貼り付け!$A:$AZ,93,AJ$3)),1),""))</f>
        <v/>
      </c>
      <c r="AK94" s="8">
        <f>IF(AK$3="","",IFERROR(LEFT(TRIM(INDEX(Forms貼り付け!$A:$AZ,93,AK$3)),1),""))</f>
        <v/>
      </c>
      <c r="AL94" s="8">
        <f>IF(AL$3="","",IFERROR(LEFT(TRIM(INDEX(Forms貼り付け!$A:$AZ,93,AL$3)),1),""))</f>
        <v/>
      </c>
      <c r="AM94" s="8">
        <f>IF(AM$3="","",IFERROR(LEFT(TRIM(INDEX(Forms貼り付け!$A:$AZ,93,AM$3)),1),""))</f>
        <v/>
      </c>
      <c r="AN94" s="8">
        <f>IF(AN$3="","",IFERROR(LEFT(TRIM(INDEX(Forms貼り付け!$A:$AZ,93,AN$3)),1),""))</f>
        <v/>
      </c>
      <c r="AO94" s="8">
        <f>IF(AO$3="","",IFERROR(LEFT(TRIM(INDEX(Forms貼り付け!$A:$AZ,93,AO$3)),1),""))</f>
        <v/>
      </c>
      <c r="AP94" s="8">
        <f>IF(AP$3="","",IFERROR(LEFT(TRIM(INDEX(Forms貼り付け!$A:$AZ,93,AP$3)),1),""))</f>
        <v/>
      </c>
      <c r="AQ94" s="8">
        <f>IF(AQ$3="","",IFERROR(LEFT(TRIM(INDEX(Forms貼り付け!$A:$AZ,93,AQ$3)),1),""))</f>
        <v/>
      </c>
      <c r="AR94" s="8">
        <f>IF(AR$3="","",IFERROR(LEFT(TRIM(INDEX(Forms貼り付け!$A:$AZ,93,AR$3)),1),""))</f>
        <v/>
      </c>
      <c r="AS94" s="8">
        <f>IF(AS$3="","",IFERROR(LEFT(TRIM(INDEX(Forms貼り付け!$A:$AZ,93,AS$3)),1),""))</f>
        <v/>
      </c>
      <c r="AT94" s="8">
        <f>IF(AT$3="","",IFERROR(LEFT(TRIM(INDEX(Forms貼り付け!$A:$AZ,93,AT$3)),1),""))</f>
        <v/>
      </c>
      <c r="AU94" s="8">
        <f>IF(AU$3="","",IFERROR(LEFT(TRIM(INDEX(Forms貼り付け!$A:$AZ,93,AU$3)),1),""))</f>
        <v/>
      </c>
      <c r="AV94" s="8">
        <f>IF(AV$3="","",IFERROR(LEFT(TRIM(INDEX(Forms貼り付け!$A:$AZ,93,AV$3)),1),""))</f>
        <v/>
      </c>
      <c r="AW94" s="8">
        <f>IF(AW$3="","",IFERROR(LEFT(TRIM(INDEX(Forms貼り付け!$A:$AZ,93,AW$3)),1),""))</f>
        <v/>
      </c>
      <c r="AX94" s="8">
        <f>IF(AX$3="","",IFERROR(LEFT(TRIM(INDEX(Forms貼り付け!$A:$AZ,93,AX$3)),1),""))</f>
        <v/>
      </c>
      <c r="AY94" s="8">
        <f>IF(AY$3="","",IFERROR(LEFT(TRIM(INDEX(Forms貼り付け!$A:$AZ,93,AY$3)),1),""))</f>
        <v/>
      </c>
      <c r="AZ94" s="8">
        <f>IF(AZ$3="","",IFERROR(LEFT(TRIM(INDEX(Forms貼り付け!$A:$AZ,93,AZ$3)),1),""))</f>
        <v/>
      </c>
      <c r="BA94" s="8">
        <f>IF(BA$3="","",IFERROR(LEFT(TRIM(INDEX(Forms貼り付け!$A:$AZ,93,BA$3)),1),""))</f>
        <v/>
      </c>
      <c r="BB94" s="8">
        <f>IF(BB$3="","",IFERROR(LEFT(TRIM(INDEX(Forms貼り付け!$A:$AZ,93,BB$3)),1),""))</f>
        <v/>
      </c>
      <c r="BC94" s="8">
        <f>IF(BC$3="","",IFERROR(LEFT(TRIM(INDEX(Forms貼り付け!$A:$AZ,93,BC$3)),1),""))</f>
        <v/>
      </c>
    </row>
    <row r="95">
      <c r="A95" s="8" t="inlineStr">
        <is>
          <t>U091</t>
        </is>
      </c>
      <c r="B95" s="9">
        <f>IF($B$3="","",INDEX(Forms貼り付け!$A:$AZ,94,$B$3))</f>
        <v/>
      </c>
      <c r="C95" s="9">
        <f>IF($C$3="","",INDEX(Forms貼り付け!$A:$AZ,94,$C$3))</f>
        <v/>
      </c>
      <c r="D95" s="8">
        <f>IF($D$3="","",INDEX(Forms貼り付け!$A:$AZ,94,$D$3))</f>
        <v/>
      </c>
      <c r="E95" s="8">
        <f>IF($E$3="","",INDEX(Forms貼り付け!$A:$AZ,94,$E$3))</f>
        <v/>
      </c>
      <c r="F95" s="8">
        <f>IF(F$3="","",IFERROR(LEFT(TRIM(INDEX(Forms貼り付け!$A:$AZ,94,F$3)),1),""))</f>
        <v/>
      </c>
      <c r="G95" s="8">
        <f>IF(G$3="","",IFERROR(LEFT(TRIM(INDEX(Forms貼り付け!$A:$AZ,94,G$3)),1),""))</f>
        <v/>
      </c>
      <c r="H95" s="8">
        <f>IF(H$3="","",IFERROR(LEFT(TRIM(INDEX(Forms貼り付け!$A:$AZ,94,H$3)),1),""))</f>
        <v/>
      </c>
      <c r="I95" s="8">
        <f>IF(I$3="","",IFERROR(LEFT(TRIM(INDEX(Forms貼り付け!$A:$AZ,94,I$3)),1),""))</f>
        <v/>
      </c>
      <c r="J95" s="8">
        <f>IF(J$3="","",IFERROR(LEFT(TRIM(INDEX(Forms貼り付け!$A:$AZ,94,J$3)),1),""))</f>
        <v/>
      </c>
      <c r="K95" s="8">
        <f>IF(K$3="","",IFERROR(LEFT(TRIM(INDEX(Forms貼り付け!$A:$AZ,94,K$3)),1),""))</f>
        <v/>
      </c>
      <c r="L95" s="8">
        <f>IF(L$3="","",IFERROR(LEFT(TRIM(INDEX(Forms貼り付け!$A:$AZ,94,L$3)),1),""))</f>
        <v/>
      </c>
      <c r="M95" s="8">
        <f>IF(M$3="","",IFERROR(LEFT(TRIM(INDEX(Forms貼り付け!$A:$AZ,94,M$3)),1),""))</f>
        <v/>
      </c>
      <c r="N95" s="8">
        <f>IF(N$3="","",IFERROR(LEFT(TRIM(INDEX(Forms貼り付け!$A:$AZ,94,N$3)),1),""))</f>
        <v/>
      </c>
      <c r="O95" s="8">
        <f>IF(O$3="","",IFERROR(LEFT(TRIM(INDEX(Forms貼り付け!$A:$AZ,94,O$3)),1),""))</f>
        <v/>
      </c>
      <c r="P95" s="8">
        <f>IF(P$3="","",IFERROR(LEFT(TRIM(INDEX(Forms貼り付け!$A:$AZ,94,P$3)),1),""))</f>
        <v/>
      </c>
      <c r="Q95" s="8">
        <f>IF(Q$3="","",IFERROR(LEFT(TRIM(INDEX(Forms貼り付け!$A:$AZ,94,Q$3)),1),""))</f>
        <v/>
      </c>
      <c r="R95" s="8">
        <f>IF(R$3="","",IFERROR(LEFT(TRIM(INDEX(Forms貼り付け!$A:$AZ,94,R$3)),1),""))</f>
        <v/>
      </c>
      <c r="S95" s="8">
        <f>IF(S$3="","",IFERROR(LEFT(TRIM(INDEX(Forms貼り付け!$A:$AZ,94,S$3)),1),""))</f>
        <v/>
      </c>
      <c r="T95" s="8">
        <f>IF(T$3="","",IFERROR(LEFT(TRIM(INDEX(Forms貼り付け!$A:$AZ,94,T$3)),1),""))</f>
        <v/>
      </c>
      <c r="U95" s="8">
        <f>IF(U$3="","",IFERROR(LEFT(TRIM(INDEX(Forms貼り付け!$A:$AZ,94,U$3)),1),""))</f>
        <v/>
      </c>
      <c r="V95" s="8">
        <f>IF(V$3="","",IFERROR(LEFT(TRIM(INDEX(Forms貼り付け!$A:$AZ,94,V$3)),1),""))</f>
        <v/>
      </c>
      <c r="W95" s="8">
        <f>IF(W$3="","",IFERROR(LEFT(TRIM(INDEX(Forms貼り付け!$A:$AZ,94,W$3)),1),""))</f>
        <v/>
      </c>
      <c r="X95" s="8">
        <f>IF(X$3="","",IFERROR(LEFT(TRIM(INDEX(Forms貼り付け!$A:$AZ,94,X$3)),1),""))</f>
        <v/>
      </c>
      <c r="Y95" s="8">
        <f>IF(Y$3="","",IFERROR(LEFT(TRIM(INDEX(Forms貼り付け!$A:$AZ,94,Y$3)),1),""))</f>
        <v/>
      </c>
      <c r="Z95" s="8">
        <f>IF(Z$3="","",IFERROR(LEFT(TRIM(INDEX(Forms貼り付け!$A:$AZ,94,Z$3)),1),""))</f>
        <v/>
      </c>
      <c r="AA95" s="8">
        <f>IF(AA$3="","",IFERROR(LEFT(TRIM(INDEX(Forms貼り付け!$A:$AZ,94,AA$3)),1),""))</f>
        <v/>
      </c>
      <c r="AB95" s="8">
        <f>IF(AB$3="","",IFERROR(LEFT(TRIM(INDEX(Forms貼り付け!$A:$AZ,94,AB$3)),1),""))</f>
        <v/>
      </c>
      <c r="AC95" s="8">
        <f>IF(AC$3="","",IFERROR(LEFT(TRIM(INDEX(Forms貼り付け!$A:$AZ,94,AC$3)),1),""))</f>
        <v/>
      </c>
      <c r="AD95" s="8">
        <f>IF(AD$3="","",IFERROR(LEFT(TRIM(INDEX(Forms貼り付け!$A:$AZ,94,AD$3)),1),""))</f>
        <v/>
      </c>
      <c r="AE95" s="8">
        <f>IF(AE$3="","",IFERROR(LEFT(TRIM(INDEX(Forms貼り付け!$A:$AZ,94,AE$3)),1),""))</f>
        <v/>
      </c>
      <c r="AF95" s="8">
        <f>IF(AF$3="","",IFERROR(LEFT(TRIM(INDEX(Forms貼り付け!$A:$AZ,94,AF$3)),1),""))</f>
        <v/>
      </c>
      <c r="AG95" s="8">
        <f>IF(AG$3="","",IFERROR(LEFT(TRIM(INDEX(Forms貼り付け!$A:$AZ,94,AG$3)),1),""))</f>
        <v/>
      </c>
      <c r="AH95" s="8">
        <f>IF(AH$3="","",IFERROR(LEFT(TRIM(INDEX(Forms貼り付け!$A:$AZ,94,AH$3)),1),""))</f>
        <v/>
      </c>
      <c r="AI95" s="8">
        <f>IF(AI$3="","",IFERROR(LEFT(TRIM(INDEX(Forms貼り付け!$A:$AZ,94,AI$3)),1),""))</f>
        <v/>
      </c>
      <c r="AJ95" s="8">
        <f>IF(AJ$3="","",IFERROR(LEFT(TRIM(INDEX(Forms貼り付け!$A:$AZ,94,AJ$3)),1),""))</f>
        <v/>
      </c>
      <c r="AK95" s="8">
        <f>IF(AK$3="","",IFERROR(LEFT(TRIM(INDEX(Forms貼り付け!$A:$AZ,94,AK$3)),1),""))</f>
        <v/>
      </c>
      <c r="AL95" s="8">
        <f>IF(AL$3="","",IFERROR(LEFT(TRIM(INDEX(Forms貼り付け!$A:$AZ,94,AL$3)),1),""))</f>
        <v/>
      </c>
      <c r="AM95" s="8">
        <f>IF(AM$3="","",IFERROR(LEFT(TRIM(INDEX(Forms貼り付け!$A:$AZ,94,AM$3)),1),""))</f>
        <v/>
      </c>
      <c r="AN95" s="8">
        <f>IF(AN$3="","",IFERROR(LEFT(TRIM(INDEX(Forms貼り付け!$A:$AZ,94,AN$3)),1),""))</f>
        <v/>
      </c>
      <c r="AO95" s="8">
        <f>IF(AO$3="","",IFERROR(LEFT(TRIM(INDEX(Forms貼り付け!$A:$AZ,94,AO$3)),1),""))</f>
        <v/>
      </c>
      <c r="AP95" s="8">
        <f>IF(AP$3="","",IFERROR(LEFT(TRIM(INDEX(Forms貼り付け!$A:$AZ,94,AP$3)),1),""))</f>
        <v/>
      </c>
      <c r="AQ95" s="8">
        <f>IF(AQ$3="","",IFERROR(LEFT(TRIM(INDEX(Forms貼り付け!$A:$AZ,94,AQ$3)),1),""))</f>
        <v/>
      </c>
      <c r="AR95" s="8">
        <f>IF(AR$3="","",IFERROR(LEFT(TRIM(INDEX(Forms貼り付け!$A:$AZ,94,AR$3)),1),""))</f>
        <v/>
      </c>
      <c r="AS95" s="8">
        <f>IF(AS$3="","",IFERROR(LEFT(TRIM(INDEX(Forms貼り付け!$A:$AZ,94,AS$3)),1),""))</f>
        <v/>
      </c>
      <c r="AT95" s="8">
        <f>IF(AT$3="","",IFERROR(LEFT(TRIM(INDEX(Forms貼り付け!$A:$AZ,94,AT$3)),1),""))</f>
        <v/>
      </c>
      <c r="AU95" s="8">
        <f>IF(AU$3="","",IFERROR(LEFT(TRIM(INDEX(Forms貼り付け!$A:$AZ,94,AU$3)),1),""))</f>
        <v/>
      </c>
      <c r="AV95" s="8">
        <f>IF(AV$3="","",IFERROR(LEFT(TRIM(INDEX(Forms貼り付け!$A:$AZ,94,AV$3)),1),""))</f>
        <v/>
      </c>
      <c r="AW95" s="8">
        <f>IF(AW$3="","",IFERROR(LEFT(TRIM(INDEX(Forms貼り付け!$A:$AZ,94,AW$3)),1),""))</f>
        <v/>
      </c>
      <c r="AX95" s="8">
        <f>IF(AX$3="","",IFERROR(LEFT(TRIM(INDEX(Forms貼り付け!$A:$AZ,94,AX$3)),1),""))</f>
        <v/>
      </c>
      <c r="AY95" s="8">
        <f>IF(AY$3="","",IFERROR(LEFT(TRIM(INDEX(Forms貼り付け!$A:$AZ,94,AY$3)),1),""))</f>
        <v/>
      </c>
      <c r="AZ95" s="8">
        <f>IF(AZ$3="","",IFERROR(LEFT(TRIM(INDEX(Forms貼り付け!$A:$AZ,94,AZ$3)),1),""))</f>
        <v/>
      </c>
      <c r="BA95" s="8">
        <f>IF(BA$3="","",IFERROR(LEFT(TRIM(INDEX(Forms貼り付け!$A:$AZ,94,BA$3)),1),""))</f>
        <v/>
      </c>
      <c r="BB95" s="8">
        <f>IF(BB$3="","",IFERROR(LEFT(TRIM(INDEX(Forms貼り付け!$A:$AZ,94,BB$3)),1),""))</f>
        <v/>
      </c>
      <c r="BC95" s="8">
        <f>IF(BC$3="","",IFERROR(LEFT(TRIM(INDEX(Forms貼り付け!$A:$AZ,94,BC$3)),1),""))</f>
        <v/>
      </c>
    </row>
    <row r="96">
      <c r="A96" s="8" t="inlineStr">
        <is>
          <t>U092</t>
        </is>
      </c>
      <c r="B96" s="9">
        <f>IF($B$3="","",INDEX(Forms貼り付け!$A:$AZ,95,$B$3))</f>
        <v/>
      </c>
      <c r="C96" s="9">
        <f>IF($C$3="","",INDEX(Forms貼り付け!$A:$AZ,95,$C$3))</f>
        <v/>
      </c>
      <c r="D96" s="8">
        <f>IF($D$3="","",INDEX(Forms貼り付け!$A:$AZ,95,$D$3))</f>
        <v/>
      </c>
      <c r="E96" s="8">
        <f>IF($E$3="","",INDEX(Forms貼り付け!$A:$AZ,95,$E$3))</f>
        <v/>
      </c>
      <c r="F96" s="8">
        <f>IF(F$3="","",IFERROR(LEFT(TRIM(INDEX(Forms貼り付け!$A:$AZ,95,F$3)),1),""))</f>
        <v/>
      </c>
      <c r="G96" s="8">
        <f>IF(G$3="","",IFERROR(LEFT(TRIM(INDEX(Forms貼り付け!$A:$AZ,95,G$3)),1),""))</f>
        <v/>
      </c>
      <c r="H96" s="8">
        <f>IF(H$3="","",IFERROR(LEFT(TRIM(INDEX(Forms貼り付け!$A:$AZ,95,H$3)),1),""))</f>
        <v/>
      </c>
      <c r="I96" s="8">
        <f>IF(I$3="","",IFERROR(LEFT(TRIM(INDEX(Forms貼り付け!$A:$AZ,95,I$3)),1),""))</f>
        <v/>
      </c>
      <c r="J96" s="8">
        <f>IF(J$3="","",IFERROR(LEFT(TRIM(INDEX(Forms貼り付け!$A:$AZ,95,J$3)),1),""))</f>
        <v/>
      </c>
      <c r="K96" s="8">
        <f>IF(K$3="","",IFERROR(LEFT(TRIM(INDEX(Forms貼り付け!$A:$AZ,95,K$3)),1),""))</f>
        <v/>
      </c>
      <c r="L96" s="8">
        <f>IF(L$3="","",IFERROR(LEFT(TRIM(INDEX(Forms貼り付け!$A:$AZ,95,L$3)),1),""))</f>
        <v/>
      </c>
      <c r="M96" s="8">
        <f>IF(M$3="","",IFERROR(LEFT(TRIM(INDEX(Forms貼り付け!$A:$AZ,95,M$3)),1),""))</f>
        <v/>
      </c>
      <c r="N96" s="8">
        <f>IF(N$3="","",IFERROR(LEFT(TRIM(INDEX(Forms貼り付け!$A:$AZ,95,N$3)),1),""))</f>
        <v/>
      </c>
      <c r="O96" s="8">
        <f>IF(O$3="","",IFERROR(LEFT(TRIM(INDEX(Forms貼り付け!$A:$AZ,95,O$3)),1),""))</f>
        <v/>
      </c>
      <c r="P96" s="8">
        <f>IF(P$3="","",IFERROR(LEFT(TRIM(INDEX(Forms貼り付け!$A:$AZ,95,P$3)),1),""))</f>
        <v/>
      </c>
      <c r="Q96" s="8">
        <f>IF(Q$3="","",IFERROR(LEFT(TRIM(INDEX(Forms貼り付け!$A:$AZ,95,Q$3)),1),""))</f>
        <v/>
      </c>
      <c r="R96" s="8">
        <f>IF(R$3="","",IFERROR(LEFT(TRIM(INDEX(Forms貼り付け!$A:$AZ,95,R$3)),1),""))</f>
        <v/>
      </c>
      <c r="S96" s="8">
        <f>IF(S$3="","",IFERROR(LEFT(TRIM(INDEX(Forms貼り付け!$A:$AZ,95,S$3)),1),""))</f>
        <v/>
      </c>
      <c r="T96" s="8">
        <f>IF(T$3="","",IFERROR(LEFT(TRIM(INDEX(Forms貼り付け!$A:$AZ,95,T$3)),1),""))</f>
        <v/>
      </c>
      <c r="U96" s="8">
        <f>IF(U$3="","",IFERROR(LEFT(TRIM(INDEX(Forms貼り付け!$A:$AZ,95,U$3)),1),""))</f>
        <v/>
      </c>
      <c r="V96" s="8">
        <f>IF(V$3="","",IFERROR(LEFT(TRIM(INDEX(Forms貼り付け!$A:$AZ,95,V$3)),1),""))</f>
        <v/>
      </c>
      <c r="W96" s="8">
        <f>IF(W$3="","",IFERROR(LEFT(TRIM(INDEX(Forms貼り付け!$A:$AZ,95,W$3)),1),""))</f>
        <v/>
      </c>
      <c r="X96" s="8">
        <f>IF(X$3="","",IFERROR(LEFT(TRIM(INDEX(Forms貼り付け!$A:$AZ,95,X$3)),1),""))</f>
        <v/>
      </c>
      <c r="Y96" s="8">
        <f>IF(Y$3="","",IFERROR(LEFT(TRIM(INDEX(Forms貼り付け!$A:$AZ,95,Y$3)),1),""))</f>
        <v/>
      </c>
      <c r="Z96" s="8">
        <f>IF(Z$3="","",IFERROR(LEFT(TRIM(INDEX(Forms貼り付け!$A:$AZ,95,Z$3)),1),""))</f>
        <v/>
      </c>
      <c r="AA96" s="8">
        <f>IF(AA$3="","",IFERROR(LEFT(TRIM(INDEX(Forms貼り付け!$A:$AZ,95,AA$3)),1),""))</f>
        <v/>
      </c>
      <c r="AB96" s="8">
        <f>IF(AB$3="","",IFERROR(LEFT(TRIM(INDEX(Forms貼り付け!$A:$AZ,95,AB$3)),1),""))</f>
        <v/>
      </c>
      <c r="AC96" s="8">
        <f>IF(AC$3="","",IFERROR(LEFT(TRIM(INDEX(Forms貼り付け!$A:$AZ,95,AC$3)),1),""))</f>
        <v/>
      </c>
      <c r="AD96" s="8">
        <f>IF(AD$3="","",IFERROR(LEFT(TRIM(INDEX(Forms貼り付け!$A:$AZ,95,AD$3)),1),""))</f>
        <v/>
      </c>
      <c r="AE96" s="8">
        <f>IF(AE$3="","",IFERROR(LEFT(TRIM(INDEX(Forms貼り付け!$A:$AZ,95,AE$3)),1),""))</f>
        <v/>
      </c>
      <c r="AF96" s="8">
        <f>IF(AF$3="","",IFERROR(LEFT(TRIM(INDEX(Forms貼り付け!$A:$AZ,95,AF$3)),1),""))</f>
        <v/>
      </c>
      <c r="AG96" s="8">
        <f>IF(AG$3="","",IFERROR(LEFT(TRIM(INDEX(Forms貼り付け!$A:$AZ,95,AG$3)),1),""))</f>
        <v/>
      </c>
      <c r="AH96" s="8">
        <f>IF(AH$3="","",IFERROR(LEFT(TRIM(INDEX(Forms貼り付け!$A:$AZ,95,AH$3)),1),""))</f>
        <v/>
      </c>
      <c r="AI96" s="8">
        <f>IF(AI$3="","",IFERROR(LEFT(TRIM(INDEX(Forms貼り付け!$A:$AZ,95,AI$3)),1),""))</f>
        <v/>
      </c>
      <c r="AJ96" s="8">
        <f>IF(AJ$3="","",IFERROR(LEFT(TRIM(INDEX(Forms貼り付け!$A:$AZ,95,AJ$3)),1),""))</f>
        <v/>
      </c>
      <c r="AK96" s="8">
        <f>IF(AK$3="","",IFERROR(LEFT(TRIM(INDEX(Forms貼り付け!$A:$AZ,95,AK$3)),1),""))</f>
        <v/>
      </c>
      <c r="AL96" s="8">
        <f>IF(AL$3="","",IFERROR(LEFT(TRIM(INDEX(Forms貼り付け!$A:$AZ,95,AL$3)),1),""))</f>
        <v/>
      </c>
      <c r="AM96" s="8">
        <f>IF(AM$3="","",IFERROR(LEFT(TRIM(INDEX(Forms貼り付け!$A:$AZ,95,AM$3)),1),""))</f>
        <v/>
      </c>
      <c r="AN96" s="8">
        <f>IF(AN$3="","",IFERROR(LEFT(TRIM(INDEX(Forms貼り付け!$A:$AZ,95,AN$3)),1),""))</f>
        <v/>
      </c>
      <c r="AO96" s="8">
        <f>IF(AO$3="","",IFERROR(LEFT(TRIM(INDEX(Forms貼り付け!$A:$AZ,95,AO$3)),1),""))</f>
        <v/>
      </c>
      <c r="AP96" s="8">
        <f>IF(AP$3="","",IFERROR(LEFT(TRIM(INDEX(Forms貼り付け!$A:$AZ,95,AP$3)),1),""))</f>
        <v/>
      </c>
      <c r="AQ96" s="8">
        <f>IF(AQ$3="","",IFERROR(LEFT(TRIM(INDEX(Forms貼り付け!$A:$AZ,95,AQ$3)),1),""))</f>
        <v/>
      </c>
      <c r="AR96" s="8">
        <f>IF(AR$3="","",IFERROR(LEFT(TRIM(INDEX(Forms貼り付け!$A:$AZ,95,AR$3)),1),""))</f>
        <v/>
      </c>
      <c r="AS96" s="8">
        <f>IF(AS$3="","",IFERROR(LEFT(TRIM(INDEX(Forms貼り付け!$A:$AZ,95,AS$3)),1),""))</f>
        <v/>
      </c>
      <c r="AT96" s="8">
        <f>IF(AT$3="","",IFERROR(LEFT(TRIM(INDEX(Forms貼り付け!$A:$AZ,95,AT$3)),1),""))</f>
        <v/>
      </c>
      <c r="AU96" s="8">
        <f>IF(AU$3="","",IFERROR(LEFT(TRIM(INDEX(Forms貼り付け!$A:$AZ,95,AU$3)),1),""))</f>
        <v/>
      </c>
      <c r="AV96" s="8">
        <f>IF(AV$3="","",IFERROR(LEFT(TRIM(INDEX(Forms貼り付け!$A:$AZ,95,AV$3)),1),""))</f>
        <v/>
      </c>
      <c r="AW96" s="8">
        <f>IF(AW$3="","",IFERROR(LEFT(TRIM(INDEX(Forms貼り付け!$A:$AZ,95,AW$3)),1),""))</f>
        <v/>
      </c>
      <c r="AX96" s="8">
        <f>IF(AX$3="","",IFERROR(LEFT(TRIM(INDEX(Forms貼り付け!$A:$AZ,95,AX$3)),1),""))</f>
        <v/>
      </c>
      <c r="AY96" s="8">
        <f>IF(AY$3="","",IFERROR(LEFT(TRIM(INDEX(Forms貼り付け!$A:$AZ,95,AY$3)),1),""))</f>
        <v/>
      </c>
      <c r="AZ96" s="8">
        <f>IF(AZ$3="","",IFERROR(LEFT(TRIM(INDEX(Forms貼り付け!$A:$AZ,95,AZ$3)),1),""))</f>
        <v/>
      </c>
      <c r="BA96" s="8">
        <f>IF(BA$3="","",IFERROR(LEFT(TRIM(INDEX(Forms貼り付け!$A:$AZ,95,BA$3)),1),""))</f>
        <v/>
      </c>
      <c r="BB96" s="8">
        <f>IF(BB$3="","",IFERROR(LEFT(TRIM(INDEX(Forms貼り付け!$A:$AZ,95,BB$3)),1),""))</f>
        <v/>
      </c>
      <c r="BC96" s="8">
        <f>IF(BC$3="","",IFERROR(LEFT(TRIM(INDEX(Forms貼り付け!$A:$AZ,95,BC$3)),1),""))</f>
        <v/>
      </c>
    </row>
    <row r="97">
      <c r="A97" s="8" t="inlineStr">
        <is>
          <t>U093</t>
        </is>
      </c>
      <c r="B97" s="9">
        <f>IF($B$3="","",INDEX(Forms貼り付け!$A:$AZ,96,$B$3))</f>
        <v/>
      </c>
      <c r="C97" s="9">
        <f>IF($C$3="","",INDEX(Forms貼り付け!$A:$AZ,96,$C$3))</f>
        <v/>
      </c>
      <c r="D97" s="8">
        <f>IF($D$3="","",INDEX(Forms貼り付け!$A:$AZ,96,$D$3))</f>
        <v/>
      </c>
      <c r="E97" s="8">
        <f>IF($E$3="","",INDEX(Forms貼り付け!$A:$AZ,96,$E$3))</f>
        <v/>
      </c>
      <c r="F97" s="8">
        <f>IF(F$3="","",IFERROR(LEFT(TRIM(INDEX(Forms貼り付け!$A:$AZ,96,F$3)),1),""))</f>
        <v/>
      </c>
      <c r="G97" s="8">
        <f>IF(G$3="","",IFERROR(LEFT(TRIM(INDEX(Forms貼り付け!$A:$AZ,96,G$3)),1),""))</f>
        <v/>
      </c>
      <c r="H97" s="8">
        <f>IF(H$3="","",IFERROR(LEFT(TRIM(INDEX(Forms貼り付け!$A:$AZ,96,H$3)),1),""))</f>
        <v/>
      </c>
      <c r="I97" s="8">
        <f>IF(I$3="","",IFERROR(LEFT(TRIM(INDEX(Forms貼り付け!$A:$AZ,96,I$3)),1),""))</f>
        <v/>
      </c>
      <c r="J97" s="8">
        <f>IF(J$3="","",IFERROR(LEFT(TRIM(INDEX(Forms貼り付け!$A:$AZ,96,J$3)),1),""))</f>
        <v/>
      </c>
      <c r="K97" s="8">
        <f>IF(K$3="","",IFERROR(LEFT(TRIM(INDEX(Forms貼り付け!$A:$AZ,96,K$3)),1),""))</f>
        <v/>
      </c>
      <c r="L97" s="8">
        <f>IF(L$3="","",IFERROR(LEFT(TRIM(INDEX(Forms貼り付け!$A:$AZ,96,L$3)),1),""))</f>
        <v/>
      </c>
      <c r="M97" s="8">
        <f>IF(M$3="","",IFERROR(LEFT(TRIM(INDEX(Forms貼り付け!$A:$AZ,96,M$3)),1),""))</f>
        <v/>
      </c>
      <c r="N97" s="8">
        <f>IF(N$3="","",IFERROR(LEFT(TRIM(INDEX(Forms貼り付け!$A:$AZ,96,N$3)),1),""))</f>
        <v/>
      </c>
      <c r="O97" s="8">
        <f>IF(O$3="","",IFERROR(LEFT(TRIM(INDEX(Forms貼り付け!$A:$AZ,96,O$3)),1),""))</f>
        <v/>
      </c>
      <c r="P97" s="8">
        <f>IF(P$3="","",IFERROR(LEFT(TRIM(INDEX(Forms貼り付け!$A:$AZ,96,P$3)),1),""))</f>
        <v/>
      </c>
      <c r="Q97" s="8">
        <f>IF(Q$3="","",IFERROR(LEFT(TRIM(INDEX(Forms貼り付け!$A:$AZ,96,Q$3)),1),""))</f>
        <v/>
      </c>
      <c r="R97" s="8">
        <f>IF(R$3="","",IFERROR(LEFT(TRIM(INDEX(Forms貼り付け!$A:$AZ,96,R$3)),1),""))</f>
        <v/>
      </c>
      <c r="S97" s="8">
        <f>IF(S$3="","",IFERROR(LEFT(TRIM(INDEX(Forms貼り付け!$A:$AZ,96,S$3)),1),""))</f>
        <v/>
      </c>
      <c r="T97" s="8">
        <f>IF(T$3="","",IFERROR(LEFT(TRIM(INDEX(Forms貼り付け!$A:$AZ,96,T$3)),1),""))</f>
        <v/>
      </c>
      <c r="U97" s="8">
        <f>IF(U$3="","",IFERROR(LEFT(TRIM(INDEX(Forms貼り付け!$A:$AZ,96,U$3)),1),""))</f>
        <v/>
      </c>
      <c r="V97" s="8">
        <f>IF(V$3="","",IFERROR(LEFT(TRIM(INDEX(Forms貼り付け!$A:$AZ,96,V$3)),1),""))</f>
        <v/>
      </c>
      <c r="W97" s="8">
        <f>IF(W$3="","",IFERROR(LEFT(TRIM(INDEX(Forms貼り付け!$A:$AZ,96,W$3)),1),""))</f>
        <v/>
      </c>
      <c r="X97" s="8">
        <f>IF(X$3="","",IFERROR(LEFT(TRIM(INDEX(Forms貼り付け!$A:$AZ,96,X$3)),1),""))</f>
        <v/>
      </c>
      <c r="Y97" s="8">
        <f>IF(Y$3="","",IFERROR(LEFT(TRIM(INDEX(Forms貼り付け!$A:$AZ,96,Y$3)),1),""))</f>
        <v/>
      </c>
      <c r="Z97" s="8">
        <f>IF(Z$3="","",IFERROR(LEFT(TRIM(INDEX(Forms貼り付け!$A:$AZ,96,Z$3)),1),""))</f>
        <v/>
      </c>
      <c r="AA97" s="8">
        <f>IF(AA$3="","",IFERROR(LEFT(TRIM(INDEX(Forms貼り付け!$A:$AZ,96,AA$3)),1),""))</f>
        <v/>
      </c>
      <c r="AB97" s="8">
        <f>IF(AB$3="","",IFERROR(LEFT(TRIM(INDEX(Forms貼り付け!$A:$AZ,96,AB$3)),1),""))</f>
        <v/>
      </c>
      <c r="AC97" s="8">
        <f>IF(AC$3="","",IFERROR(LEFT(TRIM(INDEX(Forms貼り付け!$A:$AZ,96,AC$3)),1),""))</f>
        <v/>
      </c>
      <c r="AD97" s="8">
        <f>IF(AD$3="","",IFERROR(LEFT(TRIM(INDEX(Forms貼り付け!$A:$AZ,96,AD$3)),1),""))</f>
        <v/>
      </c>
      <c r="AE97" s="8">
        <f>IF(AE$3="","",IFERROR(LEFT(TRIM(INDEX(Forms貼り付け!$A:$AZ,96,AE$3)),1),""))</f>
        <v/>
      </c>
      <c r="AF97" s="8">
        <f>IF(AF$3="","",IFERROR(LEFT(TRIM(INDEX(Forms貼り付け!$A:$AZ,96,AF$3)),1),""))</f>
        <v/>
      </c>
      <c r="AG97" s="8">
        <f>IF(AG$3="","",IFERROR(LEFT(TRIM(INDEX(Forms貼り付け!$A:$AZ,96,AG$3)),1),""))</f>
        <v/>
      </c>
      <c r="AH97" s="8">
        <f>IF(AH$3="","",IFERROR(LEFT(TRIM(INDEX(Forms貼り付け!$A:$AZ,96,AH$3)),1),""))</f>
        <v/>
      </c>
      <c r="AI97" s="8">
        <f>IF(AI$3="","",IFERROR(LEFT(TRIM(INDEX(Forms貼り付け!$A:$AZ,96,AI$3)),1),""))</f>
        <v/>
      </c>
      <c r="AJ97" s="8">
        <f>IF(AJ$3="","",IFERROR(LEFT(TRIM(INDEX(Forms貼り付け!$A:$AZ,96,AJ$3)),1),""))</f>
        <v/>
      </c>
      <c r="AK97" s="8">
        <f>IF(AK$3="","",IFERROR(LEFT(TRIM(INDEX(Forms貼り付け!$A:$AZ,96,AK$3)),1),""))</f>
        <v/>
      </c>
      <c r="AL97" s="8">
        <f>IF(AL$3="","",IFERROR(LEFT(TRIM(INDEX(Forms貼り付け!$A:$AZ,96,AL$3)),1),""))</f>
        <v/>
      </c>
      <c r="AM97" s="8">
        <f>IF(AM$3="","",IFERROR(LEFT(TRIM(INDEX(Forms貼り付け!$A:$AZ,96,AM$3)),1),""))</f>
        <v/>
      </c>
      <c r="AN97" s="8">
        <f>IF(AN$3="","",IFERROR(LEFT(TRIM(INDEX(Forms貼り付け!$A:$AZ,96,AN$3)),1),""))</f>
        <v/>
      </c>
      <c r="AO97" s="8">
        <f>IF(AO$3="","",IFERROR(LEFT(TRIM(INDEX(Forms貼り付け!$A:$AZ,96,AO$3)),1),""))</f>
        <v/>
      </c>
      <c r="AP97" s="8">
        <f>IF(AP$3="","",IFERROR(LEFT(TRIM(INDEX(Forms貼り付け!$A:$AZ,96,AP$3)),1),""))</f>
        <v/>
      </c>
      <c r="AQ97" s="8">
        <f>IF(AQ$3="","",IFERROR(LEFT(TRIM(INDEX(Forms貼り付け!$A:$AZ,96,AQ$3)),1),""))</f>
        <v/>
      </c>
      <c r="AR97" s="8">
        <f>IF(AR$3="","",IFERROR(LEFT(TRIM(INDEX(Forms貼り付け!$A:$AZ,96,AR$3)),1),""))</f>
        <v/>
      </c>
      <c r="AS97" s="8">
        <f>IF(AS$3="","",IFERROR(LEFT(TRIM(INDEX(Forms貼り付け!$A:$AZ,96,AS$3)),1),""))</f>
        <v/>
      </c>
      <c r="AT97" s="8">
        <f>IF(AT$3="","",IFERROR(LEFT(TRIM(INDEX(Forms貼り付け!$A:$AZ,96,AT$3)),1),""))</f>
        <v/>
      </c>
      <c r="AU97" s="8">
        <f>IF(AU$3="","",IFERROR(LEFT(TRIM(INDEX(Forms貼り付け!$A:$AZ,96,AU$3)),1),""))</f>
        <v/>
      </c>
      <c r="AV97" s="8">
        <f>IF(AV$3="","",IFERROR(LEFT(TRIM(INDEX(Forms貼り付け!$A:$AZ,96,AV$3)),1),""))</f>
        <v/>
      </c>
      <c r="AW97" s="8">
        <f>IF(AW$3="","",IFERROR(LEFT(TRIM(INDEX(Forms貼り付け!$A:$AZ,96,AW$3)),1),""))</f>
        <v/>
      </c>
      <c r="AX97" s="8">
        <f>IF(AX$3="","",IFERROR(LEFT(TRIM(INDEX(Forms貼り付け!$A:$AZ,96,AX$3)),1),""))</f>
        <v/>
      </c>
      <c r="AY97" s="8">
        <f>IF(AY$3="","",IFERROR(LEFT(TRIM(INDEX(Forms貼り付け!$A:$AZ,96,AY$3)),1),""))</f>
        <v/>
      </c>
      <c r="AZ97" s="8">
        <f>IF(AZ$3="","",IFERROR(LEFT(TRIM(INDEX(Forms貼り付け!$A:$AZ,96,AZ$3)),1),""))</f>
        <v/>
      </c>
      <c r="BA97" s="8">
        <f>IF(BA$3="","",IFERROR(LEFT(TRIM(INDEX(Forms貼り付け!$A:$AZ,96,BA$3)),1),""))</f>
        <v/>
      </c>
      <c r="BB97" s="8">
        <f>IF(BB$3="","",IFERROR(LEFT(TRIM(INDEX(Forms貼り付け!$A:$AZ,96,BB$3)),1),""))</f>
        <v/>
      </c>
      <c r="BC97" s="8">
        <f>IF(BC$3="","",IFERROR(LEFT(TRIM(INDEX(Forms貼り付け!$A:$AZ,96,BC$3)),1),""))</f>
        <v/>
      </c>
    </row>
    <row r="98">
      <c r="A98" s="8" t="inlineStr">
        <is>
          <t>U094</t>
        </is>
      </c>
      <c r="B98" s="9">
        <f>IF($B$3="","",INDEX(Forms貼り付け!$A:$AZ,97,$B$3))</f>
        <v/>
      </c>
      <c r="C98" s="9">
        <f>IF($C$3="","",INDEX(Forms貼り付け!$A:$AZ,97,$C$3))</f>
        <v/>
      </c>
      <c r="D98" s="8">
        <f>IF($D$3="","",INDEX(Forms貼り付け!$A:$AZ,97,$D$3))</f>
        <v/>
      </c>
      <c r="E98" s="8">
        <f>IF($E$3="","",INDEX(Forms貼り付け!$A:$AZ,97,$E$3))</f>
        <v/>
      </c>
      <c r="F98" s="8">
        <f>IF(F$3="","",IFERROR(LEFT(TRIM(INDEX(Forms貼り付け!$A:$AZ,97,F$3)),1),""))</f>
        <v/>
      </c>
      <c r="G98" s="8">
        <f>IF(G$3="","",IFERROR(LEFT(TRIM(INDEX(Forms貼り付け!$A:$AZ,97,G$3)),1),""))</f>
        <v/>
      </c>
      <c r="H98" s="8">
        <f>IF(H$3="","",IFERROR(LEFT(TRIM(INDEX(Forms貼り付け!$A:$AZ,97,H$3)),1),""))</f>
        <v/>
      </c>
      <c r="I98" s="8">
        <f>IF(I$3="","",IFERROR(LEFT(TRIM(INDEX(Forms貼り付け!$A:$AZ,97,I$3)),1),""))</f>
        <v/>
      </c>
      <c r="J98" s="8">
        <f>IF(J$3="","",IFERROR(LEFT(TRIM(INDEX(Forms貼り付け!$A:$AZ,97,J$3)),1),""))</f>
        <v/>
      </c>
      <c r="K98" s="8">
        <f>IF(K$3="","",IFERROR(LEFT(TRIM(INDEX(Forms貼り付け!$A:$AZ,97,K$3)),1),""))</f>
        <v/>
      </c>
      <c r="L98" s="8">
        <f>IF(L$3="","",IFERROR(LEFT(TRIM(INDEX(Forms貼り付け!$A:$AZ,97,L$3)),1),""))</f>
        <v/>
      </c>
      <c r="M98" s="8">
        <f>IF(M$3="","",IFERROR(LEFT(TRIM(INDEX(Forms貼り付け!$A:$AZ,97,M$3)),1),""))</f>
        <v/>
      </c>
      <c r="N98" s="8">
        <f>IF(N$3="","",IFERROR(LEFT(TRIM(INDEX(Forms貼り付け!$A:$AZ,97,N$3)),1),""))</f>
        <v/>
      </c>
      <c r="O98" s="8">
        <f>IF(O$3="","",IFERROR(LEFT(TRIM(INDEX(Forms貼り付け!$A:$AZ,97,O$3)),1),""))</f>
        <v/>
      </c>
      <c r="P98" s="8">
        <f>IF(P$3="","",IFERROR(LEFT(TRIM(INDEX(Forms貼り付け!$A:$AZ,97,P$3)),1),""))</f>
        <v/>
      </c>
      <c r="Q98" s="8">
        <f>IF(Q$3="","",IFERROR(LEFT(TRIM(INDEX(Forms貼り付け!$A:$AZ,97,Q$3)),1),""))</f>
        <v/>
      </c>
      <c r="R98" s="8">
        <f>IF(R$3="","",IFERROR(LEFT(TRIM(INDEX(Forms貼り付け!$A:$AZ,97,R$3)),1),""))</f>
        <v/>
      </c>
      <c r="S98" s="8">
        <f>IF(S$3="","",IFERROR(LEFT(TRIM(INDEX(Forms貼り付け!$A:$AZ,97,S$3)),1),""))</f>
        <v/>
      </c>
      <c r="T98" s="8">
        <f>IF(T$3="","",IFERROR(LEFT(TRIM(INDEX(Forms貼り付け!$A:$AZ,97,T$3)),1),""))</f>
        <v/>
      </c>
      <c r="U98" s="8">
        <f>IF(U$3="","",IFERROR(LEFT(TRIM(INDEX(Forms貼り付け!$A:$AZ,97,U$3)),1),""))</f>
        <v/>
      </c>
      <c r="V98" s="8">
        <f>IF(V$3="","",IFERROR(LEFT(TRIM(INDEX(Forms貼り付け!$A:$AZ,97,V$3)),1),""))</f>
        <v/>
      </c>
      <c r="W98" s="8">
        <f>IF(W$3="","",IFERROR(LEFT(TRIM(INDEX(Forms貼り付け!$A:$AZ,97,W$3)),1),""))</f>
        <v/>
      </c>
      <c r="X98" s="8">
        <f>IF(X$3="","",IFERROR(LEFT(TRIM(INDEX(Forms貼り付け!$A:$AZ,97,X$3)),1),""))</f>
        <v/>
      </c>
      <c r="Y98" s="8">
        <f>IF(Y$3="","",IFERROR(LEFT(TRIM(INDEX(Forms貼り付け!$A:$AZ,97,Y$3)),1),""))</f>
        <v/>
      </c>
      <c r="Z98" s="8">
        <f>IF(Z$3="","",IFERROR(LEFT(TRIM(INDEX(Forms貼り付け!$A:$AZ,97,Z$3)),1),""))</f>
        <v/>
      </c>
      <c r="AA98" s="8">
        <f>IF(AA$3="","",IFERROR(LEFT(TRIM(INDEX(Forms貼り付け!$A:$AZ,97,AA$3)),1),""))</f>
        <v/>
      </c>
      <c r="AB98" s="8">
        <f>IF(AB$3="","",IFERROR(LEFT(TRIM(INDEX(Forms貼り付け!$A:$AZ,97,AB$3)),1),""))</f>
        <v/>
      </c>
      <c r="AC98" s="8">
        <f>IF(AC$3="","",IFERROR(LEFT(TRIM(INDEX(Forms貼り付け!$A:$AZ,97,AC$3)),1),""))</f>
        <v/>
      </c>
      <c r="AD98" s="8">
        <f>IF(AD$3="","",IFERROR(LEFT(TRIM(INDEX(Forms貼り付け!$A:$AZ,97,AD$3)),1),""))</f>
        <v/>
      </c>
      <c r="AE98" s="8">
        <f>IF(AE$3="","",IFERROR(LEFT(TRIM(INDEX(Forms貼り付け!$A:$AZ,97,AE$3)),1),""))</f>
        <v/>
      </c>
      <c r="AF98" s="8">
        <f>IF(AF$3="","",IFERROR(LEFT(TRIM(INDEX(Forms貼り付け!$A:$AZ,97,AF$3)),1),""))</f>
        <v/>
      </c>
      <c r="AG98" s="8">
        <f>IF(AG$3="","",IFERROR(LEFT(TRIM(INDEX(Forms貼り付け!$A:$AZ,97,AG$3)),1),""))</f>
        <v/>
      </c>
      <c r="AH98" s="8">
        <f>IF(AH$3="","",IFERROR(LEFT(TRIM(INDEX(Forms貼り付け!$A:$AZ,97,AH$3)),1),""))</f>
        <v/>
      </c>
      <c r="AI98" s="8">
        <f>IF(AI$3="","",IFERROR(LEFT(TRIM(INDEX(Forms貼り付け!$A:$AZ,97,AI$3)),1),""))</f>
        <v/>
      </c>
      <c r="AJ98" s="8">
        <f>IF(AJ$3="","",IFERROR(LEFT(TRIM(INDEX(Forms貼り付け!$A:$AZ,97,AJ$3)),1),""))</f>
        <v/>
      </c>
      <c r="AK98" s="8">
        <f>IF(AK$3="","",IFERROR(LEFT(TRIM(INDEX(Forms貼り付け!$A:$AZ,97,AK$3)),1),""))</f>
        <v/>
      </c>
      <c r="AL98" s="8">
        <f>IF(AL$3="","",IFERROR(LEFT(TRIM(INDEX(Forms貼り付け!$A:$AZ,97,AL$3)),1),""))</f>
        <v/>
      </c>
      <c r="AM98" s="8">
        <f>IF(AM$3="","",IFERROR(LEFT(TRIM(INDEX(Forms貼り付け!$A:$AZ,97,AM$3)),1),""))</f>
        <v/>
      </c>
      <c r="AN98" s="8">
        <f>IF(AN$3="","",IFERROR(LEFT(TRIM(INDEX(Forms貼り付け!$A:$AZ,97,AN$3)),1),""))</f>
        <v/>
      </c>
      <c r="AO98" s="8">
        <f>IF(AO$3="","",IFERROR(LEFT(TRIM(INDEX(Forms貼り付け!$A:$AZ,97,AO$3)),1),""))</f>
        <v/>
      </c>
      <c r="AP98" s="8">
        <f>IF(AP$3="","",IFERROR(LEFT(TRIM(INDEX(Forms貼り付け!$A:$AZ,97,AP$3)),1),""))</f>
        <v/>
      </c>
      <c r="AQ98" s="8">
        <f>IF(AQ$3="","",IFERROR(LEFT(TRIM(INDEX(Forms貼り付け!$A:$AZ,97,AQ$3)),1),""))</f>
        <v/>
      </c>
      <c r="AR98" s="8">
        <f>IF(AR$3="","",IFERROR(LEFT(TRIM(INDEX(Forms貼り付け!$A:$AZ,97,AR$3)),1),""))</f>
        <v/>
      </c>
      <c r="AS98" s="8">
        <f>IF(AS$3="","",IFERROR(LEFT(TRIM(INDEX(Forms貼り付け!$A:$AZ,97,AS$3)),1),""))</f>
        <v/>
      </c>
      <c r="AT98" s="8">
        <f>IF(AT$3="","",IFERROR(LEFT(TRIM(INDEX(Forms貼り付け!$A:$AZ,97,AT$3)),1),""))</f>
        <v/>
      </c>
      <c r="AU98" s="8">
        <f>IF(AU$3="","",IFERROR(LEFT(TRIM(INDEX(Forms貼り付け!$A:$AZ,97,AU$3)),1),""))</f>
        <v/>
      </c>
      <c r="AV98" s="8">
        <f>IF(AV$3="","",IFERROR(LEFT(TRIM(INDEX(Forms貼り付け!$A:$AZ,97,AV$3)),1),""))</f>
        <v/>
      </c>
      <c r="AW98" s="8">
        <f>IF(AW$3="","",IFERROR(LEFT(TRIM(INDEX(Forms貼り付け!$A:$AZ,97,AW$3)),1),""))</f>
        <v/>
      </c>
      <c r="AX98" s="8">
        <f>IF(AX$3="","",IFERROR(LEFT(TRIM(INDEX(Forms貼り付け!$A:$AZ,97,AX$3)),1),""))</f>
        <v/>
      </c>
      <c r="AY98" s="8">
        <f>IF(AY$3="","",IFERROR(LEFT(TRIM(INDEX(Forms貼り付け!$A:$AZ,97,AY$3)),1),""))</f>
        <v/>
      </c>
      <c r="AZ98" s="8">
        <f>IF(AZ$3="","",IFERROR(LEFT(TRIM(INDEX(Forms貼り付け!$A:$AZ,97,AZ$3)),1),""))</f>
        <v/>
      </c>
      <c r="BA98" s="8">
        <f>IF(BA$3="","",IFERROR(LEFT(TRIM(INDEX(Forms貼り付け!$A:$AZ,97,BA$3)),1),""))</f>
        <v/>
      </c>
      <c r="BB98" s="8">
        <f>IF(BB$3="","",IFERROR(LEFT(TRIM(INDEX(Forms貼り付け!$A:$AZ,97,BB$3)),1),""))</f>
        <v/>
      </c>
      <c r="BC98" s="8">
        <f>IF(BC$3="","",IFERROR(LEFT(TRIM(INDEX(Forms貼り付け!$A:$AZ,97,BC$3)),1),""))</f>
        <v/>
      </c>
    </row>
    <row r="99">
      <c r="A99" s="8" t="inlineStr">
        <is>
          <t>U095</t>
        </is>
      </c>
      <c r="B99" s="9">
        <f>IF($B$3="","",INDEX(Forms貼り付け!$A:$AZ,98,$B$3))</f>
        <v/>
      </c>
      <c r="C99" s="9">
        <f>IF($C$3="","",INDEX(Forms貼り付け!$A:$AZ,98,$C$3))</f>
        <v/>
      </c>
      <c r="D99" s="8">
        <f>IF($D$3="","",INDEX(Forms貼り付け!$A:$AZ,98,$D$3))</f>
        <v/>
      </c>
      <c r="E99" s="8">
        <f>IF($E$3="","",INDEX(Forms貼り付け!$A:$AZ,98,$E$3))</f>
        <v/>
      </c>
      <c r="F99" s="8">
        <f>IF(F$3="","",IFERROR(LEFT(TRIM(INDEX(Forms貼り付け!$A:$AZ,98,F$3)),1),""))</f>
        <v/>
      </c>
      <c r="G99" s="8">
        <f>IF(G$3="","",IFERROR(LEFT(TRIM(INDEX(Forms貼り付け!$A:$AZ,98,G$3)),1),""))</f>
        <v/>
      </c>
      <c r="H99" s="8">
        <f>IF(H$3="","",IFERROR(LEFT(TRIM(INDEX(Forms貼り付け!$A:$AZ,98,H$3)),1),""))</f>
        <v/>
      </c>
      <c r="I99" s="8">
        <f>IF(I$3="","",IFERROR(LEFT(TRIM(INDEX(Forms貼り付け!$A:$AZ,98,I$3)),1),""))</f>
        <v/>
      </c>
      <c r="J99" s="8">
        <f>IF(J$3="","",IFERROR(LEFT(TRIM(INDEX(Forms貼り付け!$A:$AZ,98,J$3)),1),""))</f>
        <v/>
      </c>
      <c r="K99" s="8">
        <f>IF(K$3="","",IFERROR(LEFT(TRIM(INDEX(Forms貼り付け!$A:$AZ,98,K$3)),1),""))</f>
        <v/>
      </c>
      <c r="L99" s="8">
        <f>IF(L$3="","",IFERROR(LEFT(TRIM(INDEX(Forms貼り付け!$A:$AZ,98,L$3)),1),""))</f>
        <v/>
      </c>
      <c r="M99" s="8">
        <f>IF(M$3="","",IFERROR(LEFT(TRIM(INDEX(Forms貼り付け!$A:$AZ,98,M$3)),1),""))</f>
        <v/>
      </c>
      <c r="N99" s="8">
        <f>IF(N$3="","",IFERROR(LEFT(TRIM(INDEX(Forms貼り付け!$A:$AZ,98,N$3)),1),""))</f>
        <v/>
      </c>
      <c r="O99" s="8">
        <f>IF(O$3="","",IFERROR(LEFT(TRIM(INDEX(Forms貼り付け!$A:$AZ,98,O$3)),1),""))</f>
        <v/>
      </c>
      <c r="P99" s="8">
        <f>IF(P$3="","",IFERROR(LEFT(TRIM(INDEX(Forms貼り付け!$A:$AZ,98,P$3)),1),""))</f>
        <v/>
      </c>
      <c r="Q99" s="8">
        <f>IF(Q$3="","",IFERROR(LEFT(TRIM(INDEX(Forms貼り付け!$A:$AZ,98,Q$3)),1),""))</f>
        <v/>
      </c>
      <c r="R99" s="8">
        <f>IF(R$3="","",IFERROR(LEFT(TRIM(INDEX(Forms貼り付け!$A:$AZ,98,R$3)),1),""))</f>
        <v/>
      </c>
      <c r="S99" s="8">
        <f>IF(S$3="","",IFERROR(LEFT(TRIM(INDEX(Forms貼り付け!$A:$AZ,98,S$3)),1),""))</f>
        <v/>
      </c>
      <c r="T99" s="8">
        <f>IF(T$3="","",IFERROR(LEFT(TRIM(INDEX(Forms貼り付け!$A:$AZ,98,T$3)),1),""))</f>
        <v/>
      </c>
      <c r="U99" s="8">
        <f>IF(U$3="","",IFERROR(LEFT(TRIM(INDEX(Forms貼り付け!$A:$AZ,98,U$3)),1),""))</f>
        <v/>
      </c>
      <c r="V99" s="8">
        <f>IF(V$3="","",IFERROR(LEFT(TRIM(INDEX(Forms貼り付け!$A:$AZ,98,V$3)),1),""))</f>
        <v/>
      </c>
      <c r="W99" s="8">
        <f>IF(W$3="","",IFERROR(LEFT(TRIM(INDEX(Forms貼り付け!$A:$AZ,98,W$3)),1),""))</f>
        <v/>
      </c>
      <c r="X99" s="8">
        <f>IF(X$3="","",IFERROR(LEFT(TRIM(INDEX(Forms貼り付け!$A:$AZ,98,X$3)),1),""))</f>
        <v/>
      </c>
      <c r="Y99" s="8">
        <f>IF(Y$3="","",IFERROR(LEFT(TRIM(INDEX(Forms貼り付け!$A:$AZ,98,Y$3)),1),""))</f>
        <v/>
      </c>
      <c r="Z99" s="8">
        <f>IF(Z$3="","",IFERROR(LEFT(TRIM(INDEX(Forms貼り付け!$A:$AZ,98,Z$3)),1),""))</f>
        <v/>
      </c>
      <c r="AA99" s="8">
        <f>IF(AA$3="","",IFERROR(LEFT(TRIM(INDEX(Forms貼り付け!$A:$AZ,98,AA$3)),1),""))</f>
        <v/>
      </c>
      <c r="AB99" s="8">
        <f>IF(AB$3="","",IFERROR(LEFT(TRIM(INDEX(Forms貼り付け!$A:$AZ,98,AB$3)),1),""))</f>
        <v/>
      </c>
      <c r="AC99" s="8">
        <f>IF(AC$3="","",IFERROR(LEFT(TRIM(INDEX(Forms貼り付け!$A:$AZ,98,AC$3)),1),""))</f>
        <v/>
      </c>
      <c r="AD99" s="8">
        <f>IF(AD$3="","",IFERROR(LEFT(TRIM(INDEX(Forms貼り付け!$A:$AZ,98,AD$3)),1),""))</f>
        <v/>
      </c>
      <c r="AE99" s="8">
        <f>IF(AE$3="","",IFERROR(LEFT(TRIM(INDEX(Forms貼り付け!$A:$AZ,98,AE$3)),1),""))</f>
        <v/>
      </c>
      <c r="AF99" s="8">
        <f>IF(AF$3="","",IFERROR(LEFT(TRIM(INDEX(Forms貼り付け!$A:$AZ,98,AF$3)),1),""))</f>
        <v/>
      </c>
      <c r="AG99" s="8">
        <f>IF(AG$3="","",IFERROR(LEFT(TRIM(INDEX(Forms貼り付け!$A:$AZ,98,AG$3)),1),""))</f>
        <v/>
      </c>
      <c r="AH99" s="8">
        <f>IF(AH$3="","",IFERROR(LEFT(TRIM(INDEX(Forms貼り付け!$A:$AZ,98,AH$3)),1),""))</f>
        <v/>
      </c>
      <c r="AI99" s="8">
        <f>IF(AI$3="","",IFERROR(LEFT(TRIM(INDEX(Forms貼り付け!$A:$AZ,98,AI$3)),1),""))</f>
        <v/>
      </c>
      <c r="AJ99" s="8">
        <f>IF(AJ$3="","",IFERROR(LEFT(TRIM(INDEX(Forms貼り付け!$A:$AZ,98,AJ$3)),1),""))</f>
        <v/>
      </c>
      <c r="AK99" s="8">
        <f>IF(AK$3="","",IFERROR(LEFT(TRIM(INDEX(Forms貼り付け!$A:$AZ,98,AK$3)),1),""))</f>
        <v/>
      </c>
      <c r="AL99" s="8">
        <f>IF(AL$3="","",IFERROR(LEFT(TRIM(INDEX(Forms貼り付け!$A:$AZ,98,AL$3)),1),""))</f>
        <v/>
      </c>
      <c r="AM99" s="8">
        <f>IF(AM$3="","",IFERROR(LEFT(TRIM(INDEX(Forms貼り付け!$A:$AZ,98,AM$3)),1),""))</f>
        <v/>
      </c>
      <c r="AN99" s="8">
        <f>IF(AN$3="","",IFERROR(LEFT(TRIM(INDEX(Forms貼り付け!$A:$AZ,98,AN$3)),1),""))</f>
        <v/>
      </c>
      <c r="AO99" s="8">
        <f>IF(AO$3="","",IFERROR(LEFT(TRIM(INDEX(Forms貼り付け!$A:$AZ,98,AO$3)),1),""))</f>
        <v/>
      </c>
      <c r="AP99" s="8">
        <f>IF(AP$3="","",IFERROR(LEFT(TRIM(INDEX(Forms貼り付け!$A:$AZ,98,AP$3)),1),""))</f>
        <v/>
      </c>
      <c r="AQ99" s="8">
        <f>IF(AQ$3="","",IFERROR(LEFT(TRIM(INDEX(Forms貼り付け!$A:$AZ,98,AQ$3)),1),""))</f>
        <v/>
      </c>
      <c r="AR99" s="8">
        <f>IF(AR$3="","",IFERROR(LEFT(TRIM(INDEX(Forms貼り付け!$A:$AZ,98,AR$3)),1),""))</f>
        <v/>
      </c>
      <c r="AS99" s="8">
        <f>IF(AS$3="","",IFERROR(LEFT(TRIM(INDEX(Forms貼り付け!$A:$AZ,98,AS$3)),1),""))</f>
        <v/>
      </c>
      <c r="AT99" s="8">
        <f>IF(AT$3="","",IFERROR(LEFT(TRIM(INDEX(Forms貼り付け!$A:$AZ,98,AT$3)),1),""))</f>
        <v/>
      </c>
      <c r="AU99" s="8">
        <f>IF(AU$3="","",IFERROR(LEFT(TRIM(INDEX(Forms貼り付け!$A:$AZ,98,AU$3)),1),""))</f>
        <v/>
      </c>
      <c r="AV99" s="8">
        <f>IF(AV$3="","",IFERROR(LEFT(TRIM(INDEX(Forms貼り付け!$A:$AZ,98,AV$3)),1),""))</f>
        <v/>
      </c>
      <c r="AW99" s="8">
        <f>IF(AW$3="","",IFERROR(LEFT(TRIM(INDEX(Forms貼り付け!$A:$AZ,98,AW$3)),1),""))</f>
        <v/>
      </c>
      <c r="AX99" s="8">
        <f>IF(AX$3="","",IFERROR(LEFT(TRIM(INDEX(Forms貼り付け!$A:$AZ,98,AX$3)),1),""))</f>
        <v/>
      </c>
      <c r="AY99" s="8">
        <f>IF(AY$3="","",IFERROR(LEFT(TRIM(INDEX(Forms貼り付け!$A:$AZ,98,AY$3)),1),""))</f>
        <v/>
      </c>
      <c r="AZ99" s="8">
        <f>IF(AZ$3="","",IFERROR(LEFT(TRIM(INDEX(Forms貼り付け!$A:$AZ,98,AZ$3)),1),""))</f>
        <v/>
      </c>
      <c r="BA99" s="8">
        <f>IF(BA$3="","",IFERROR(LEFT(TRIM(INDEX(Forms貼り付け!$A:$AZ,98,BA$3)),1),""))</f>
        <v/>
      </c>
      <c r="BB99" s="8">
        <f>IF(BB$3="","",IFERROR(LEFT(TRIM(INDEX(Forms貼り付け!$A:$AZ,98,BB$3)),1),""))</f>
        <v/>
      </c>
      <c r="BC99" s="8">
        <f>IF(BC$3="","",IFERROR(LEFT(TRIM(INDEX(Forms貼り付け!$A:$AZ,98,BC$3)),1),""))</f>
        <v/>
      </c>
    </row>
    <row r="100">
      <c r="A100" s="8" t="inlineStr">
        <is>
          <t>U096</t>
        </is>
      </c>
      <c r="B100" s="9">
        <f>IF($B$3="","",INDEX(Forms貼り付け!$A:$AZ,99,$B$3))</f>
        <v/>
      </c>
      <c r="C100" s="9">
        <f>IF($C$3="","",INDEX(Forms貼り付け!$A:$AZ,99,$C$3))</f>
        <v/>
      </c>
      <c r="D100" s="8">
        <f>IF($D$3="","",INDEX(Forms貼り付け!$A:$AZ,99,$D$3))</f>
        <v/>
      </c>
      <c r="E100" s="8">
        <f>IF($E$3="","",INDEX(Forms貼り付け!$A:$AZ,99,$E$3))</f>
        <v/>
      </c>
      <c r="F100" s="8">
        <f>IF(F$3="","",IFERROR(LEFT(TRIM(INDEX(Forms貼り付け!$A:$AZ,99,F$3)),1),""))</f>
        <v/>
      </c>
      <c r="G100" s="8">
        <f>IF(G$3="","",IFERROR(LEFT(TRIM(INDEX(Forms貼り付け!$A:$AZ,99,G$3)),1),""))</f>
        <v/>
      </c>
      <c r="H100" s="8">
        <f>IF(H$3="","",IFERROR(LEFT(TRIM(INDEX(Forms貼り付け!$A:$AZ,99,H$3)),1),""))</f>
        <v/>
      </c>
      <c r="I100" s="8">
        <f>IF(I$3="","",IFERROR(LEFT(TRIM(INDEX(Forms貼り付け!$A:$AZ,99,I$3)),1),""))</f>
        <v/>
      </c>
      <c r="J100" s="8">
        <f>IF(J$3="","",IFERROR(LEFT(TRIM(INDEX(Forms貼り付け!$A:$AZ,99,J$3)),1),""))</f>
        <v/>
      </c>
      <c r="K100" s="8">
        <f>IF(K$3="","",IFERROR(LEFT(TRIM(INDEX(Forms貼り付け!$A:$AZ,99,K$3)),1),""))</f>
        <v/>
      </c>
      <c r="L100" s="8">
        <f>IF(L$3="","",IFERROR(LEFT(TRIM(INDEX(Forms貼り付け!$A:$AZ,99,L$3)),1),""))</f>
        <v/>
      </c>
      <c r="M100" s="8">
        <f>IF(M$3="","",IFERROR(LEFT(TRIM(INDEX(Forms貼り付け!$A:$AZ,99,M$3)),1),""))</f>
        <v/>
      </c>
      <c r="N100" s="8">
        <f>IF(N$3="","",IFERROR(LEFT(TRIM(INDEX(Forms貼り付け!$A:$AZ,99,N$3)),1),""))</f>
        <v/>
      </c>
      <c r="O100" s="8">
        <f>IF(O$3="","",IFERROR(LEFT(TRIM(INDEX(Forms貼り付け!$A:$AZ,99,O$3)),1),""))</f>
        <v/>
      </c>
      <c r="P100" s="8">
        <f>IF(P$3="","",IFERROR(LEFT(TRIM(INDEX(Forms貼り付け!$A:$AZ,99,P$3)),1),""))</f>
        <v/>
      </c>
      <c r="Q100" s="8">
        <f>IF(Q$3="","",IFERROR(LEFT(TRIM(INDEX(Forms貼り付け!$A:$AZ,99,Q$3)),1),""))</f>
        <v/>
      </c>
      <c r="R100" s="8">
        <f>IF(R$3="","",IFERROR(LEFT(TRIM(INDEX(Forms貼り付け!$A:$AZ,99,R$3)),1),""))</f>
        <v/>
      </c>
      <c r="S100" s="8">
        <f>IF(S$3="","",IFERROR(LEFT(TRIM(INDEX(Forms貼り付け!$A:$AZ,99,S$3)),1),""))</f>
        <v/>
      </c>
      <c r="T100" s="8">
        <f>IF(T$3="","",IFERROR(LEFT(TRIM(INDEX(Forms貼り付け!$A:$AZ,99,T$3)),1),""))</f>
        <v/>
      </c>
      <c r="U100" s="8">
        <f>IF(U$3="","",IFERROR(LEFT(TRIM(INDEX(Forms貼り付け!$A:$AZ,99,U$3)),1),""))</f>
        <v/>
      </c>
      <c r="V100" s="8">
        <f>IF(V$3="","",IFERROR(LEFT(TRIM(INDEX(Forms貼り付け!$A:$AZ,99,V$3)),1),""))</f>
        <v/>
      </c>
      <c r="W100" s="8">
        <f>IF(W$3="","",IFERROR(LEFT(TRIM(INDEX(Forms貼り付け!$A:$AZ,99,W$3)),1),""))</f>
        <v/>
      </c>
      <c r="X100" s="8">
        <f>IF(X$3="","",IFERROR(LEFT(TRIM(INDEX(Forms貼り付け!$A:$AZ,99,X$3)),1),""))</f>
        <v/>
      </c>
      <c r="Y100" s="8">
        <f>IF(Y$3="","",IFERROR(LEFT(TRIM(INDEX(Forms貼り付け!$A:$AZ,99,Y$3)),1),""))</f>
        <v/>
      </c>
      <c r="Z100" s="8">
        <f>IF(Z$3="","",IFERROR(LEFT(TRIM(INDEX(Forms貼り付け!$A:$AZ,99,Z$3)),1),""))</f>
        <v/>
      </c>
      <c r="AA100" s="8">
        <f>IF(AA$3="","",IFERROR(LEFT(TRIM(INDEX(Forms貼り付け!$A:$AZ,99,AA$3)),1),""))</f>
        <v/>
      </c>
      <c r="AB100" s="8">
        <f>IF(AB$3="","",IFERROR(LEFT(TRIM(INDEX(Forms貼り付け!$A:$AZ,99,AB$3)),1),""))</f>
        <v/>
      </c>
      <c r="AC100" s="8">
        <f>IF(AC$3="","",IFERROR(LEFT(TRIM(INDEX(Forms貼り付け!$A:$AZ,99,AC$3)),1),""))</f>
        <v/>
      </c>
      <c r="AD100" s="8">
        <f>IF(AD$3="","",IFERROR(LEFT(TRIM(INDEX(Forms貼り付け!$A:$AZ,99,AD$3)),1),""))</f>
        <v/>
      </c>
      <c r="AE100" s="8">
        <f>IF(AE$3="","",IFERROR(LEFT(TRIM(INDEX(Forms貼り付け!$A:$AZ,99,AE$3)),1),""))</f>
        <v/>
      </c>
      <c r="AF100" s="8">
        <f>IF(AF$3="","",IFERROR(LEFT(TRIM(INDEX(Forms貼り付け!$A:$AZ,99,AF$3)),1),""))</f>
        <v/>
      </c>
      <c r="AG100" s="8">
        <f>IF(AG$3="","",IFERROR(LEFT(TRIM(INDEX(Forms貼り付け!$A:$AZ,99,AG$3)),1),""))</f>
        <v/>
      </c>
      <c r="AH100" s="8">
        <f>IF(AH$3="","",IFERROR(LEFT(TRIM(INDEX(Forms貼り付け!$A:$AZ,99,AH$3)),1),""))</f>
        <v/>
      </c>
      <c r="AI100" s="8">
        <f>IF(AI$3="","",IFERROR(LEFT(TRIM(INDEX(Forms貼り付け!$A:$AZ,99,AI$3)),1),""))</f>
        <v/>
      </c>
      <c r="AJ100" s="8">
        <f>IF(AJ$3="","",IFERROR(LEFT(TRIM(INDEX(Forms貼り付け!$A:$AZ,99,AJ$3)),1),""))</f>
        <v/>
      </c>
      <c r="AK100" s="8">
        <f>IF(AK$3="","",IFERROR(LEFT(TRIM(INDEX(Forms貼り付け!$A:$AZ,99,AK$3)),1),""))</f>
        <v/>
      </c>
      <c r="AL100" s="8">
        <f>IF(AL$3="","",IFERROR(LEFT(TRIM(INDEX(Forms貼り付け!$A:$AZ,99,AL$3)),1),""))</f>
        <v/>
      </c>
      <c r="AM100" s="8">
        <f>IF(AM$3="","",IFERROR(LEFT(TRIM(INDEX(Forms貼り付け!$A:$AZ,99,AM$3)),1),""))</f>
        <v/>
      </c>
      <c r="AN100" s="8">
        <f>IF(AN$3="","",IFERROR(LEFT(TRIM(INDEX(Forms貼り付け!$A:$AZ,99,AN$3)),1),""))</f>
        <v/>
      </c>
      <c r="AO100" s="8">
        <f>IF(AO$3="","",IFERROR(LEFT(TRIM(INDEX(Forms貼り付け!$A:$AZ,99,AO$3)),1),""))</f>
        <v/>
      </c>
      <c r="AP100" s="8">
        <f>IF(AP$3="","",IFERROR(LEFT(TRIM(INDEX(Forms貼り付け!$A:$AZ,99,AP$3)),1),""))</f>
        <v/>
      </c>
      <c r="AQ100" s="8">
        <f>IF(AQ$3="","",IFERROR(LEFT(TRIM(INDEX(Forms貼り付け!$A:$AZ,99,AQ$3)),1),""))</f>
        <v/>
      </c>
      <c r="AR100" s="8">
        <f>IF(AR$3="","",IFERROR(LEFT(TRIM(INDEX(Forms貼り付け!$A:$AZ,99,AR$3)),1),""))</f>
        <v/>
      </c>
      <c r="AS100" s="8">
        <f>IF(AS$3="","",IFERROR(LEFT(TRIM(INDEX(Forms貼り付け!$A:$AZ,99,AS$3)),1),""))</f>
        <v/>
      </c>
      <c r="AT100" s="8">
        <f>IF(AT$3="","",IFERROR(LEFT(TRIM(INDEX(Forms貼り付け!$A:$AZ,99,AT$3)),1),""))</f>
        <v/>
      </c>
      <c r="AU100" s="8">
        <f>IF(AU$3="","",IFERROR(LEFT(TRIM(INDEX(Forms貼り付け!$A:$AZ,99,AU$3)),1),""))</f>
        <v/>
      </c>
      <c r="AV100" s="8">
        <f>IF(AV$3="","",IFERROR(LEFT(TRIM(INDEX(Forms貼り付け!$A:$AZ,99,AV$3)),1),""))</f>
        <v/>
      </c>
      <c r="AW100" s="8">
        <f>IF(AW$3="","",IFERROR(LEFT(TRIM(INDEX(Forms貼り付け!$A:$AZ,99,AW$3)),1),""))</f>
        <v/>
      </c>
      <c r="AX100" s="8">
        <f>IF(AX$3="","",IFERROR(LEFT(TRIM(INDEX(Forms貼り付け!$A:$AZ,99,AX$3)),1),""))</f>
        <v/>
      </c>
      <c r="AY100" s="8">
        <f>IF(AY$3="","",IFERROR(LEFT(TRIM(INDEX(Forms貼り付け!$A:$AZ,99,AY$3)),1),""))</f>
        <v/>
      </c>
      <c r="AZ100" s="8">
        <f>IF(AZ$3="","",IFERROR(LEFT(TRIM(INDEX(Forms貼り付け!$A:$AZ,99,AZ$3)),1),""))</f>
        <v/>
      </c>
      <c r="BA100" s="8">
        <f>IF(BA$3="","",IFERROR(LEFT(TRIM(INDEX(Forms貼り付け!$A:$AZ,99,BA$3)),1),""))</f>
        <v/>
      </c>
      <c r="BB100" s="8">
        <f>IF(BB$3="","",IFERROR(LEFT(TRIM(INDEX(Forms貼り付け!$A:$AZ,99,BB$3)),1),""))</f>
        <v/>
      </c>
      <c r="BC100" s="8">
        <f>IF(BC$3="","",IFERROR(LEFT(TRIM(INDEX(Forms貼り付け!$A:$AZ,99,BC$3)),1),""))</f>
        <v/>
      </c>
    </row>
    <row r="101">
      <c r="A101" s="8" t="inlineStr">
        <is>
          <t>U097</t>
        </is>
      </c>
      <c r="B101" s="9">
        <f>IF($B$3="","",INDEX(Forms貼り付け!$A:$AZ,100,$B$3))</f>
        <v/>
      </c>
      <c r="C101" s="9">
        <f>IF($C$3="","",INDEX(Forms貼り付け!$A:$AZ,100,$C$3))</f>
        <v/>
      </c>
      <c r="D101" s="8">
        <f>IF($D$3="","",INDEX(Forms貼り付け!$A:$AZ,100,$D$3))</f>
        <v/>
      </c>
      <c r="E101" s="8">
        <f>IF($E$3="","",INDEX(Forms貼り付け!$A:$AZ,100,$E$3))</f>
        <v/>
      </c>
      <c r="F101" s="8">
        <f>IF(F$3="","",IFERROR(LEFT(TRIM(INDEX(Forms貼り付け!$A:$AZ,100,F$3)),1),""))</f>
        <v/>
      </c>
      <c r="G101" s="8">
        <f>IF(G$3="","",IFERROR(LEFT(TRIM(INDEX(Forms貼り付け!$A:$AZ,100,G$3)),1),""))</f>
        <v/>
      </c>
      <c r="H101" s="8">
        <f>IF(H$3="","",IFERROR(LEFT(TRIM(INDEX(Forms貼り付け!$A:$AZ,100,H$3)),1),""))</f>
        <v/>
      </c>
      <c r="I101" s="8">
        <f>IF(I$3="","",IFERROR(LEFT(TRIM(INDEX(Forms貼り付け!$A:$AZ,100,I$3)),1),""))</f>
        <v/>
      </c>
      <c r="J101" s="8">
        <f>IF(J$3="","",IFERROR(LEFT(TRIM(INDEX(Forms貼り付け!$A:$AZ,100,J$3)),1),""))</f>
        <v/>
      </c>
      <c r="K101" s="8">
        <f>IF(K$3="","",IFERROR(LEFT(TRIM(INDEX(Forms貼り付け!$A:$AZ,100,K$3)),1),""))</f>
        <v/>
      </c>
      <c r="L101" s="8">
        <f>IF(L$3="","",IFERROR(LEFT(TRIM(INDEX(Forms貼り付け!$A:$AZ,100,L$3)),1),""))</f>
        <v/>
      </c>
      <c r="M101" s="8">
        <f>IF(M$3="","",IFERROR(LEFT(TRIM(INDEX(Forms貼り付け!$A:$AZ,100,M$3)),1),""))</f>
        <v/>
      </c>
      <c r="N101" s="8">
        <f>IF(N$3="","",IFERROR(LEFT(TRIM(INDEX(Forms貼り付け!$A:$AZ,100,N$3)),1),""))</f>
        <v/>
      </c>
      <c r="O101" s="8">
        <f>IF(O$3="","",IFERROR(LEFT(TRIM(INDEX(Forms貼り付け!$A:$AZ,100,O$3)),1),""))</f>
        <v/>
      </c>
      <c r="P101" s="8">
        <f>IF(P$3="","",IFERROR(LEFT(TRIM(INDEX(Forms貼り付け!$A:$AZ,100,P$3)),1),""))</f>
        <v/>
      </c>
      <c r="Q101" s="8">
        <f>IF(Q$3="","",IFERROR(LEFT(TRIM(INDEX(Forms貼り付け!$A:$AZ,100,Q$3)),1),""))</f>
        <v/>
      </c>
      <c r="R101" s="8">
        <f>IF(R$3="","",IFERROR(LEFT(TRIM(INDEX(Forms貼り付け!$A:$AZ,100,R$3)),1),""))</f>
        <v/>
      </c>
      <c r="S101" s="8">
        <f>IF(S$3="","",IFERROR(LEFT(TRIM(INDEX(Forms貼り付け!$A:$AZ,100,S$3)),1),""))</f>
        <v/>
      </c>
      <c r="T101" s="8">
        <f>IF(T$3="","",IFERROR(LEFT(TRIM(INDEX(Forms貼り付け!$A:$AZ,100,T$3)),1),""))</f>
        <v/>
      </c>
      <c r="U101" s="8">
        <f>IF(U$3="","",IFERROR(LEFT(TRIM(INDEX(Forms貼り付け!$A:$AZ,100,U$3)),1),""))</f>
        <v/>
      </c>
      <c r="V101" s="8">
        <f>IF(V$3="","",IFERROR(LEFT(TRIM(INDEX(Forms貼り付け!$A:$AZ,100,V$3)),1),""))</f>
        <v/>
      </c>
      <c r="W101" s="8">
        <f>IF(W$3="","",IFERROR(LEFT(TRIM(INDEX(Forms貼り付け!$A:$AZ,100,W$3)),1),""))</f>
        <v/>
      </c>
      <c r="X101" s="8">
        <f>IF(X$3="","",IFERROR(LEFT(TRIM(INDEX(Forms貼り付け!$A:$AZ,100,X$3)),1),""))</f>
        <v/>
      </c>
      <c r="Y101" s="8">
        <f>IF(Y$3="","",IFERROR(LEFT(TRIM(INDEX(Forms貼り付け!$A:$AZ,100,Y$3)),1),""))</f>
        <v/>
      </c>
      <c r="Z101" s="8">
        <f>IF(Z$3="","",IFERROR(LEFT(TRIM(INDEX(Forms貼り付け!$A:$AZ,100,Z$3)),1),""))</f>
        <v/>
      </c>
      <c r="AA101" s="8">
        <f>IF(AA$3="","",IFERROR(LEFT(TRIM(INDEX(Forms貼り付け!$A:$AZ,100,AA$3)),1),""))</f>
        <v/>
      </c>
      <c r="AB101" s="8">
        <f>IF(AB$3="","",IFERROR(LEFT(TRIM(INDEX(Forms貼り付け!$A:$AZ,100,AB$3)),1),""))</f>
        <v/>
      </c>
      <c r="AC101" s="8">
        <f>IF(AC$3="","",IFERROR(LEFT(TRIM(INDEX(Forms貼り付け!$A:$AZ,100,AC$3)),1),""))</f>
        <v/>
      </c>
      <c r="AD101" s="8">
        <f>IF(AD$3="","",IFERROR(LEFT(TRIM(INDEX(Forms貼り付け!$A:$AZ,100,AD$3)),1),""))</f>
        <v/>
      </c>
      <c r="AE101" s="8">
        <f>IF(AE$3="","",IFERROR(LEFT(TRIM(INDEX(Forms貼り付け!$A:$AZ,100,AE$3)),1),""))</f>
        <v/>
      </c>
      <c r="AF101" s="8">
        <f>IF(AF$3="","",IFERROR(LEFT(TRIM(INDEX(Forms貼り付け!$A:$AZ,100,AF$3)),1),""))</f>
        <v/>
      </c>
      <c r="AG101" s="8">
        <f>IF(AG$3="","",IFERROR(LEFT(TRIM(INDEX(Forms貼り付け!$A:$AZ,100,AG$3)),1),""))</f>
        <v/>
      </c>
      <c r="AH101" s="8">
        <f>IF(AH$3="","",IFERROR(LEFT(TRIM(INDEX(Forms貼り付け!$A:$AZ,100,AH$3)),1),""))</f>
        <v/>
      </c>
      <c r="AI101" s="8">
        <f>IF(AI$3="","",IFERROR(LEFT(TRIM(INDEX(Forms貼り付け!$A:$AZ,100,AI$3)),1),""))</f>
        <v/>
      </c>
      <c r="AJ101" s="8">
        <f>IF(AJ$3="","",IFERROR(LEFT(TRIM(INDEX(Forms貼り付け!$A:$AZ,100,AJ$3)),1),""))</f>
        <v/>
      </c>
      <c r="AK101" s="8">
        <f>IF(AK$3="","",IFERROR(LEFT(TRIM(INDEX(Forms貼り付け!$A:$AZ,100,AK$3)),1),""))</f>
        <v/>
      </c>
      <c r="AL101" s="8">
        <f>IF(AL$3="","",IFERROR(LEFT(TRIM(INDEX(Forms貼り付け!$A:$AZ,100,AL$3)),1),""))</f>
        <v/>
      </c>
      <c r="AM101" s="8">
        <f>IF(AM$3="","",IFERROR(LEFT(TRIM(INDEX(Forms貼り付け!$A:$AZ,100,AM$3)),1),""))</f>
        <v/>
      </c>
      <c r="AN101" s="8">
        <f>IF(AN$3="","",IFERROR(LEFT(TRIM(INDEX(Forms貼り付け!$A:$AZ,100,AN$3)),1),""))</f>
        <v/>
      </c>
      <c r="AO101" s="8">
        <f>IF(AO$3="","",IFERROR(LEFT(TRIM(INDEX(Forms貼り付け!$A:$AZ,100,AO$3)),1),""))</f>
        <v/>
      </c>
      <c r="AP101" s="8">
        <f>IF(AP$3="","",IFERROR(LEFT(TRIM(INDEX(Forms貼り付け!$A:$AZ,100,AP$3)),1),""))</f>
        <v/>
      </c>
      <c r="AQ101" s="8">
        <f>IF(AQ$3="","",IFERROR(LEFT(TRIM(INDEX(Forms貼り付け!$A:$AZ,100,AQ$3)),1),""))</f>
        <v/>
      </c>
      <c r="AR101" s="8">
        <f>IF(AR$3="","",IFERROR(LEFT(TRIM(INDEX(Forms貼り付け!$A:$AZ,100,AR$3)),1),""))</f>
        <v/>
      </c>
      <c r="AS101" s="8">
        <f>IF(AS$3="","",IFERROR(LEFT(TRIM(INDEX(Forms貼り付け!$A:$AZ,100,AS$3)),1),""))</f>
        <v/>
      </c>
      <c r="AT101" s="8">
        <f>IF(AT$3="","",IFERROR(LEFT(TRIM(INDEX(Forms貼り付け!$A:$AZ,100,AT$3)),1),""))</f>
        <v/>
      </c>
      <c r="AU101" s="8">
        <f>IF(AU$3="","",IFERROR(LEFT(TRIM(INDEX(Forms貼り付け!$A:$AZ,100,AU$3)),1),""))</f>
        <v/>
      </c>
      <c r="AV101" s="8">
        <f>IF(AV$3="","",IFERROR(LEFT(TRIM(INDEX(Forms貼り付け!$A:$AZ,100,AV$3)),1),""))</f>
        <v/>
      </c>
      <c r="AW101" s="8">
        <f>IF(AW$3="","",IFERROR(LEFT(TRIM(INDEX(Forms貼り付け!$A:$AZ,100,AW$3)),1),""))</f>
        <v/>
      </c>
      <c r="AX101" s="8">
        <f>IF(AX$3="","",IFERROR(LEFT(TRIM(INDEX(Forms貼り付け!$A:$AZ,100,AX$3)),1),""))</f>
        <v/>
      </c>
      <c r="AY101" s="8">
        <f>IF(AY$3="","",IFERROR(LEFT(TRIM(INDEX(Forms貼り付け!$A:$AZ,100,AY$3)),1),""))</f>
        <v/>
      </c>
      <c r="AZ101" s="8">
        <f>IF(AZ$3="","",IFERROR(LEFT(TRIM(INDEX(Forms貼り付け!$A:$AZ,100,AZ$3)),1),""))</f>
        <v/>
      </c>
      <c r="BA101" s="8">
        <f>IF(BA$3="","",IFERROR(LEFT(TRIM(INDEX(Forms貼り付け!$A:$AZ,100,BA$3)),1),""))</f>
        <v/>
      </c>
      <c r="BB101" s="8">
        <f>IF(BB$3="","",IFERROR(LEFT(TRIM(INDEX(Forms貼り付け!$A:$AZ,100,BB$3)),1),""))</f>
        <v/>
      </c>
      <c r="BC101" s="8">
        <f>IF(BC$3="","",IFERROR(LEFT(TRIM(INDEX(Forms貼り付け!$A:$AZ,100,BC$3)),1),""))</f>
        <v/>
      </c>
    </row>
    <row r="102">
      <c r="A102" s="8" t="inlineStr">
        <is>
          <t>U098</t>
        </is>
      </c>
      <c r="B102" s="9">
        <f>IF($B$3="","",INDEX(Forms貼り付け!$A:$AZ,101,$B$3))</f>
        <v/>
      </c>
      <c r="C102" s="9">
        <f>IF($C$3="","",INDEX(Forms貼り付け!$A:$AZ,101,$C$3))</f>
        <v/>
      </c>
      <c r="D102" s="8">
        <f>IF($D$3="","",INDEX(Forms貼り付け!$A:$AZ,101,$D$3))</f>
        <v/>
      </c>
      <c r="E102" s="8">
        <f>IF($E$3="","",INDEX(Forms貼り付け!$A:$AZ,101,$E$3))</f>
        <v/>
      </c>
      <c r="F102" s="8">
        <f>IF(F$3="","",IFERROR(LEFT(TRIM(INDEX(Forms貼り付け!$A:$AZ,101,F$3)),1),""))</f>
        <v/>
      </c>
      <c r="G102" s="8">
        <f>IF(G$3="","",IFERROR(LEFT(TRIM(INDEX(Forms貼り付け!$A:$AZ,101,G$3)),1),""))</f>
        <v/>
      </c>
      <c r="H102" s="8">
        <f>IF(H$3="","",IFERROR(LEFT(TRIM(INDEX(Forms貼り付け!$A:$AZ,101,H$3)),1),""))</f>
        <v/>
      </c>
      <c r="I102" s="8">
        <f>IF(I$3="","",IFERROR(LEFT(TRIM(INDEX(Forms貼り付け!$A:$AZ,101,I$3)),1),""))</f>
        <v/>
      </c>
      <c r="J102" s="8">
        <f>IF(J$3="","",IFERROR(LEFT(TRIM(INDEX(Forms貼り付け!$A:$AZ,101,J$3)),1),""))</f>
        <v/>
      </c>
      <c r="K102" s="8">
        <f>IF(K$3="","",IFERROR(LEFT(TRIM(INDEX(Forms貼り付け!$A:$AZ,101,K$3)),1),""))</f>
        <v/>
      </c>
      <c r="L102" s="8">
        <f>IF(L$3="","",IFERROR(LEFT(TRIM(INDEX(Forms貼り付け!$A:$AZ,101,L$3)),1),""))</f>
        <v/>
      </c>
      <c r="M102" s="8">
        <f>IF(M$3="","",IFERROR(LEFT(TRIM(INDEX(Forms貼り付け!$A:$AZ,101,M$3)),1),""))</f>
        <v/>
      </c>
      <c r="N102" s="8">
        <f>IF(N$3="","",IFERROR(LEFT(TRIM(INDEX(Forms貼り付け!$A:$AZ,101,N$3)),1),""))</f>
        <v/>
      </c>
      <c r="O102" s="8">
        <f>IF(O$3="","",IFERROR(LEFT(TRIM(INDEX(Forms貼り付け!$A:$AZ,101,O$3)),1),""))</f>
        <v/>
      </c>
      <c r="P102" s="8">
        <f>IF(P$3="","",IFERROR(LEFT(TRIM(INDEX(Forms貼り付け!$A:$AZ,101,P$3)),1),""))</f>
        <v/>
      </c>
      <c r="Q102" s="8">
        <f>IF(Q$3="","",IFERROR(LEFT(TRIM(INDEX(Forms貼り付け!$A:$AZ,101,Q$3)),1),""))</f>
        <v/>
      </c>
      <c r="R102" s="8">
        <f>IF(R$3="","",IFERROR(LEFT(TRIM(INDEX(Forms貼り付け!$A:$AZ,101,R$3)),1),""))</f>
        <v/>
      </c>
      <c r="S102" s="8">
        <f>IF(S$3="","",IFERROR(LEFT(TRIM(INDEX(Forms貼り付け!$A:$AZ,101,S$3)),1),""))</f>
        <v/>
      </c>
      <c r="T102" s="8">
        <f>IF(T$3="","",IFERROR(LEFT(TRIM(INDEX(Forms貼り付け!$A:$AZ,101,T$3)),1),""))</f>
        <v/>
      </c>
      <c r="U102" s="8">
        <f>IF(U$3="","",IFERROR(LEFT(TRIM(INDEX(Forms貼り付け!$A:$AZ,101,U$3)),1),""))</f>
        <v/>
      </c>
      <c r="V102" s="8">
        <f>IF(V$3="","",IFERROR(LEFT(TRIM(INDEX(Forms貼り付け!$A:$AZ,101,V$3)),1),""))</f>
        <v/>
      </c>
      <c r="W102" s="8">
        <f>IF(W$3="","",IFERROR(LEFT(TRIM(INDEX(Forms貼り付け!$A:$AZ,101,W$3)),1),""))</f>
        <v/>
      </c>
      <c r="X102" s="8">
        <f>IF(X$3="","",IFERROR(LEFT(TRIM(INDEX(Forms貼り付け!$A:$AZ,101,X$3)),1),""))</f>
        <v/>
      </c>
      <c r="Y102" s="8">
        <f>IF(Y$3="","",IFERROR(LEFT(TRIM(INDEX(Forms貼り付け!$A:$AZ,101,Y$3)),1),""))</f>
        <v/>
      </c>
      <c r="Z102" s="8">
        <f>IF(Z$3="","",IFERROR(LEFT(TRIM(INDEX(Forms貼り付け!$A:$AZ,101,Z$3)),1),""))</f>
        <v/>
      </c>
      <c r="AA102" s="8">
        <f>IF(AA$3="","",IFERROR(LEFT(TRIM(INDEX(Forms貼り付け!$A:$AZ,101,AA$3)),1),""))</f>
        <v/>
      </c>
      <c r="AB102" s="8">
        <f>IF(AB$3="","",IFERROR(LEFT(TRIM(INDEX(Forms貼り付け!$A:$AZ,101,AB$3)),1),""))</f>
        <v/>
      </c>
      <c r="AC102" s="8">
        <f>IF(AC$3="","",IFERROR(LEFT(TRIM(INDEX(Forms貼り付け!$A:$AZ,101,AC$3)),1),""))</f>
        <v/>
      </c>
      <c r="AD102" s="8">
        <f>IF(AD$3="","",IFERROR(LEFT(TRIM(INDEX(Forms貼り付け!$A:$AZ,101,AD$3)),1),""))</f>
        <v/>
      </c>
      <c r="AE102" s="8">
        <f>IF(AE$3="","",IFERROR(LEFT(TRIM(INDEX(Forms貼り付け!$A:$AZ,101,AE$3)),1),""))</f>
        <v/>
      </c>
      <c r="AF102" s="8">
        <f>IF(AF$3="","",IFERROR(LEFT(TRIM(INDEX(Forms貼り付け!$A:$AZ,101,AF$3)),1),""))</f>
        <v/>
      </c>
      <c r="AG102" s="8">
        <f>IF(AG$3="","",IFERROR(LEFT(TRIM(INDEX(Forms貼り付け!$A:$AZ,101,AG$3)),1),""))</f>
        <v/>
      </c>
      <c r="AH102" s="8">
        <f>IF(AH$3="","",IFERROR(LEFT(TRIM(INDEX(Forms貼り付け!$A:$AZ,101,AH$3)),1),""))</f>
        <v/>
      </c>
      <c r="AI102" s="8">
        <f>IF(AI$3="","",IFERROR(LEFT(TRIM(INDEX(Forms貼り付け!$A:$AZ,101,AI$3)),1),""))</f>
        <v/>
      </c>
      <c r="AJ102" s="8">
        <f>IF(AJ$3="","",IFERROR(LEFT(TRIM(INDEX(Forms貼り付け!$A:$AZ,101,AJ$3)),1),""))</f>
        <v/>
      </c>
      <c r="AK102" s="8">
        <f>IF(AK$3="","",IFERROR(LEFT(TRIM(INDEX(Forms貼り付け!$A:$AZ,101,AK$3)),1),""))</f>
        <v/>
      </c>
      <c r="AL102" s="8">
        <f>IF(AL$3="","",IFERROR(LEFT(TRIM(INDEX(Forms貼り付け!$A:$AZ,101,AL$3)),1),""))</f>
        <v/>
      </c>
      <c r="AM102" s="8">
        <f>IF(AM$3="","",IFERROR(LEFT(TRIM(INDEX(Forms貼り付け!$A:$AZ,101,AM$3)),1),""))</f>
        <v/>
      </c>
      <c r="AN102" s="8">
        <f>IF(AN$3="","",IFERROR(LEFT(TRIM(INDEX(Forms貼り付け!$A:$AZ,101,AN$3)),1),""))</f>
        <v/>
      </c>
      <c r="AO102" s="8">
        <f>IF(AO$3="","",IFERROR(LEFT(TRIM(INDEX(Forms貼り付け!$A:$AZ,101,AO$3)),1),""))</f>
        <v/>
      </c>
      <c r="AP102" s="8">
        <f>IF(AP$3="","",IFERROR(LEFT(TRIM(INDEX(Forms貼り付け!$A:$AZ,101,AP$3)),1),""))</f>
        <v/>
      </c>
      <c r="AQ102" s="8">
        <f>IF(AQ$3="","",IFERROR(LEFT(TRIM(INDEX(Forms貼り付け!$A:$AZ,101,AQ$3)),1),""))</f>
        <v/>
      </c>
      <c r="AR102" s="8">
        <f>IF(AR$3="","",IFERROR(LEFT(TRIM(INDEX(Forms貼り付け!$A:$AZ,101,AR$3)),1),""))</f>
        <v/>
      </c>
      <c r="AS102" s="8">
        <f>IF(AS$3="","",IFERROR(LEFT(TRIM(INDEX(Forms貼り付け!$A:$AZ,101,AS$3)),1),""))</f>
        <v/>
      </c>
      <c r="AT102" s="8">
        <f>IF(AT$3="","",IFERROR(LEFT(TRIM(INDEX(Forms貼り付け!$A:$AZ,101,AT$3)),1),""))</f>
        <v/>
      </c>
      <c r="AU102" s="8">
        <f>IF(AU$3="","",IFERROR(LEFT(TRIM(INDEX(Forms貼り付け!$A:$AZ,101,AU$3)),1),""))</f>
        <v/>
      </c>
      <c r="AV102" s="8">
        <f>IF(AV$3="","",IFERROR(LEFT(TRIM(INDEX(Forms貼り付け!$A:$AZ,101,AV$3)),1),""))</f>
        <v/>
      </c>
      <c r="AW102" s="8">
        <f>IF(AW$3="","",IFERROR(LEFT(TRIM(INDEX(Forms貼り付け!$A:$AZ,101,AW$3)),1),""))</f>
        <v/>
      </c>
      <c r="AX102" s="8">
        <f>IF(AX$3="","",IFERROR(LEFT(TRIM(INDEX(Forms貼り付け!$A:$AZ,101,AX$3)),1),""))</f>
        <v/>
      </c>
      <c r="AY102" s="8">
        <f>IF(AY$3="","",IFERROR(LEFT(TRIM(INDEX(Forms貼り付け!$A:$AZ,101,AY$3)),1),""))</f>
        <v/>
      </c>
      <c r="AZ102" s="8">
        <f>IF(AZ$3="","",IFERROR(LEFT(TRIM(INDEX(Forms貼り付け!$A:$AZ,101,AZ$3)),1),""))</f>
        <v/>
      </c>
      <c r="BA102" s="8">
        <f>IF(BA$3="","",IFERROR(LEFT(TRIM(INDEX(Forms貼り付け!$A:$AZ,101,BA$3)),1),""))</f>
        <v/>
      </c>
      <c r="BB102" s="8">
        <f>IF(BB$3="","",IFERROR(LEFT(TRIM(INDEX(Forms貼り付け!$A:$AZ,101,BB$3)),1),""))</f>
        <v/>
      </c>
      <c r="BC102" s="8">
        <f>IF(BC$3="","",IFERROR(LEFT(TRIM(INDEX(Forms貼り付け!$A:$AZ,101,BC$3)),1),""))</f>
        <v/>
      </c>
    </row>
    <row r="103">
      <c r="A103" s="8" t="inlineStr">
        <is>
          <t>U099</t>
        </is>
      </c>
      <c r="B103" s="9">
        <f>IF($B$3="","",INDEX(Forms貼り付け!$A:$AZ,102,$B$3))</f>
        <v/>
      </c>
      <c r="C103" s="9">
        <f>IF($C$3="","",INDEX(Forms貼り付け!$A:$AZ,102,$C$3))</f>
        <v/>
      </c>
      <c r="D103" s="8">
        <f>IF($D$3="","",INDEX(Forms貼り付け!$A:$AZ,102,$D$3))</f>
        <v/>
      </c>
      <c r="E103" s="8">
        <f>IF($E$3="","",INDEX(Forms貼り付け!$A:$AZ,102,$E$3))</f>
        <v/>
      </c>
      <c r="F103" s="8">
        <f>IF(F$3="","",IFERROR(LEFT(TRIM(INDEX(Forms貼り付け!$A:$AZ,102,F$3)),1),""))</f>
        <v/>
      </c>
      <c r="G103" s="8">
        <f>IF(G$3="","",IFERROR(LEFT(TRIM(INDEX(Forms貼り付け!$A:$AZ,102,G$3)),1),""))</f>
        <v/>
      </c>
      <c r="H103" s="8">
        <f>IF(H$3="","",IFERROR(LEFT(TRIM(INDEX(Forms貼り付け!$A:$AZ,102,H$3)),1),""))</f>
        <v/>
      </c>
      <c r="I103" s="8">
        <f>IF(I$3="","",IFERROR(LEFT(TRIM(INDEX(Forms貼り付け!$A:$AZ,102,I$3)),1),""))</f>
        <v/>
      </c>
      <c r="J103" s="8">
        <f>IF(J$3="","",IFERROR(LEFT(TRIM(INDEX(Forms貼り付け!$A:$AZ,102,J$3)),1),""))</f>
        <v/>
      </c>
      <c r="K103" s="8">
        <f>IF(K$3="","",IFERROR(LEFT(TRIM(INDEX(Forms貼り付け!$A:$AZ,102,K$3)),1),""))</f>
        <v/>
      </c>
      <c r="L103" s="8">
        <f>IF(L$3="","",IFERROR(LEFT(TRIM(INDEX(Forms貼り付け!$A:$AZ,102,L$3)),1),""))</f>
        <v/>
      </c>
      <c r="M103" s="8">
        <f>IF(M$3="","",IFERROR(LEFT(TRIM(INDEX(Forms貼り付け!$A:$AZ,102,M$3)),1),""))</f>
        <v/>
      </c>
      <c r="N103" s="8">
        <f>IF(N$3="","",IFERROR(LEFT(TRIM(INDEX(Forms貼り付け!$A:$AZ,102,N$3)),1),""))</f>
        <v/>
      </c>
      <c r="O103" s="8">
        <f>IF(O$3="","",IFERROR(LEFT(TRIM(INDEX(Forms貼り付け!$A:$AZ,102,O$3)),1),""))</f>
        <v/>
      </c>
      <c r="P103" s="8">
        <f>IF(P$3="","",IFERROR(LEFT(TRIM(INDEX(Forms貼り付け!$A:$AZ,102,P$3)),1),""))</f>
        <v/>
      </c>
      <c r="Q103" s="8">
        <f>IF(Q$3="","",IFERROR(LEFT(TRIM(INDEX(Forms貼り付け!$A:$AZ,102,Q$3)),1),""))</f>
        <v/>
      </c>
      <c r="R103" s="8">
        <f>IF(R$3="","",IFERROR(LEFT(TRIM(INDEX(Forms貼り付け!$A:$AZ,102,R$3)),1),""))</f>
        <v/>
      </c>
      <c r="S103" s="8">
        <f>IF(S$3="","",IFERROR(LEFT(TRIM(INDEX(Forms貼り付け!$A:$AZ,102,S$3)),1),""))</f>
        <v/>
      </c>
      <c r="T103" s="8">
        <f>IF(T$3="","",IFERROR(LEFT(TRIM(INDEX(Forms貼り付け!$A:$AZ,102,T$3)),1),""))</f>
        <v/>
      </c>
      <c r="U103" s="8">
        <f>IF(U$3="","",IFERROR(LEFT(TRIM(INDEX(Forms貼り付け!$A:$AZ,102,U$3)),1),""))</f>
        <v/>
      </c>
      <c r="V103" s="8">
        <f>IF(V$3="","",IFERROR(LEFT(TRIM(INDEX(Forms貼り付け!$A:$AZ,102,V$3)),1),""))</f>
        <v/>
      </c>
      <c r="W103" s="8">
        <f>IF(W$3="","",IFERROR(LEFT(TRIM(INDEX(Forms貼り付け!$A:$AZ,102,W$3)),1),""))</f>
        <v/>
      </c>
      <c r="X103" s="8">
        <f>IF(X$3="","",IFERROR(LEFT(TRIM(INDEX(Forms貼り付け!$A:$AZ,102,X$3)),1),""))</f>
        <v/>
      </c>
      <c r="Y103" s="8">
        <f>IF(Y$3="","",IFERROR(LEFT(TRIM(INDEX(Forms貼り付け!$A:$AZ,102,Y$3)),1),""))</f>
        <v/>
      </c>
      <c r="Z103" s="8">
        <f>IF(Z$3="","",IFERROR(LEFT(TRIM(INDEX(Forms貼り付け!$A:$AZ,102,Z$3)),1),""))</f>
        <v/>
      </c>
      <c r="AA103" s="8">
        <f>IF(AA$3="","",IFERROR(LEFT(TRIM(INDEX(Forms貼り付け!$A:$AZ,102,AA$3)),1),""))</f>
        <v/>
      </c>
      <c r="AB103" s="8">
        <f>IF(AB$3="","",IFERROR(LEFT(TRIM(INDEX(Forms貼り付け!$A:$AZ,102,AB$3)),1),""))</f>
        <v/>
      </c>
      <c r="AC103" s="8">
        <f>IF(AC$3="","",IFERROR(LEFT(TRIM(INDEX(Forms貼り付け!$A:$AZ,102,AC$3)),1),""))</f>
        <v/>
      </c>
      <c r="AD103" s="8">
        <f>IF(AD$3="","",IFERROR(LEFT(TRIM(INDEX(Forms貼り付け!$A:$AZ,102,AD$3)),1),""))</f>
        <v/>
      </c>
      <c r="AE103" s="8">
        <f>IF(AE$3="","",IFERROR(LEFT(TRIM(INDEX(Forms貼り付け!$A:$AZ,102,AE$3)),1),""))</f>
        <v/>
      </c>
      <c r="AF103" s="8">
        <f>IF(AF$3="","",IFERROR(LEFT(TRIM(INDEX(Forms貼り付け!$A:$AZ,102,AF$3)),1),""))</f>
        <v/>
      </c>
      <c r="AG103" s="8">
        <f>IF(AG$3="","",IFERROR(LEFT(TRIM(INDEX(Forms貼り付け!$A:$AZ,102,AG$3)),1),""))</f>
        <v/>
      </c>
      <c r="AH103" s="8">
        <f>IF(AH$3="","",IFERROR(LEFT(TRIM(INDEX(Forms貼り付け!$A:$AZ,102,AH$3)),1),""))</f>
        <v/>
      </c>
      <c r="AI103" s="8">
        <f>IF(AI$3="","",IFERROR(LEFT(TRIM(INDEX(Forms貼り付け!$A:$AZ,102,AI$3)),1),""))</f>
        <v/>
      </c>
      <c r="AJ103" s="8">
        <f>IF(AJ$3="","",IFERROR(LEFT(TRIM(INDEX(Forms貼り付け!$A:$AZ,102,AJ$3)),1),""))</f>
        <v/>
      </c>
      <c r="AK103" s="8">
        <f>IF(AK$3="","",IFERROR(LEFT(TRIM(INDEX(Forms貼り付け!$A:$AZ,102,AK$3)),1),""))</f>
        <v/>
      </c>
      <c r="AL103" s="8">
        <f>IF(AL$3="","",IFERROR(LEFT(TRIM(INDEX(Forms貼り付け!$A:$AZ,102,AL$3)),1),""))</f>
        <v/>
      </c>
      <c r="AM103" s="8">
        <f>IF(AM$3="","",IFERROR(LEFT(TRIM(INDEX(Forms貼り付け!$A:$AZ,102,AM$3)),1),""))</f>
        <v/>
      </c>
      <c r="AN103" s="8">
        <f>IF(AN$3="","",IFERROR(LEFT(TRIM(INDEX(Forms貼り付け!$A:$AZ,102,AN$3)),1),""))</f>
        <v/>
      </c>
      <c r="AO103" s="8">
        <f>IF(AO$3="","",IFERROR(LEFT(TRIM(INDEX(Forms貼り付け!$A:$AZ,102,AO$3)),1),""))</f>
        <v/>
      </c>
      <c r="AP103" s="8">
        <f>IF(AP$3="","",IFERROR(LEFT(TRIM(INDEX(Forms貼り付け!$A:$AZ,102,AP$3)),1),""))</f>
        <v/>
      </c>
      <c r="AQ103" s="8">
        <f>IF(AQ$3="","",IFERROR(LEFT(TRIM(INDEX(Forms貼り付け!$A:$AZ,102,AQ$3)),1),""))</f>
        <v/>
      </c>
      <c r="AR103" s="8">
        <f>IF(AR$3="","",IFERROR(LEFT(TRIM(INDEX(Forms貼り付け!$A:$AZ,102,AR$3)),1),""))</f>
        <v/>
      </c>
      <c r="AS103" s="8">
        <f>IF(AS$3="","",IFERROR(LEFT(TRIM(INDEX(Forms貼り付け!$A:$AZ,102,AS$3)),1),""))</f>
        <v/>
      </c>
      <c r="AT103" s="8">
        <f>IF(AT$3="","",IFERROR(LEFT(TRIM(INDEX(Forms貼り付け!$A:$AZ,102,AT$3)),1),""))</f>
        <v/>
      </c>
      <c r="AU103" s="8">
        <f>IF(AU$3="","",IFERROR(LEFT(TRIM(INDEX(Forms貼り付け!$A:$AZ,102,AU$3)),1),""))</f>
        <v/>
      </c>
      <c r="AV103" s="8">
        <f>IF(AV$3="","",IFERROR(LEFT(TRIM(INDEX(Forms貼り付け!$A:$AZ,102,AV$3)),1),""))</f>
        <v/>
      </c>
      <c r="AW103" s="8">
        <f>IF(AW$3="","",IFERROR(LEFT(TRIM(INDEX(Forms貼り付け!$A:$AZ,102,AW$3)),1),""))</f>
        <v/>
      </c>
      <c r="AX103" s="8">
        <f>IF(AX$3="","",IFERROR(LEFT(TRIM(INDEX(Forms貼り付け!$A:$AZ,102,AX$3)),1),""))</f>
        <v/>
      </c>
      <c r="AY103" s="8">
        <f>IF(AY$3="","",IFERROR(LEFT(TRIM(INDEX(Forms貼り付け!$A:$AZ,102,AY$3)),1),""))</f>
        <v/>
      </c>
      <c r="AZ103" s="8">
        <f>IF(AZ$3="","",IFERROR(LEFT(TRIM(INDEX(Forms貼り付け!$A:$AZ,102,AZ$3)),1),""))</f>
        <v/>
      </c>
      <c r="BA103" s="8">
        <f>IF(BA$3="","",IFERROR(LEFT(TRIM(INDEX(Forms貼り付け!$A:$AZ,102,BA$3)),1),""))</f>
        <v/>
      </c>
      <c r="BB103" s="8">
        <f>IF(BB$3="","",IFERROR(LEFT(TRIM(INDEX(Forms貼り付け!$A:$AZ,102,BB$3)),1),""))</f>
        <v/>
      </c>
      <c r="BC103" s="8">
        <f>IF(BC$3="","",IFERROR(LEFT(TRIM(INDEX(Forms貼り付け!$A:$AZ,102,BC$3)),1),""))</f>
        <v/>
      </c>
    </row>
    <row r="104">
      <c r="A104" s="8" t="inlineStr">
        <is>
          <t>U100</t>
        </is>
      </c>
      <c r="B104" s="9">
        <f>IF($B$3="","",INDEX(Forms貼り付け!$A:$AZ,103,$B$3))</f>
        <v/>
      </c>
      <c r="C104" s="9">
        <f>IF($C$3="","",INDEX(Forms貼り付け!$A:$AZ,103,$C$3))</f>
        <v/>
      </c>
      <c r="D104" s="8">
        <f>IF($D$3="","",INDEX(Forms貼り付け!$A:$AZ,103,$D$3))</f>
        <v/>
      </c>
      <c r="E104" s="8">
        <f>IF($E$3="","",INDEX(Forms貼り付け!$A:$AZ,103,$E$3))</f>
        <v/>
      </c>
      <c r="F104" s="8">
        <f>IF(F$3="","",IFERROR(LEFT(TRIM(INDEX(Forms貼り付け!$A:$AZ,103,F$3)),1),""))</f>
        <v/>
      </c>
      <c r="G104" s="8">
        <f>IF(G$3="","",IFERROR(LEFT(TRIM(INDEX(Forms貼り付け!$A:$AZ,103,G$3)),1),""))</f>
        <v/>
      </c>
      <c r="H104" s="8">
        <f>IF(H$3="","",IFERROR(LEFT(TRIM(INDEX(Forms貼り付け!$A:$AZ,103,H$3)),1),""))</f>
        <v/>
      </c>
      <c r="I104" s="8">
        <f>IF(I$3="","",IFERROR(LEFT(TRIM(INDEX(Forms貼り付け!$A:$AZ,103,I$3)),1),""))</f>
        <v/>
      </c>
      <c r="J104" s="8">
        <f>IF(J$3="","",IFERROR(LEFT(TRIM(INDEX(Forms貼り付け!$A:$AZ,103,J$3)),1),""))</f>
        <v/>
      </c>
      <c r="K104" s="8">
        <f>IF(K$3="","",IFERROR(LEFT(TRIM(INDEX(Forms貼り付け!$A:$AZ,103,K$3)),1),""))</f>
        <v/>
      </c>
      <c r="L104" s="8">
        <f>IF(L$3="","",IFERROR(LEFT(TRIM(INDEX(Forms貼り付け!$A:$AZ,103,L$3)),1),""))</f>
        <v/>
      </c>
      <c r="M104" s="8">
        <f>IF(M$3="","",IFERROR(LEFT(TRIM(INDEX(Forms貼り付け!$A:$AZ,103,M$3)),1),""))</f>
        <v/>
      </c>
      <c r="N104" s="8">
        <f>IF(N$3="","",IFERROR(LEFT(TRIM(INDEX(Forms貼り付け!$A:$AZ,103,N$3)),1),""))</f>
        <v/>
      </c>
      <c r="O104" s="8">
        <f>IF(O$3="","",IFERROR(LEFT(TRIM(INDEX(Forms貼り付け!$A:$AZ,103,O$3)),1),""))</f>
        <v/>
      </c>
      <c r="P104" s="8">
        <f>IF(P$3="","",IFERROR(LEFT(TRIM(INDEX(Forms貼り付け!$A:$AZ,103,P$3)),1),""))</f>
        <v/>
      </c>
      <c r="Q104" s="8">
        <f>IF(Q$3="","",IFERROR(LEFT(TRIM(INDEX(Forms貼り付け!$A:$AZ,103,Q$3)),1),""))</f>
        <v/>
      </c>
      <c r="R104" s="8">
        <f>IF(R$3="","",IFERROR(LEFT(TRIM(INDEX(Forms貼り付け!$A:$AZ,103,R$3)),1),""))</f>
        <v/>
      </c>
      <c r="S104" s="8">
        <f>IF(S$3="","",IFERROR(LEFT(TRIM(INDEX(Forms貼り付け!$A:$AZ,103,S$3)),1),""))</f>
        <v/>
      </c>
      <c r="T104" s="8">
        <f>IF(T$3="","",IFERROR(LEFT(TRIM(INDEX(Forms貼り付け!$A:$AZ,103,T$3)),1),""))</f>
        <v/>
      </c>
      <c r="U104" s="8">
        <f>IF(U$3="","",IFERROR(LEFT(TRIM(INDEX(Forms貼り付け!$A:$AZ,103,U$3)),1),""))</f>
        <v/>
      </c>
      <c r="V104" s="8">
        <f>IF(V$3="","",IFERROR(LEFT(TRIM(INDEX(Forms貼り付け!$A:$AZ,103,V$3)),1),""))</f>
        <v/>
      </c>
      <c r="W104" s="8">
        <f>IF(W$3="","",IFERROR(LEFT(TRIM(INDEX(Forms貼り付け!$A:$AZ,103,W$3)),1),""))</f>
        <v/>
      </c>
      <c r="X104" s="8">
        <f>IF(X$3="","",IFERROR(LEFT(TRIM(INDEX(Forms貼り付け!$A:$AZ,103,X$3)),1),""))</f>
        <v/>
      </c>
      <c r="Y104" s="8">
        <f>IF(Y$3="","",IFERROR(LEFT(TRIM(INDEX(Forms貼り付け!$A:$AZ,103,Y$3)),1),""))</f>
        <v/>
      </c>
      <c r="Z104" s="8">
        <f>IF(Z$3="","",IFERROR(LEFT(TRIM(INDEX(Forms貼り付け!$A:$AZ,103,Z$3)),1),""))</f>
        <v/>
      </c>
      <c r="AA104" s="8">
        <f>IF(AA$3="","",IFERROR(LEFT(TRIM(INDEX(Forms貼り付け!$A:$AZ,103,AA$3)),1),""))</f>
        <v/>
      </c>
      <c r="AB104" s="8">
        <f>IF(AB$3="","",IFERROR(LEFT(TRIM(INDEX(Forms貼り付け!$A:$AZ,103,AB$3)),1),""))</f>
        <v/>
      </c>
      <c r="AC104" s="8">
        <f>IF(AC$3="","",IFERROR(LEFT(TRIM(INDEX(Forms貼り付け!$A:$AZ,103,AC$3)),1),""))</f>
        <v/>
      </c>
      <c r="AD104" s="8">
        <f>IF(AD$3="","",IFERROR(LEFT(TRIM(INDEX(Forms貼り付け!$A:$AZ,103,AD$3)),1),""))</f>
        <v/>
      </c>
      <c r="AE104" s="8">
        <f>IF(AE$3="","",IFERROR(LEFT(TRIM(INDEX(Forms貼り付け!$A:$AZ,103,AE$3)),1),""))</f>
        <v/>
      </c>
      <c r="AF104" s="8">
        <f>IF(AF$3="","",IFERROR(LEFT(TRIM(INDEX(Forms貼り付け!$A:$AZ,103,AF$3)),1),""))</f>
        <v/>
      </c>
      <c r="AG104" s="8">
        <f>IF(AG$3="","",IFERROR(LEFT(TRIM(INDEX(Forms貼り付け!$A:$AZ,103,AG$3)),1),""))</f>
        <v/>
      </c>
      <c r="AH104" s="8">
        <f>IF(AH$3="","",IFERROR(LEFT(TRIM(INDEX(Forms貼り付け!$A:$AZ,103,AH$3)),1),""))</f>
        <v/>
      </c>
      <c r="AI104" s="8">
        <f>IF(AI$3="","",IFERROR(LEFT(TRIM(INDEX(Forms貼り付け!$A:$AZ,103,AI$3)),1),""))</f>
        <v/>
      </c>
      <c r="AJ104" s="8">
        <f>IF(AJ$3="","",IFERROR(LEFT(TRIM(INDEX(Forms貼り付け!$A:$AZ,103,AJ$3)),1),""))</f>
        <v/>
      </c>
      <c r="AK104" s="8">
        <f>IF(AK$3="","",IFERROR(LEFT(TRIM(INDEX(Forms貼り付け!$A:$AZ,103,AK$3)),1),""))</f>
        <v/>
      </c>
      <c r="AL104" s="8">
        <f>IF(AL$3="","",IFERROR(LEFT(TRIM(INDEX(Forms貼り付け!$A:$AZ,103,AL$3)),1),""))</f>
        <v/>
      </c>
      <c r="AM104" s="8">
        <f>IF(AM$3="","",IFERROR(LEFT(TRIM(INDEX(Forms貼り付け!$A:$AZ,103,AM$3)),1),""))</f>
        <v/>
      </c>
      <c r="AN104" s="8">
        <f>IF(AN$3="","",IFERROR(LEFT(TRIM(INDEX(Forms貼り付け!$A:$AZ,103,AN$3)),1),""))</f>
        <v/>
      </c>
      <c r="AO104" s="8">
        <f>IF(AO$3="","",IFERROR(LEFT(TRIM(INDEX(Forms貼り付け!$A:$AZ,103,AO$3)),1),""))</f>
        <v/>
      </c>
      <c r="AP104" s="8">
        <f>IF(AP$3="","",IFERROR(LEFT(TRIM(INDEX(Forms貼り付け!$A:$AZ,103,AP$3)),1),""))</f>
        <v/>
      </c>
      <c r="AQ104" s="8">
        <f>IF(AQ$3="","",IFERROR(LEFT(TRIM(INDEX(Forms貼り付け!$A:$AZ,103,AQ$3)),1),""))</f>
        <v/>
      </c>
      <c r="AR104" s="8">
        <f>IF(AR$3="","",IFERROR(LEFT(TRIM(INDEX(Forms貼り付け!$A:$AZ,103,AR$3)),1),""))</f>
        <v/>
      </c>
      <c r="AS104" s="8">
        <f>IF(AS$3="","",IFERROR(LEFT(TRIM(INDEX(Forms貼り付け!$A:$AZ,103,AS$3)),1),""))</f>
        <v/>
      </c>
      <c r="AT104" s="8">
        <f>IF(AT$3="","",IFERROR(LEFT(TRIM(INDEX(Forms貼り付け!$A:$AZ,103,AT$3)),1),""))</f>
        <v/>
      </c>
      <c r="AU104" s="8">
        <f>IF(AU$3="","",IFERROR(LEFT(TRIM(INDEX(Forms貼り付け!$A:$AZ,103,AU$3)),1),""))</f>
        <v/>
      </c>
      <c r="AV104" s="8">
        <f>IF(AV$3="","",IFERROR(LEFT(TRIM(INDEX(Forms貼り付け!$A:$AZ,103,AV$3)),1),""))</f>
        <v/>
      </c>
      <c r="AW104" s="8">
        <f>IF(AW$3="","",IFERROR(LEFT(TRIM(INDEX(Forms貼り付け!$A:$AZ,103,AW$3)),1),""))</f>
        <v/>
      </c>
      <c r="AX104" s="8">
        <f>IF(AX$3="","",IFERROR(LEFT(TRIM(INDEX(Forms貼り付け!$A:$AZ,103,AX$3)),1),""))</f>
        <v/>
      </c>
      <c r="AY104" s="8">
        <f>IF(AY$3="","",IFERROR(LEFT(TRIM(INDEX(Forms貼り付け!$A:$AZ,103,AY$3)),1),""))</f>
        <v/>
      </c>
      <c r="AZ104" s="8">
        <f>IF(AZ$3="","",IFERROR(LEFT(TRIM(INDEX(Forms貼り付け!$A:$AZ,103,AZ$3)),1),""))</f>
        <v/>
      </c>
      <c r="BA104" s="8">
        <f>IF(BA$3="","",IFERROR(LEFT(TRIM(INDEX(Forms貼り付け!$A:$AZ,103,BA$3)),1),""))</f>
        <v/>
      </c>
      <c r="BB104" s="8">
        <f>IF(BB$3="","",IFERROR(LEFT(TRIM(INDEX(Forms貼り付け!$A:$AZ,103,BB$3)),1),""))</f>
        <v/>
      </c>
      <c r="BC104" s="8">
        <f>IF(BC$3="","",IFERROR(LEFT(TRIM(INDEX(Forms貼り付け!$A:$AZ,103,BC$3)),1),""))</f>
        <v/>
      </c>
    </row>
    <row r="105">
      <c r="A105" s="8" t="inlineStr">
        <is>
          <t>U101</t>
        </is>
      </c>
      <c r="B105" s="9">
        <f>IF($B$3="","",INDEX(Forms貼り付け!$A:$AZ,104,$B$3))</f>
        <v/>
      </c>
      <c r="C105" s="9">
        <f>IF($C$3="","",INDEX(Forms貼り付け!$A:$AZ,104,$C$3))</f>
        <v/>
      </c>
      <c r="D105" s="8">
        <f>IF($D$3="","",INDEX(Forms貼り付け!$A:$AZ,104,$D$3))</f>
        <v/>
      </c>
      <c r="E105" s="8">
        <f>IF($E$3="","",INDEX(Forms貼り付け!$A:$AZ,104,$E$3))</f>
        <v/>
      </c>
      <c r="F105" s="8">
        <f>IF(F$3="","",IFERROR(LEFT(TRIM(INDEX(Forms貼り付け!$A:$AZ,104,F$3)),1),""))</f>
        <v/>
      </c>
      <c r="G105" s="8">
        <f>IF(G$3="","",IFERROR(LEFT(TRIM(INDEX(Forms貼り付け!$A:$AZ,104,G$3)),1),""))</f>
        <v/>
      </c>
      <c r="H105" s="8">
        <f>IF(H$3="","",IFERROR(LEFT(TRIM(INDEX(Forms貼り付け!$A:$AZ,104,H$3)),1),""))</f>
        <v/>
      </c>
      <c r="I105" s="8">
        <f>IF(I$3="","",IFERROR(LEFT(TRIM(INDEX(Forms貼り付け!$A:$AZ,104,I$3)),1),""))</f>
        <v/>
      </c>
      <c r="J105" s="8">
        <f>IF(J$3="","",IFERROR(LEFT(TRIM(INDEX(Forms貼り付け!$A:$AZ,104,J$3)),1),""))</f>
        <v/>
      </c>
      <c r="K105" s="8">
        <f>IF(K$3="","",IFERROR(LEFT(TRIM(INDEX(Forms貼り付け!$A:$AZ,104,K$3)),1),""))</f>
        <v/>
      </c>
      <c r="L105" s="8">
        <f>IF(L$3="","",IFERROR(LEFT(TRIM(INDEX(Forms貼り付け!$A:$AZ,104,L$3)),1),""))</f>
        <v/>
      </c>
      <c r="M105" s="8">
        <f>IF(M$3="","",IFERROR(LEFT(TRIM(INDEX(Forms貼り付け!$A:$AZ,104,M$3)),1),""))</f>
        <v/>
      </c>
      <c r="N105" s="8">
        <f>IF(N$3="","",IFERROR(LEFT(TRIM(INDEX(Forms貼り付け!$A:$AZ,104,N$3)),1),""))</f>
        <v/>
      </c>
      <c r="O105" s="8">
        <f>IF(O$3="","",IFERROR(LEFT(TRIM(INDEX(Forms貼り付け!$A:$AZ,104,O$3)),1),""))</f>
        <v/>
      </c>
      <c r="P105" s="8">
        <f>IF(P$3="","",IFERROR(LEFT(TRIM(INDEX(Forms貼り付け!$A:$AZ,104,P$3)),1),""))</f>
        <v/>
      </c>
      <c r="Q105" s="8">
        <f>IF(Q$3="","",IFERROR(LEFT(TRIM(INDEX(Forms貼り付け!$A:$AZ,104,Q$3)),1),""))</f>
        <v/>
      </c>
      <c r="R105" s="8">
        <f>IF(R$3="","",IFERROR(LEFT(TRIM(INDEX(Forms貼り付け!$A:$AZ,104,R$3)),1),""))</f>
        <v/>
      </c>
      <c r="S105" s="8">
        <f>IF(S$3="","",IFERROR(LEFT(TRIM(INDEX(Forms貼り付け!$A:$AZ,104,S$3)),1),""))</f>
        <v/>
      </c>
      <c r="T105" s="8">
        <f>IF(T$3="","",IFERROR(LEFT(TRIM(INDEX(Forms貼り付け!$A:$AZ,104,T$3)),1),""))</f>
        <v/>
      </c>
      <c r="U105" s="8">
        <f>IF(U$3="","",IFERROR(LEFT(TRIM(INDEX(Forms貼り付け!$A:$AZ,104,U$3)),1),""))</f>
        <v/>
      </c>
      <c r="V105" s="8">
        <f>IF(V$3="","",IFERROR(LEFT(TRIM(INDEX(Forms貼り付け!$A:$AZ,104,V$3)),1),""))</f>
        <v/>
      </c>
      <c r="W105" s="8">
        <f>IF(W$3="","",IFERROR(LEFT(TRIM(INDEX(Forms貼り付け!$A:$AZ,104,W$3)),1),""))</f>
        <v/>
      </c>
      <c r="X105" s="8">
        <f>IF(X$3="","",IFERROR(LEFT(TRIM(INDEX(Forms貼り付け!$A:$AZ,104,X$3)),1),""))</f>
        <v/>
      </c>
      <c r="Y105" s="8">
        <f>IF(Y$3="","",IFERROR(LEFT(TRIM(INDEX(Forms貼り付け!$A:$AZ,104,Y$3)),1),""))</f>
        <v/>
      </c>
      <c r="Z105" s="8">
        <f>IF(Z$3="","",IFERROR(LEFT(TRIM(INDEX(Forms貼り付け!$A:$AZ,104,Z$3)),1),""))</f>
        <v/>
      </c>
      <c r="AA105" s="8">
        <f>IF(AA$3="","",IFERROR(LEFT(TRIM(INDEX(Forms貼り付け!$A:$AZ,104,AA$3)),1),""))</f>
        <v/>
      </c>
      <c r="AB105" s="8">
        <f>IF(AB$3="","",IFERROR(LEFT(TRIM(INDEX(Forms貼り付け!$A:$AZ,104,AB$3)),1),""))</f>
        <v/>
      </c>
      <c r="AC105" s="8">
        <f>IF(AC$3="","",IFERROR(LEFT(TRIM(INDEX(Forms貼り付け!$A:$AZ,104,AC$3)),1),""))</f>
        <v/>
      </c>
      <c r="AD105" s="8">
        <f>IF(AD$3="","",IFERROR(LEFT(TRIM(INDEX(Forms貼り付け!$A:$AZ,104,AD$3)),1),""))</f>
        <v/>
      </c>
      <c r="AE105" s="8">
        <f>IF(AE$3="","",IFERROR(LEFT(TRIM(INDEX(Forms貼り付け!$A:$AZ,104,AE$3)),1),""))</f>
        <v/>
      </c>
      <c r="AF105" s="8">
        <f>IF(AF$3="","",IFERROR(LEFT(TRIM(INDEX(Forms貼り付け!$A:$AZ,104,AF$3)),1),""))</f>
        <v/>
      </c>
      <c r="AG105" s="8">
        <f>IF(AG$3="","",IFERROR(LEFT(TRIM(INDEX(Forms貼り付け!$A:$AZ,104,AG$3)),1),""))</f>
        <v/>
      </c>
      <c r="AH105" s="8">
        <f>IF(AH$3="","",IFERROR(LEFT(TRIM(INDEX(Forms貼り付け!$A:$AZ,104,AH$3)),1),""))</f>
        <v/>
      </c>
      <c r="AI105" s="8">
        <f>IF(AI$3="","",IFERROR(LEFT(TRIM(INDEX(Forms貼り付け!$A:$AZ,104,AI$3)),1),""))</f>
        <v/>
      </c>
      <c r="AJ105" s="8">
        <f>IF(AJ$3="","",IFERROR(LEFT(TRIM(INDEX(Forms貼り付け!$A:$AZ,104,AJ$3)),1),""))</f>
        <v/>
      </c>
      <c r="AK105" s="8">
        <f>IF(AK$3="","",IFERROR(LEFT(TRIM(INDEX(Forms貼り付け!$A:$AZ,104,AK$3)),1),""))</f>
        <v/>
      </c>
      <c r="AL105" s="8">
        <f>IF(AL$3="","",IFERROR(LEFT(TRIM(INDEX(Forms貼り付け!$A:$AZ,104,AL$3)),1),""))</f>
        <v/>
      </c>
      <c r="AM105" s="8">
        <f>IF(AM$3="","",IFERROR(LEFT(TRIM(INDEX(Forms貼り付け!$A:$AZ,104,AM$3)),1),""))</f>
        <v/>
      </c>
      <c r="AN105" s="8">
        <f>IF(AN$3="","",IFERROR(LEFT(TRIM(INDEX(Forms貼り付け!$A:$AZ,104,AN$3)),1),""))</f>
        <v/>
      </c>
      <c r="AO105" s="8">
        <f>IF(AO$3="","",IFERROR(LEFT(TRIM(INDEX(Forms貼り付け!$A:$AZ,104,AO$3)),1),""))</f>
        <v/>
      </c>
      <c r="AP105" s="8">
        <f>IF(AP$3="","",IFERROR(LEFT(TRIM(INDEX(Forms貼り付け!$A:$AZ,104,AP$3)),1),""))</f>
        <v/>
      </c>
      <c r="AQ105" s="8">
        <f>IF(AQ$3="","",IFERROR(LEFT(TRIM(INDEX(Forms貼り付け!$A:$AZ,104,AQ$3)),1),""))</f>
        <v/>
      </c>
      <c r="AR105" s="8">
        <f>IF(AR$3="","",IFERROR(LEFT(TRIM(INDEX(Forms貼り付け!$A:$AZ,104,AR$3)),1),""))</f>
        <v/>
      </c>
      <c r="AS105" s="8">
        <f>IF(AS$3="","",IFERROR(LEFT(TRIM(INDEX(Forms貼り付け!$A:$AZ,104,AS$3)),1),""))</f>
        <v/>
      </c>
      <c r="AT105" s="8">
        <f>IF(AT$3="","",IFERROR(LEFT(TRIM(INDEX(Forms貼り付け!$A:$AZ,104,AT$3)),1),""))</f>
        <v/>
      </c>
      <c r="AU105" s="8">
        <f>IF(AU$3="","",IFERROR(LEFT(TRIM(INDEX(Forms貼り付け!$A:$AZ,104,AU$3)),1),""))</f>
        <v/>
      </c>
      <c r="AV105" s="8">
        <f>IF(AV$3="","",IFERROR(LEFT(TRIM(INDEX(Forms貼り付け!$A:$AZ,104,AV$3)),1),""))</f>
        <v/>
      </c>
      <c r="AW105" s="8">
        <f>IF(AW$3="","",IFERROR(LEFT(TRIM(INDEX(Forms貼り付け!$A:$AZ,104,AW$3)),1),""))</f>
        <v/>
      </c>
      <c r="AX105" s="8">
        <f>IF(AX$3="","",IFERROR(LEFT(TRIM(INDEX(Forms貼り付け!$A:$AZ,104,AX$3)),1),""))</f>
        <v/>
      </c>
      <c r="AY105" s="8">
        <f>IF(AY$3="","",IFERROR(LEFT(TRIM(INDEX(Forms貼り付け!$A:$AZ,104,AY$3)),1),""))</f>
        <v/>
      </c>
      <c r="AZ105" s="8">
        <f>IF(AZ$3="","",IFERROR(LEFT(TRIM(INDEX(Forms貼り付け!$A:$AZ,104,AZ$3)),1),""))</f>
        <v/>
      </c>
      <c r="BA105" s="8">
        <f>IF(BA$3="","",IFERROR(LEFT(TRIM(INDEX(Forms貼り付け!$A:$AZ,104,BA$3)),1),""))</f>
        <v/>
      </c>
      <c r="BB105" s="8">
        <f>IF(BB$3="","",IFERROR(LEFT(TRIM(INDEX(Forms貼り付け!$A:$AZ,104,BB$3)),1),""))</f>
        <v/>
      </c>
      <c r="BC105" s="8">
        <f>IF(BC$3="","",IFERROR(LEFT(TRIM(INDEX(Forms貼り付け!$A:$AZ,104,BC$3)),1),""))</f>
        <v/>
      </c>
    </row>
    <row r="106">
      <c r="A106" s="8" t="inlineStr">
        <is>
          <t>U102</t>
        </is>
      </c>
      <c r="B106" s="9">
        <f>IF($B$3="","",INDEX(Forms貼り付け!$A:$AZ,105,$B$3))</f>
        <v/>
      </c>
      <c r="C106" s="9">
        <f>IF($C$3="","",INDEX(Forms貼り付け!$A:$AZ,105,$C$3))</f>
        <v/>
      </c>
      <c r="D106" s="8">
        <f>IF($D$3="","",INDEX(Forms貼り付け!$A:$AZ,105,$D$3))</f>
        <v/>
      </c>
      <c r="E106" s="8">
        <f>IF($E$3="","",INDEX(Forms貼り付け!$A:$AZ,105,$E$3))</f>
        <v/>
      </c>
      <c r="F106" s="8">
        <f>IF(F$3="","",IFERROR(LEFT(TRIM(INDEX(Forms貼り付け!$A:$AZ,105,F$3)),1),""))</f>
        <v/>
      </c>
      <c r="G106" s="8">
        <f>IF(G$3="","",IFERROR(LEFT(TRIM(INDEX(Forms貼り付け!$A:$AZ,105,G$3)),1),""))</f>
        <v/>
      </c>
      <c r="H106" s="8">
        <f>IF(H$3="","",IFERROR(LEFT(TRIM(INDEX(Forms貼り付け!$A:$AZ,105,H$3)),1),""))</f>
        <v/>
      </c>
      <c r="I106" s="8">
        <f>IF(I$3="","",IFERROR(LEFT(TRIM(INDEX(Forms貼り付け!$A:$AZ,105,I$3)),1),""))</f>
        <v/>
      </c>
      <c r="J106" s="8">
        <f>IF(J$3="","",IFERROR(LEFT(TRIM(INDEX(Forms貼り付け!$A:$AZ,105,J$3)),1),""))</f>
        <v/>
      </c>
      <c r="K106" s="8">
        <f>IF(K$3="","",IFERROR(LEFT(TRIM(INDEX(Forms貼り付け!$A:$AZ,105,K$3)),1),""))</f>
        <v/>
      </c>
      <c r="L106" s="8">
        <f>IF(L$3="","",IFERROR(LEFT(TRIM(INDEX(Forms貼り付け!$A:$AZ,105,L$3)),1),""))</f>
        <v/>
      </c>
      <c r="M106" s="8">
        <f>IF(M$3="","",IFERROR(LEFT(TRIM(INDEX(Forms貼り付け!$A:$AZ,105,M$3)),1),""))</f>
        <v/>
      </c>
      <c r="N106" s="8">
        <f>IF(N$3="","",IFERROR(LEFT(TRIM(INDEX(Forms貼り付け!$A:$AZ,105,N$3)),1),""))</f>
        <v/>
      </c>
      <c r="O106" s="8">
        <f>IF(O$3="","",IFERROR(LEFT(TRIM(INDEX(Forms貼り付け!$A:$AZ,105,O$3)),1),""))</f>
        <v/>
      </c>
      <c r="P106" s="8">
        <f>IF(P$3="","",IFERROR(LEFT(TRIM(INDEX(Forms貼り付け!$A:$AZ,105,P$3)),1),""))</f>
        <v/>
      </c>
      <c r="Q106" s="8">
        <f>IF(Q$3="","",IFERROR(LEFT(TRIM(INDEX(Forms貼り付け!$A:$AZ,105,Q$3)),1),""))</f>
        <v/>
      </c>
      <c r="R106" s="8">
        <f>IF(R$3="","",IFERROR(LEFT(TRIM(INDEX(Forms貼り付け!$A:$AZ,105,R$3)),1),""))</f>
        <v/>
      </c>
      <c r="S106" s="8">
        <f>IF(S$3="","",IFERROR(LEFT(TRIM(INDEX(Forms貼り付け!$A:$AZ,105,S$3)),1),""))</f>
        <v/>
      </c>
      <c r="T106" s="8">
        <f>IF(T$3="","",IFERROR(LEFT(TRIM(INDEX(Forms貼り付け!$A:$AZ,105,T$3)),1),""))</f>
        <v/>
      </c>
      <c r="U106" s="8">
        <f>IF(U$3="","",IFERROR(LEFT(TRIM(INDEX(Forms貼り付け!$A:$AZ,105,U$3)),1),""))</f>
        <v/>
      </c>
      <c r="V106" s="8">
        <f>IF(V$3="","",IFERROR(LEFT(TRIM(INDEX(Forms貼り付け!$A:$AZ,105,V$3)),1),""))</f>
        <v/>
      </c>
      <c r="W106" s="8">
        <f>IF(W$3="","",IFERROR(LEFT(TRIM(INDEX(Forms貼り付け!$A:$AZ,105,W$3)),1),""))</f>
        <v/>
      </c>
      <c r="X106" s="8">
        <f>IF(X$3="","",IFERROR(LEFT(TRIM(INDEX(Forms貼り付け!$A:$AZ,105,X$3)),1),""))</f>
        <v/>
      </c>
      <c r="Y106" s="8">
        <f>IF(Y$3="","",IFERROR(LEFT(TRIM(INDEX(Forms貼り付け!$A:$AZ,105,Y$3)),1),""))</f>
        <v/>
      </c>
      <c r="Z106" s="8">
        <f>IF(Z$3="","",IFERROR(LEFT(TRIM(INDEX(Forms貼り付け!$A:$AZ,105,Z$3)),1),""))</f>
        <v/>
      </c>
      <c r="AA106" s="8">
        <f>IF(AA$3="","",IFERROR(LEFT(TRIM(INDEX(Forms貼り付け!$A:$AZ,105,AA$3)),1),""))</f>
        <v/>
      </c>
      <c r="AB106" s="8">
        <f>IF(AB$3="","",IFERROR(LEFT(TRIM(INDEX(Forms貼り付け!$A:$AZ,105,AB$3)),1),""))</f>
        <v/>
      </c>
      <c r="AC106" s="8">
        <f>IF(AC$3="","",IFERROR(LEFT(TRIM(INDEX(Forms貼り付け!$A:$AZ,105,AC$3)),1),""))</f>
        <v/>
      </c>
      <c r="AD106" s="8">
        <f>IF(AD$3="","",IFERROR(LEFT(TRIM(INDEX(Forms貼り付け!$A:$AZ,105,AD$3)),1),""))</f>
        <v/>
      </c>
      <c r="AE106" s="8">
        <f>IF(AE$3="","",IFERROR(LEFT(TRIM(INDEX(Forms貼り付け!$A:$AZ,105,AE$3)),1),""))</f>
        <v/>
      </c>
      <c r="AF106" s="8">
        <f>IF(AF$3="","",IFERROR(LEFT(TRIM(INDEX(Forms貼り付け!$A:$AZ,105,AF$3)),1),""))</f>
        <v/>
      </c>
      <c r="AG106" s="8">
        <f>IF(AG$3="","",IFERROR(LEFT(TRIM(INDEX(Forms貼り付け!$A:$AZ,105,AG$3)),1),""))</f>
        <v/>
      </c>
      <c r="AH106" s="8">
        <f>IF(AH$3="","",IFERROR(LEFT(TRIM(INDEX(Forms貼り付け!$A:$AZ,105,AH$3)),1),""))</f>
        <v/>
      </c>
      <c r="AI106" s="8">
        <f>IF(AI$3="","",IFERROR(LEFT(TRIM(INDEX(Forms貼り付け!$A:$AZ,105,AI$3)),1),""))</f>
        <v/>
      </c>
      <c r="AJ106" s="8">
        <f>IF(AJ$3="","",IFERROR(LEFT(TRIM(INDEX(Forms貼り付け!$A:$AZ,105,AJ$3)),1),""))</f>
        <v/>
      </c>
      <c r="AK106" s="8">
        <f>IF(AK$3="","",IFERROR(LEFT(TRIM(INDEX(Forms貼り付け!$A:$AZ,105,AK$3)),1),""))</f>
        <v/>
      </c>
      <c r="AL106" s="8">
        <f>IF(AL$3="","",IFERROR(LEFT(TRIM(INDEX(Forms貼り付け!$A:$AZ,105,AL$3)),1),""))</f>
        <v/>
      </c>
      <c r="AM106" s="8">
        <f>IF(AM$3="","",IFERROR(LEFT(TRIM(INDEX(Forms貼り付け!$A:$AZ,105,AM$3)),1),""))</f>
        <v/>
      </c>
      <c r="AN106" s="8">
        <f>IF(AN$3="","",IFERROR(LEFT(TRIM(INDEX(Forms貼り付け!$A:$AZ,105,AN$3)),1),""))</f>
        <v/>
      </c>
      <c r="AO106" s="8">
        <f>IF(AO$3="","",IFERROR(LEFT(TRIM(INDEX(Forms貼り付け!$A:$AZ,105,AO$3)),1),""))</f>
        <v/>
      </c>
      <c r="AP106" s="8">
        <f>IF(AP$3="","",IFERROR(LEFT(TRIM(INDEX(Forms貼り付け!$A:$AZ,105,AP$3)),1),""))</f>
        <v/>
      </c>
      <c r="AQ106" s="8">
        <f>IF(AQ$3="","",IFERROR(LEFT(TRIM(INDEX(Forms貼り付け!$A:$AZ,105,AQ$3)),1),""))</f>
        <v/>
      </c>
      <c r="AR106" s="8">
        <f>IF(AR$3="","",IFERROR(LEFT(TRIM(INDEX(Forms貼り付け!$A:$AZ,105,AR$3)),1),""))</f>
        <v/>
      </c>
      <c r="AS106" s="8">
        <f>IF(AS$3="","",IFERROR(LEFT(TRIM(INDEX(Forms貼り付け!$A:$AZ,105,AS$3)),1),""))</f>
        <v/>
      </c>
      <c r="AT106" s="8">
        <f>IF(AT$3="","",IFERROR(LEFT(TRIM(INDEX(Forms貼り付け!$A:$AZ,105,AT$3)),1),""))</f>
        <v/>
      </c>
      <c r="AU106" s="8">
        <f>IF(AU$3="","",IFERROR(LEFT(TRIM(INDEX(Forms貼り付け!$A:$AZ,105,AU$3)),1),""))</f>
        <v/>
      </c>
      <c r="AV106" s="8">
        <f>IF(AV$3="","",IFERROR(LEFT(TRIM(INDEX(Forms貼り付け!$A:$AZ,105,AV$3)),1),""))</f>
        <v/>
      </c>
      <c r="AW106" s="8">
        <f>IF(AW$3="","",IFERROR(LEFT(TRIM(INDEX(Forms貼り付け!$A:$AZ,105,AW$3)),1),""))</f>
        <v/>
      </c>
      <c r="AX106" s="8">
        <f>IF(AX$3="","",IFERROR(LEFT(TRIM(INDEX(Forms貼り付け!$A:$AZ,105,AX$3)),1),""))</f>
        <v/>
      </c>
      <c r="AY106" s="8">
        <f>IF(AY$3="","",IFERROR(LEFT(TRIM(INDEX(Forms貼り付け!$A:$AZ,105,AY$3)),1),""))</f>
        <v/>
      </c>
      <c r="AZ106" s="8">
        <f>IF(AZ$3="","",IFERROR(LEFT(TRIM(INDEX(Forms貼り付け!$A:$AZ,105,AZ$3)),1),""))</f>
        <v/>
      </c>
      <c r="BA106" s="8">
        <f>IF(BA$3="","",IFERROR(LEFT(TRIM(INDEX(Forms貼り付け!$A:$AZ,105,BA$3)),1),""))</f>
        <v/>
      </c>
      <c r="BB106" s="8">
        <f>IF(BB$3="","",IFERROR(LEFT(TRIM(INDEX(Forms貼り付け!$A:$AZ,105,BB$3)),1),""))</f>
        <v/>
      </c>
      <c r="BC106" s="8">
        <f>IF(BC$3="","",IFERROR(LEFT(TRIM(INDEX(Forms貼り付け!$A:$AZ,105,BC$3)),1),""))</f>
        <v/>
      </c>
    </row>
    <row r="107">
      <c r="A107" s="8" t="inlineStr">
        <is>
          <t>U103</t>
        </is>
      </c>
      <c r="B107" s="9">
        <f>IF($B$3="","",INDEX(Forms貼り付け!$A:$AZ,106,$B$3))</f>
        <v/>
      </c>
      <c r="C107" s="9">
        <f>IF($C$3="","",INDEX(Forms貼り付け!$A:$AZ,106,$C$3))</f>
        <v/>
      </c>
      <c r="D107" s="8">
        <f>IF($D$3="","",INDEX(Forms貼り付け!$A:$AZ,106,$D$3))</f>
        <v/>
      </c>
      <c r="E107" s="8">
        <f>IF($E$3="","",INDEX(Forms貼り付け!$A:$AZ,106,$E$3))</f>
        <v/>
      </c>
      <c r="F107" s="8">
        <f>IF(F$3="","",IFERROR(LEFT(TRIM(INDEX(Forms貼り付け!$A:$AZ,106,F$3)),1),""))</f>
        <v/>
      </c>
      <c r="G107" s="8">
        <f>IF(G$3="","",IFERROR(LEFT(TRIM(INDEX(Forms貼り付け!$A:$AZ,106,G$3)),1),""))</f>
        <v/>
      </c>
      <c r="H107" s="8">
        <f>IF(H$3="","",IFERROR(LEFT(TRIM(INDEX(Forms貼り付け!$A:$AZ,106,H$3)),1),""))</f>
        <v/>
      </c>
      <c r="I107" s="8">
        <f>IF(I$3="","",IFERROR(LEFT(TRIM(INDEX(Forms貼り付け!$A:$AZ,106,I$3)),1),""))</f>
        <v/>
      </c>
      <c r="J107" s="8">
        <f>IF(J$3="","",IFERROR(LEFT(TRIM(INDEX(Forms貼り付け!$A:$AZ,106,J$3)),1),""))</f>
        <v/>
      </c>
      <c r="K107" s="8">
        <f>IF(K$3="","",IFERROR(LEFT(TRIM(INDEX(Forms貼り付け!$A:$AZ,106,K$3)),1),""))</f>
        <v/>
      </c>
      <c r="L107" s="8">
        <f>IF(L$3="","",IFERROR(LEFT(TRIM(INDEX(Forms貼り付け!$A:$AZ,106,L$3)),1),""))</f>
        <v/>
      </c>
      <c r="M107" s="8">
        <f>IF(M$3="","",IFERROR(LEFT(TRIM(INDEX(Forms貼り付け!$A:$AZ,106,M$3)),1),""))</f>
        <v/>
      </c>
      <c r="N107" s="8">
        <f>IF(N$3="","",IFERROR(LEFT(TRIM(INDEX(Forms貼り付け!$A:$AZ,106,N$3)),1),""))</f>
        <v/>
      </c>
      <c r="O107" s="8">
        <f>IF(O$3="","",IFERROR(LEFT(TRIM(INDEX(Forms貼り付け!$A:$AZ,106,O$3)),1),""))</f>
        <v/>
      </c>
      <c r="P107" s="8">
        <f>IF(P$3="","",IFERROR(LEFT(TRIM(INDEX(Forms貼り付け!$A:$AZ,106,P$3)),1),""))</f>
        <v/>
      </c>
      <c r="Q107" s="8">
        <f>IF(Q$3="","",IFERROR(LEFT(TRIM(INDEX(Forms貼り付け!$A:$AZ,106,Q$3)),1),""))</f>
        <v/>
      </c>
      <c r="R107" s="8">
        <f>IF(R$3="","",IFERROR(LEFT(TRIM(INDEX(Forms貼り付け!$A:$AZ,106,R$3)),1),""))</f>
        <v/>
      </c>
      <c r="S107" s="8">
        <f>IF(S$3="","",IFERROR(LEFT(TRIM(INDEX(Forms貼り付け!$A:$AZ,106,S$3)),1),""))</f>
        <v/>
      </c>
      <c r="T107" s="8">
        <f>IF(T$3="","",IFERROR(LEFT(TRIM(INDEX(Forms貼り付け!$A:$AZ,106,T$3)),1),""))</f>
        <v/>
      </c>
      <c r="U107" s="8">
        <f>IF(U$3="","",IFERROR(LEFT(TRIM(INDEX(Forms貼り付け!$A:$AZ,106,U$3)),1),""))</f>
        <v/>
      </c>
      <c r="V107" s="8">
        <f>IF(V$3="","",IFERROR(LEFT(TRIM(INDEX(Forms貼り付け!$A:$AZ,106,V$3)),1),""))</f>
        <v/>
      </c>
      <c r="W107" s="8">
        <f>IF(W$3="","",IFERROR(LEFT(TRIM(INDEX(Forms貼り付け!$A:$AZ,106,W$3)),1),""))</f>
        <v/>
      </c>
      <c r="X107" s="8">
        <f>IF(X$3="","",IFERROR(LEFT(TRIM(INDEX(Forms貼り付け!$A:$AZ,106,X$3)),1),""))</f>
        <v/>
      </c>
      <c r="Y107" s="8">
        <f>IF(Y$3="","",IFERROR(LEFT(TRIM(INDEX(Forms貼り付け!$A:$AZ,106,Y$3)),1),""))</f>
        <v/>
      </c>
      <c r="Z107" s="8">
        <f>IF(Z$3="","",IFERROR(LEFT(TRIM(INDEX(Forms貼り付け!$A:$AZ,106,Z$3)),1),""))</f>
        <v/>
      </c>
      <c r="AA107" s="8">
        <f>IF(AA$3="","",IFERROR(LEFT(TRIM(INDEX(Forms貼り付け!$A:$AZ,106,AA$3)),1),""))</f>
        <v/>
      </c>
      <c r="AB107" s="8">
        <f>IF(AB$3="","",IFERROR(LEFT(TRIM(INDEX(Forms貼り付け!$A:$AZ,106,AB$3)),1),""))</f>
        <v/>
      </c>
      <c r="AC107" s="8">
        <f>IF(AC$3="","",IFERROR(LEFT(TRIM(INDEX(Forms貼り付け!$A:$AZ,106,AC$3)),1),""))</f>
        <v/>
      </c>
      <c r="AD107" s="8">
        <f>IF(AD$3="","",IFERROR(LEFT(TRIM(INDEX(Forms貼り付け!$A:$AZ,106,AD$3)),1),""))</f>
        <v/>
      </c>
      <c r="AE107" s="8">
        <f>IF(AE$3="","",IFERROR(LEFT(TRIM(INDEX(Forms貼り付け!$A:$AZ,106,AE$3)),1),""))</f>
        <v/>
      </c>
      <c r="AF107" s="8">
        <f>IF(AF$3="","",IFERROR(LEFT(TRIM(INDEX(Forms貼り付け!$A:$AZ,106,AF$3)),1),""))</f>
        <v/>
      </c>
      <c r="AG107" s="8">
        <f>IF(AG$3="","",IFERROR(LEFT(TRIM(INDEX(Forms貼り付け!$A:$AZ,106,AG$3)),1),""))</f>
        <v/>
      </c>
      <c r="AH107" s="8">
        <f>IF(AH$3="","",IFERROR(LEFT(TRIM(INDEX(Forms貼り付け!$A:$AZ,106,AH$3)),1),""))</f>
        <v/>
      </c>
      <c r="AI107" s="8">
        <f>IF(AI$3="","",IFERROR(LEFT(TRIM(INDEX(Forms貼り付け!$A:$AZ,106,AI$3)),1),""))</f>
        <v/>
      </c>
      <c r="AJ107" s="8">
        <f>IF(AJ$3="","",IFERROR(LEFT(TRIM(INDEX(Forms貼り付け!$A:$AZ,106,AJ$3)),1),""))</f>
        <v/>
      </c>
      <c r="AK107" s="8">
        <f>IF(AK$3="","",IFERROR(LEFT(TRIM(INDEX(Forms貼り付け!$A:$AZ,106,AK$3)),1),""))</f>
        <v/>
      </c>
      <c r="AL107" s="8">
        <f>IF(AL$3="","",IFERROR(LEFT(TRIM(INDEX(Forms貼り付け!$A:$AZ,106,AL$3)),1),""))</f>
        <v/>
      </c>
      <c r="AM107" s="8">
        <f>IF(AM$3="","",IFERROR(LEFT(TRIM(INDEX(Forms貼り付け!$A:$AZ,106,AM$3)),1),""))</f>
        <v/>
      </c>
      <c r="AN107" s="8">
        <f>IF(AN$3="","",IFERROR(LEFT(TRIM(INDEX(Forms貼り付け!$A:$AZ,106,AN$3)),1),""))</f>
        <v/>
      </c>
      <c r="AO107" s="8">
        <f>IF(AO$3="","",IFERROR(LEFT(TRIM(INDEX(Forms貼り付け!$A:$AZ,106,AO$3)),1),""))</f>
        <v/>
      </c>
      <c r="AP107" s="8">
        <f>IF(AP$3="","",IFERROR(LEFT(TRIM(INDEX(Forms貼り付け!$A:$AZ,106,AP$3)),1),""))</f>
        <v/>
      </c>
      <c r="AQ107" s="8">
        <f>IF(AQ$3="","",IFERROR(LEFT(TRIM(INDEX(Forms貼り付け!$A:$AZ,106,AQ$3)),1),""))</f>
        <v/>
      </c>
      <c r="AR107" s="8">
        <f>IF(AR$3="","",IFERROR(LEFT(TRIM(INDEX(Forms貼り付け!$A:$AZ,106,AR$3)),1),""))</f>
        <v/>
      </c>
      <c r="AS107" s="8">
        <f>IF(AS$3="","",IFERROR(LEFT(TRIM(INDEX(Forms貼り付け!$A:$AZ,106,AS$3)),1),""))</f>
        <v/>
      </c>
      <c r="AT107" s="8">
        <f>IF(AT$3="","",IFERROR(LEFT(TRIM(INDEX(Forms貼り付け!$A:$AZ,106,AT$3)),1),""))</f>
        <v/>
      </c>
      <c r="AU107" s="8">
        <f>IF(AU$3="","",IFERROR(LEFT(TRIM(INDEX(Forms貼り付け!$A:$AZ,106,AU$3)),1),""))</f>
        <v/>
      </c>
      <c r="AV107" s="8">
        <f>IF(AV$3="","",IFERROR(LEFT(TRIM(INDEX(Forms貼り付け!$A:$AZ,106,AV$3)),1),""))</f>
        <v/>
      </c>
      <c r="AW107" s="8">
        <f>IF(AW$3="","",IFERROR(LEFT(TRIM(INDEX(Forms貼り付け!$A:$AZ,106,AW$3)),1),""))</f>
        <v/>
      </c>
      <c r="AX107" s="8">
        <f>IF(AX$3="","",IFERROR(LEFT(TRIM(INDEX(Forms貼り付け!$A:$AZ,106,AX$3)),1),""))</f>
        <v/>
      </c>
      <c r="AY107" s="8">
        <f>IF(AY$3="","",IFERROR(LEFT(TRIM(INDEX(Forms貼り付け!$A:$AZ,106,AY$3)),1),""))</f>
        <v/>
      </c>
      <c r="AZ107" s="8">
        <f>IF(AZ$3="","",IFERROR(LEFT(TRIM(INDEX(Forms貼り付け!$A:$AZ,106,AZ$3)),1),""))</f>
        <v/>
      </c>
      <c r="BA107" s="8">
        <f>IF(BA$3="","",IFERROR(LEFT(TRIM(INDEX(Forms貼り付け!$A:$AZ,106,BA$3)),1),""))</f>
        <v/>
      </c>
      <c r="BB107" s="8">
        <f>IF(BB$3="","",IFERROR(LEFT(TRIM(INDEX(Forms貼り付け!$A:$AZ,106,BB$3)),1),""))</f>
        <v/>
      </c>
      <c r="BC107" s="8">
        <f>IF(BC$3="","",IFERROR(LEFT(TRIM(INDEX(Forms貼り付け!$A:$AZ,106,BC$3)),1),""))</f>
        <v/>
      </c>
    </row>
    <row r="108">
      <c r="A108" s="8" t="inlineStr">
        <is>
          <t>U104</t>
        </is>
      </c>
      <c r="B108" s="9">
        <f>IF($B$3="","",INDEX(Forms貼り付け!$A:$AZ,107,$B$3))</f>
        <v/>
      </c>
      <c r="C108" s="9">
        <f>IF($C$3="","",INDEX(Forms貼り付け!$A:$AZ,107,$C$3))</f>
        <v/>
      </c>
      <c r="D108" s="8">
        <f>IF($D$3="","",INDEX(Forms貼り付け!$A:$AZ,107,$D$3))</f>
        <v/>
      </c>
      <c r="E108" s="8">
        <f>IF($E$3="","",INDEX(Forms貼り付け!$A:$AZ,107,$E$3))</f>
        <v/>
      </c>
      <c r="F108" s="8">
        <f>IF(F$3="","",IFERROR(LEFT(TRIM(INDEX(Forms貼り付け!$A:$AZ,107,F$3)),1),""))</f>
        <v/>
      </c>
      <c r="G108" s="8">
        <f>IF(G$3="","",IFERROR(LEFT(TRIM(INDEX(Forms貼り付け!$A:$AZ,107,G$3)),1),""))</f>
        <v/>
      </c>
      <c r="H108" s="8">
        <f>IF(H$3="","",IFERROR(LEFT(TRIM(INDEX(Forms貼り付け!$A:$AZ,107,H$3)),1),""))</f>
        <v/>
      </c>
      <c r="I108" s="8">
        <f>IF(I$3="","",IFERROR(LEFT(TRIM(INDEX(Forms貼り付け!$A:$AZ,107,I$3)),1),""))</f>
        <v/>
      </c>
      <c r="J108" s="8">
        <f>IF(J$3="","",IFERROR(LEFT(TRIM(INDEX(Forms貼り付け!$A:$AZ,107,J$3)),1),""))</f>
        <v/>
      </c>
      <c r="K108" s="8">
        <f>IF(K$3="","",IFERROR(LEFT(TRIM(INDEX(Forms貼り付け!$A:$AZ,107,K$3)),1),""))</f>
        <v/>
      </c>
      <c r="L108" s="8">
        <f>IF(L$3="","",IFERROR(LEFT(TRIM(INDEX(Forms貼り付け!$A:$AZ,107,L$3)),1),""))</f>
        <v/>
      </c>
      <c r="M108" s="8">
        <f>IF(M$3="","",IFERROR(LEFT(TRIM(INDEX(Forms貼り付け!$A:$AZ,107,M$3)),1),""))</f>
        <v/>
      </c>
      <c r="N108" s="8">
        <f>IF(N$3="","",IFERROR(LEFT(TRIM(INDEX(Forms貼り付け!$A:$AZ,107,N$3)),1),""))</f>
        <v/>
      </c>
      <c r="O108" s="8">
        <f>IF(O$3="","",IFERROR(LEFT(TRIM(INDEX(Forms貼り付け!$A:$AZ,107,O$3)),1),""))</f>
        <v/>
      </c>
      <c r="P108" s="8">
        <f>IF(P$3="","",IFERROR(LEFT(TRIM(INDEX(Forms貼り付け!$A:$AZ,107,P$3)),1),""))</f>
        <v/>
      </c>
      <c r="Q108" s="8">
        <f>IF(Q$3="","",IFERROR(LEFT(TRIM(INDEX(Forms貼り付け!$A:$AZ,107,Q$3)),1),""))</f>
        <v/>
      </c>
      <c r="R108" s="8">
        <f>IF(R$3="","",IFERROR(LEFT(TRIM(INDEX(Forms貼り付け!$A:$AZ,107,R$3)),1),""))</f>
        <v/>
      </c>
      <c r="S108" s="8">
        <f>IF(S$3="","",IFERROR(LEFT(TRIM(INDEX(Forms貼り付け!$A:$AZ,107,S$3)),1),""))</f>
        <v/>
      </c>
      <c r="T108" s="8">
        <f>IF(T$3="","",IFERROR(LEFT(TRIM(INDEX(Forms貼り付け!$A:$AZ,107,T$3)),1),""))</f>
        <v/>
      </c>
      <c r="U108" s="8">
        <f>IF(U$3="","",IFERROR(LEFT(TRIM(INDEX(Forms貼り付け!$A:$AZ,107,U$3)),1),""))</f>
        <v/>
      </c>
      <c r="V108" s="8">
        <f>IF(V$3="","",IFERROR(LEFT(TRIM(INDEX(Forms貼り付け!$A:$AZ,107,V$3)),1),""))</f>
        <v/>
      </c>
      <c r="W108" s="8">
        <f>IF(W$3="","",IFERROR(LEFT(TRIM(INDEX(Forms貼り付け!$A:$AZ,107,W$3)),1),""))</f>
        <v/>
      </c>
      <c r="X108" s="8">
        <f>IF(X$3="","",IFERROR(LEFT(TRIM(INDEX(Forms貼り付け!$A:$AZ,107,X$3)),1),""))</f>
        <v/>
      </c>
      <c r="Y108" s="8">
        <f>IF(Y$3="","",IFERROR(LEFT(TRIM(INDEX(Forms貼り付け!$A:$AZ,107,Y$3)),1),""))</f>
        <v/>
      </c>
      <c r="Z108" s="8">
        <f>IF(Z$3="","",IFERROR(LEFT(TRIM(INDEX(Forms貼り付け!$A:$AZ,107,Z$3)),1),""))</f>
        <v/>
      </c>
      <c r="AA108" s="8">
        <f>IF(AA$3="","",IFERROR(LEFT(TRIM(INDEX(Forms貼り付け!$A:$AZ,107,AA$3)),1),""))</f>
        <v/>
      </c>
      <c r="AB108" s="8">
        <f>IF(AB$3="","",IFERROR(LEFT(TRIM(INDEX(Forms貼り付け!$A:$AZ,107,AB$3)),1),""))</f>
        <v/>
      </c>
      <c r="AC108" s="8">
        <f>IF(AC$3="","",IFERROR(LEFT(TRIM(INDEX(Forms貼り付け!$A:$AZ,107,AC$3)),1),""))</f>
        <v/>
      </c>
      <c r="AD108" s="8">
        <f>IF(AD$3="","",IFERROR(LEFT(TRIM(INDEX(Forms貼り付け!$A:$AZ,107,AD$3)),1),""))</f>
        <v/>
      </c>
      <c r="AE108" s="8">
        <f>IF(AE$3="","",IFERROR(LEFT(TRIM(INDEX(Forms貼り付け!$A:$AZ,107,AE$3)),1),""))</f>
        <v/>
      </c>
      <c r="AF108" s="8">
        <f>IF(AF$3="","",IFERROR(LEFT(TRIM(INDEX(Forms貼り付け!$A:$AZ,107,AF$3)),1),""))</f>
        <v/>
      </c>
      <c r="AG108" s="8">
        <f>IF(AG$3="","",IFERROR(LEFT(TRIM(INDEX(Forms貼り付け!$A:$AZ,107,AG$3)),1),""))</f>
        <v/>
      </c>
      <c r="AH108" s="8">
        <f>IF(AH$3="","",IFERROR(LEFT(TRIM(INDEX(Forms貼り付け!$A:$AZ,107,AH$3)),1),""))</f>
        <v/>
      </c>
      <c r="AI108" s="8">
        <f>IF(AI$3="","",IFERROR(LEFT(TRIM(INDEX(Forms貼り付け!$A:$AZ,107,AI$3)),1),""))</f>
        <v/>
      </c>
      <c r="AJ108" s="8">
        <f>IF(AJ$3="","",IFERROR(LEFT(TRIM(INDEX(Forms貼り付け!$A:$AZ,107,AJ$3)),1),""))</f>
        <v/>
      </c>
      <c r="AK108" s="8">
        <f>IF(AK$3="","",IFERROR(LEFT(TRIM(INDEX(Forms貼り付け!$A:$AZ,107,AK$3)),1),""))</f>
        <v/>
      </c>
      <c r="AL108" s="8">
        <f>IF(AL$3="","",IFERROR(LEFT(TRIM(INDEX(Forms貼り付け!$A:$AZ,107,AL$3)),1),""))</f>
        <v/>
      </c>
      <c r="AM108" s="8">
        <f>IF(AM$3="","",IFERROR(LEFT(TRIM(INDEX(Forms貼り付け!$A:$AZ,107,AM$3)),1),""))</f>
        <v/>
      </c>
      <c r="AN108" s="8">
        <f>IF(AN$3="","",IFERROR(LEFT(TRIM(INDEX(Forms貼り付け!$A:$AZ,107,AN$3)),1),""))</f>
        <v/>
      </c>
      <c r="AO108" s="8">
        <f>IF(AO$3="","",IFERROR(LEFT(TRIM(INDEX(Forms貼り付け!$A:$AZ,107,AO$3)),1),""))</f>
        <v/>
      </c>
      <c r="AP108" s="8">
        <f>IF(AP$3="","",IFERROR(LEFT(TRIM(INDEX(Forms貼り付け!$A:$AZ,107,AP$3)),1),""))</f>
        <v/>
      </c>
      <c r="AQ108" s="8">
        <f>IF(AQ$3="","",IFERROR(LEFT(TRIM(INDEX(Forms貼り付け!$A:$AZ,107,AQ$3)),1),""))</f>
        <v/>
      </c>
      <c r="AR108" s="8">
        <f>IF(AR$3="","",IFERROR(LEFT(TRIM(INDEX(Forms貼り付け!$A:$AZ,107,AR$3)),1),""))</f>
        <v/>
      </c>
      <c r="AS108" s="8">
        <f>IF(AS$3="","",IFERROR(LEFT(TRIM(INDEX(Forms貼り付け!$A:$AZ,107,AS$3)),1),""))</f>
        <v/>
      </c>
      <c r="AT108" s="8">
        <f>IF(AT$3="","",IFERROR(LEFT(TRIM(INDEX(Forms貼り付け!$A:$AZ,107,AT$3)),1),""))</f>
        <v/>
      </c>
      <c r="AU108" s="8">
        <f>IF(AU$3="","",IFERROR(LEFT(TRIM(INDEX(Forms貼り付け!$A:$AZ,107,AU$3)),1),""))</f>
        <v/>
      </c>
      <c r="AV108" s="8">
        <f>IF(AV$3="","",IFERROR(LEFT(TRIM(INDEX(Forms貼り付け!$A:$AZ,107,AV$3)),1),""))</f>
        <v/>
      </c>
      <c r="AW108" s="8">
        <f>IF(AW$3="","",IFERROR(LEFT(TRIM(INDEX(Forms貼り付け!$A:$AZ,107,AW$3)),1),""))</f>
        <v/>
      </c>
      <c r="AX108" s="8">
        <f>IF(AX$3="","",IFERROR(LEFT(TRIM(INDEX(Forms貼り付け!$A:$AZ,107,AX$3)),1),""))</f>
        <v/>
      </c>
      <c r="AY108" s="8">
        <f>IF(AY$3="","",IFERROR(LEFT(TRIM(INDEX(Forms貼り付け!$A:$AZ,107,AY$3)),1),""))</f>
        <v/>
      </c>
      <c r="AZ108" s="8">
        <f>IF(AZ$3="","",IFERROR(LEFT(TRIM(INDEX(Forms貼り付け!$A:$AZ,107,AZ$3)),1),""))</f>
        <v/>
      </c>
      <c r="BA108" s="8">
        <f>IF(BA$3="","",IFERROR(LEFT(TRIM(INDEX(Forms貼り付け!$A:$AZ,107,BA$3)),1),""))</f>
        <v/>
      </c>
      <c r="BB108" s="8">
        <f>IF(BB$3="","",IFERROR(LEFT(TRIM(INDEX(Forms貼り付け!$A:$AZ,107,BB$3)),1),""))</f>
        <v/>
      </c>
      <c r="BC108" s="8">
        <f>IF(BC$3="","",IFERROR(LEFT(TRIM(INDEX(Forms貼り付け!$A:$AZ,107,BC$3)),1),""))</f>
        <v/>
      </c>
    </row>
    <row r="109">
      <c r="A109" s="8" t="inlineStr">
        <is>
          <t>U105</t>
        </is>
      </c>
      <c r="B109" s="9">
        <f>IF($B$3="","",INDEX(Forms貼り付け!$A:$AZ,108,$B$3))</f>
        <v/>
      </c>
      <c r="C109" s="9">
        <f>IF($C$3="","",INDEX(Forms貼り付け!$A:$AZ,108,$C$3))</f>
        <v/>
      </c>
      <c r="D109" s="8">
        <f>IF($D$3="","",INDEX(Forms貼り付け!$A:$AZ,108,$D$3))</f>
        <v/>
      </c>
      <c r="E109" s="8">
        <f>IF($E$3="","",INDEX(Forms貼り付け!$A:$AZ,108,$E$3))</f>
        <v/>
      </c>
      <c r="F109" s="8">
        <f>IF(F$3="","",IFERROR(LEFT(TRIM(INDEX(Forms貼り付け!$A:$AZ,108,F$3)),1),""))</f>
        <v/>
      </c>
      <c r="G109" s="8">
        <f>IF(G$3="","",IFERROR(LEFT(TRIM(INDEX(Forms貼り付け!$A:$AZ,108,G$3)),1),""))</f>
        <v/>
      </c>
      <c r="H109" s="8">
        <f>IF(H$3="","",IFERROR(LEFT(TRIM(INDEX(Forms貼り付け!$A:$AZ,108,H$3)),1),""))</f>
        <v/>
      </c>
      <c r="I109" s="8">
        <f>IF(I$3="","",IFERROR(LEFT(TRIM(INDEX(Forms貼り付け!$A:$AZ,108,I$3)),1),""))</f>
        <v/>
      </c>
      <c r="J109" s="8">
        <f>IF(J$3="","",IFERROR(LEFT(TRIM(INDEX(Forms貼り付け!$A:$AZ,108,J$3)),1),""))</f>
        <v/>
      </c>
      <c r="K109" s="8">
        <f>IF(K$3="","",IFERROR(LEFT(TRIM(INDEX(Forms貼り付け!$A:$AZ,108,K$3)),1),""))</f>
        <v/>
      </c>
      <c r="L109" s="8">
        <f>IF(L$3="","",IFERROR(LEFT(TRIM(INDEX(Forms貼り付け!$A:$AZ,108,L$3)),1),""))</f>
        <v/>
      </c>
      <c r="M109" s="8">
        <f>IF(M$3="","",IFERROR(LEFT(TRIM(INDEX(Forms貼り付け!$A:$AZ,108,M$3)),1),""))</f>
        <v/>
      </c>
      <c r="N109" s="8">
        <f>IF(N$3="","",IFERROR(LEFT(TRIM(INDEX(Forms貼り付け!$A:$AZ,108,N$3)),1),""))</f>
        <v/>
      </c>
      <c r="O109" s="8">
        <f>IF(O$3="","",IFERROR(LEFT(TRIM(INDEX(Forms貼り付け!$A:$AZ,108,O$3)),1),""))</f>
        <v/>
      </c>
      <c r="P109" s="8">
        <f>IF(P$3="","",IFERROR(LEFT(TRIM(INDEX(Forms貼り付け!$A:$AZ,108,P$3)),1),""))</f>
        <v/>
      </c>
      <c r="Q109" s="8">
        <f>IF(Q$3="","",IFERROR(LEFT(TRIM(INDEX(Forms貼り付け!$A:$AZ,108,Q$3)),1),""))</f>
        <v/>
      </c>
      <c r="R109" s="8">
        <f>IF(R$3="","",IFERROR(LEFT(TRIM(INDEX(Forms貼り付け!$A:$AZ,108,R$3)),1),""))</f>
        <v/>
      </c>
      <c r="S109" s="8">
        <f>IF(S$3="","",IFERROR(LEFT(TRIM(INDEX(Forms貼り付け!$A:$AZ,108,S$3)),1),""))</f>
        <v/>
      </c>
      <c r="T109" s="8">
        <f>IF(T$3="","",IFERROR(LEFT(TRIM(INDEX(Forms貼り付け!$A:$AZ,108,T$3)),1),""))</f>
        <v/>
      </c>
      <c r="U109" s="8">
        <f>IF(U$3="","",IFERROR(LEFT(TRIM(INDEX(Forms貼り付け!$A:$AZ,108,U$3)),1),""))</f>
        <v/>
      </c>
      <c r="V109" s="8">
        <f>IF(V$3="","",IFERROR(LEFT(TRIM(INDEX(Forms貼り付け!$A:$AZ,108,V$3)),1),""))</f>
        <v/>
      </c>
      <c r="W109" s="8">
        <f>IF(W$3="","",IFERROR(LEFT(TRIM(INDEX(Forms貼り付け!$A:$AZ,108,W$3)),1),""))</f>
        <v/>
      </c>
      <c r="X109" s="8">
        <f>IF(X$3="","",IFERROR(LEFT(TRIM(INDEX(Forms貼り付け!$A:$AZ,108,X$3)),1),""))</f>
        <v/>
      </c>
      <c r="Y109" s="8">
        <f>IF(Y$3="","",IFERROR(LEFT(TRIM(INDEX(Forms貼り付け!$A:$AZ,108,Y$3)),1),""))</f>
        <v/>
      </c>
      <c r="Z109" s="8">
        <f>IF(Z$3="","",IFERROR(LEFT(TRIM(INDEX(Forms貼り付け!$A:$AZ,108,Z$3)),1),""))</f>
        <v/>
      </c>
      <c r="AA109" s="8">
        <f>IF(AA$3="","",IFERROR(LEFT(TRIM(INDEX(Forms貼り付け!$A:$AZ,108,AA$3)),1),""))</f>
        <v/>
      </c>
      <c r="AB109" s="8">
        <f>IF(AB$3="","",IFERROR(LEFT(TRIM(INDEX(Forms貼り付け!$A:$AZ,108,AB$3)),1),""))</f>
        <v/>
      </c>
      <c r="AC109" s="8">
        <f>IF(AC$3="","",IFERROR(LEFT(TRIM(INDEX(Forms貼り付け!$A:$AZ,108,AC$3)),1),""))</f>
        <v/>
      </c>
      <c r="AD109" s="8">
        <f>IF(AD$3="","",IFERROR(LEFT(TRIM(INDEX(Forms貼り付け!$A:$AZ,108,AD$3)),1),""))</f>
        <v/>
      </c>
      <c r="AE109" s="8">
        <f>IF(AE$3="","",IFERROR(LEFT(TRIM(INDEX(Forms貼り付け!$A:$AZ,108,AE$3)),1),""))</f>
        <v/>
      </c>
      <c r="AF109" s="8">
        <f>IF(AF$3="","",IFERROR(LEFT(TRIM(INDEX(Forms貼り付け!$A:$AZ,108,AF$3)),1),""))</f>
        <v/>
      </c>
      <c r="AG109" s="8">
        <f>IF(AG$3="","",IFERROR(LEFT(TRIM(INDEX(Forms貼り付け!$A:$AZ,108,AG$3)),1),""))</f>
        <v/>
      </c>
      <c r="AH109" s="8">
        <f>IF(AH$3="","",IFERROR(LEFT(TRIM(INDEX(Forms貼り付け!$A:$AZ,108,AH$3)),1),""))</f>
        <v/>
      </c>
      <c r="AI109" s="8">
        <f>IF(AI$3="","",IFERROR(LEFT(TRIM(INDEX(Forms貼り付け!$A:$AZ,108,AI$3)),1),""))</f>
        <v/>
      </c>
      <c r="AJ109" s="8">
        <f>IF(AJ$3="","",IFERROR(LEFT(TRIM(INDEX(Forms貼り付け!$A:$AZ,108,AJ$3)),1),""))</f>
        <v/>
      </c>
      <c r="AK109" s="8">
        <f>IF(AK$3="","",IFERROR(LEFT(TRIM(INDEX(Forms貼り付け!$A:$AZ,108,AK$3)),1),""))</f>
        <v/>
      </c>
      <c r="AL109" s="8">
        <f>IF(AL$3="","",IFERROR(LEFT(TRIM(INDEX(Forms貼り付け!$A:$AZ,108,AL$3)),1),""))</f>
        <v/>
      </c>
      <c r="AM109" s="8">
        <f>IF(AM$3="","",IFERROR(LEFT(TRIM(INDEX(Forms貼り付け!$A:$AZ,108,AM$3)),1),""))</f>
        <v/>
      </c>
      <c r="AN109" s="8">
        <f>IF(AN$3="","",IFERROR(LEFT(TRIM(INDEX(Forms貼り付け!$A:$AZ,108,AN$3)),1),""))</f>
        <v/>
      </c>
      <c r="AO109" s="8">
        <f>IF(AO$3="","",IFERROR(LEFT(TRIM(INDEX(Forms貼り付け!$A:$AZ,108,AO$3)),1),""))</f>
        <v/>
      </c>
      <c r="AP109" s="8">
        <f>IF(AP$3="","",IFERROR(LEFT(TRIM(INDEX(Forms貼り付け!$A:$AZ,108,AP$3)),1),""))</f>
        <v/>
      </c>
      <c r="AQ109" s="8">
        <f>IF(AQ$3="","",IFERROR(LEFT(TRIM(INDEX(Forms貼り付け!$A:$AZ,108,AQ$3)),1),""))</f>
        <v/>
      </c>
      <c r="AR109" s="8">
        <f>IF(AR$3="","",IFERROR(LEFT(TRIM(INDEX(Forms貼り付け!$A:$AZ,108,AR$3)),1),""))</f>
        <v/>
      </c>
      <c r="AS109" s="8">
        <f>IF(AS$3="","",IFERROR(LEFT(TRIM(INDEX(Forms貼り付け!$A:$AZ,108,AS$3)),1),""))</f>
        <v/>
      </c>
      <c r="AT109" s="8">
        <f>IF(AT$3="","",IFERROR(LEFT(TRIM(INDEX(Forms貼り付け!$A:$AZ,108,AT$3)),1),""))</f>
        <v/>
      </c>
      <c r="AU109" s="8">
        <f>IF(AU$3="","",IFERROR(LEFT(TRIM(INDEX(Forms貼り付け!$A:$AZ,108,AU$3)),1),""))</f>
        <v/>
      </c>
      <c r="AV109" s="8">
        <f>IF(AV$3="","",IFERROR(LEFT(TRIM(INDEX(Forms貼り付け!$A:$AZ,108,AV$3)),1),""))</f>
        <v/>
      </c>
      <c r="AW109" s="8">
        <f>IF(AW$3="","",IFERROR(LEFT(TRIM(INDEX(Forms貼り付け!$A:$AZ,108,AW$3)),1),""))</f>
        <v/>
      </c>
      <c r="AX109" s="8">
        <f>IF(AX$3="","",IFERROR(LEFT(TRIM(INDEX(Forms貼り付け!$A:$AZ,108,AX$3)),1),""))</f>
        <v/>
      </c>
      <c r="AY109" s="8">
        <f>IF(AY$3="","",IFERROR(LEFT(TRIM(INDEX(Forms貼り付け!$A:$AZ,108,AY$3)),1),""))</f>
        <v/>
      </c>
      <c r="AZ109" s="8">
        <f>IF(AZ$3="","",IFERROR(LEFT(TRIM(INDEX(Forms貼り付け!$A:$AZ,108,AZ$3)),1),""))</f>
        <v/>
      </c>
      <c r="BA109" s="8">
        <f>IF(BA$3="","",IFERROR(LEFT(TRIM(INDEX(Forms貼り付け!$A:$AZ,108,BA$3)),1),""))</f>
        <v/>
      </c>
      <c r="BB109" s="8">
        <f>IF(BB$3="","",IFERROR(LEFT(TRIM(INDEX(Forms貼り付け!$A:$AZ,108,BB$3)),1),""))</f>
        <v/>
      </c>
      <c r="BC109" s="8">
        <f>IF(BC$3="","",IFERROR(LEFT(TRIM(INDEX(Forms貼り付け!$A:$AZ,108,BC$3)),1),""))</f>
        <v/>
      </c>
    </row>
    <row r="110">
      <c r="A110" s="8" t="inlineStr">
        <is>
          <t>U106</t>
        </is>
      </c>
      <c r="B110" s="9">
        <f>IF($B$3="","",INDEX(Forms貼り付け!$A:$AZ,109,$B$3))</f>
        <v/>
      </c>
      <c r="C110" s="9">
        <f>IF($C$3="","",INDEX(Forms貼り付け!$A:$AZ,109,$C$3))</f>
        <v/>
      </c>
      <c r="D110" s="8">
        <f>IF($D$3="","",INDEX(Forms貼り付け!$A:$AZ,109,$D$3))</f>
        <v/>
      </c>
      <c r="E110" s="8">
        <f>IF($E$3="","",INDEX(Forms貼り付け!$A:$AZ,109,$E$3))</f>
        <v/>
      </c>
      <c r="F110" s="8">
        <f>IF(F$3="","",IFERROR(LEFT(TRIM(INDEX(Forms貼り付け!$A:$AZ,109,F$3)),1),""))</f>
        <v/>
      </c>
      <c r="G110" s="8">
        <f>IF(G$3="","",IFERROR(LEFT(TRIM(INDEX(Forms貼り付け!$A:$AZ,109,G$3)),1),""))</f>
        <v/>
      </c>
      <c r="H110" s="8">
        <f>IF(H$3="","",IFERROR(LEFT(TRIM(INDEX(Forms貼り付け!$A:$AZ,109,H$3)),1),""))</f>
        <v/>
      </c>
      <c r="I110" s="8">
        <f>IF(I$3="","",IFERROR(LEFT(TRIM(INDEX(Forms貼り付け!$A:$AZ,109,I$3)),1),""))</f>
        <v/>
      </c>
      <c r="J110" s="8">
        <f>IF(J$3="","",IFERROR(LEFT(TRIM(INDEX(Forms貼り付け!$A:$AZ,109,J$3)),1),""))</f>
        <v/>
      </c>
      <c r="K110" s="8">
        <f>IF(K$3="","",IFERROR(LEFT(TRIM(INDEX(Forms貼り付け!$A:$AZ,109,K$3)),1),""))</f>
        <v/>
      </c>
      <c r="L110" s="8">
        <f>IF(L$3="","",IFERROR(LEFT(TRIM(INDEX(Forms貼り付け!$A:$AZ,109,L$3)),1),""))</f>
        <v/>
      </c>
      <c r="M110" s="8">
        <f>IF(M$3="","",IFERROR(LEFT(TRIM(INDEX(Forms貼り付け!$A:$AZ,109,M$3)),1),""))</f>
        <v/>
      </c>
      <c r="N110" s="8">
        <f>IF(N$3="","",IFERROR(LEFT(TRIM(INDEX(Forms貼り付け!$A:$AZ,109,N$3)),1),""))</f>
        <v/>
      </c>
      <c r="O110" s="8">
        <f>IF(O$3="","",IFERROR(LEFT(TRIM(INDEX(Forms貼り付け!$A:$AZ,109,O$3)),1),""))</f>
        <v/>
      </c>
      <c r="P110" s="8">
        <f>IF(P$3="","",IFERROR(LEFT(TRIM(INDEX(Forms貼り付け!$A:$AZ,109,P$3)),1),""))</f>
        <v/>
      </c>
      <c r="Q110" s="8">
        <f>IF(Q$3="","",IFERROR(LEFT(TRIM(INDEX(Forms貼り付け!$A:$AZ,109,Q$3)),1),""))</f>
        <v/>
      </c>
      <c r="R110" s="8">
        <f>IF(R$3="","",IFERROR(LEFT(TRIM(INDEX(Forms貼り付け!$A:$AZ,109,R$3)),1),""))</f>
        <v/>
      </c>
      <c r="S110" s="8">
        <f>IF(S$3="","",IFERROR(LEFT(TRIM(INDEX(Forms貼り付け!$A:$AZ,109,S$3)),1),""))</f>
        <v/>
      </c>
      <c r="T110" s="8">
        <f>IF(T$3="","",IFERROR(LEFT(TRIM(INDEX(Forms貼り付け!$A:$AZ,109,T$3)),1),""))</f>
        <v/>
      </c>
      <c r="U110" s="8">
        <f>IF(U$3="","",IFERROR(LEFT(TRIM(INDEX(Forms貼り付け!$A:$AZ,109,U$3)),1),""))</f>
        <v/>
      </c>
      <c r="V110" s="8">
        <f>IF(V$3="","",IFERROR(LEFT(TRIM(INDEX(Forms貼り付け!$A:$AZ,109,V$3)),1),""))</f>
        <v/>
      </c>
      <c r="W110" s="8">
        <f>IF(W$3="","",IFERROR(LEFT(TRIM(INDEX(Forms貼り付け!$A:$AZ,109,W$3)),1),""))</f>
        <v/>
      </c>
      <c r="X110" s="8">
        <f>IF(X$3="","",IFERROR(LEFT(TRIM(INDEX(Forms貼り付け!$A:$AZ,109,X$3)),1),""))</f>
        <v/>
      </c>
      <c r="Y110" s="8">
        <f>IF(Y$3="","",IFERROR(LEFT(TRIM(INDEX(Forms貼り付け!$A:$AZ,109,Y$3)),1),""))</f>
        <v/>
      </c>
      <c r="Z110" s="8">
        <f>IF(Z$3="","",IFERROR(LEFT(TRIM(INDEX(Forms貼り付け!$A:$AZ,109,Z$3)),1),""))</f>
        <v/>
      </c>
      <c r="AA110" s="8">
        <f>IF(AA$3="","",IFERROR(LEFT(TRIM(INDEX(Forms貼り付け!$A:$AZ,109,AA$3)),1),""))</f>
        <v/>
      </c>
      <c r="AB110" s="8">
        <f>IF(AB$3="","",IFERROR(LEFT(TRIM(INDEX(Forms貼り付け!$A:$AZ,109,AB$3)),1),""))</f>
        <v/>
      </c>
      <c r="AC110" s="8">
        <f>IF(AC$3="","",IFERROR(LEFT(TRIM(INDEX(Forms貼り付け!$A:$AZ,109,AC$3)),1),""))</f>
        <v/>
      </c>
      <c r="AD110" s="8">
        <f>IF(AD$3="","",IFERROR(LEFT(TRIM(INDEX(Forms貼り付け!$A:$AZ,109,AD$3)),1),""))</f>
        <v/>
      </c>
      <c r="AE110" s="8">
        <f>IF(AE$3="","",IFERROR(LEFT(TRIM(INDEX(Forms貼り付け!$A:$AZ,109,AE$3)),1),""))</f>
        <v/>
      </c>
      <c r="AF110" s="8">
        <f>IF(AF$3="","",IFERROR(LEFT(TRIM(INDEX(Forms貼り付け!$A:$AZ,109,AF$3)),1),""))</f>
        <v/>
      </c>
      <c r="AG110" s="8">
        <f>IF(AG$3="","",IFERROR(LEFT(TRIM(INDEX(Forms貼り付け!$A:$AZ,109,AG$3)),1),""))</f>
        <v/>
      </c>
      <c r="AH110" s="8">
        <f>IF(AH$3="","",IFERROR(LEFT(TRIM(INDEX(Forms貼り付け!$A:$AZ,109,AH$3)),1),""))</f>
        <v/>
      </c>
      <c r="AI110" s="8">
        <f>IF(AI$3="","",IFERROR(LEFT(TRIM(INDEX(Forms貼り付け!$A:$AZ,109,AI$3)),1),""))</f>
        <v/>
      </c>
      <c r="AJ110" s="8">
        <f>IF(AJ$3="","",IFERROR(LEFT(TRIM(INDEX(Forms貼り付け!$A:$AZ,109,AJ$3)),1),""))</f>
        <v/>
      </c>
      <c r="AK110" s="8">
        <f>IF(AK$3="","",IFERROR(LEFT(TRIM(INDEX(Forms貼り付け!$A:$AZ,109,AK$3)),1),""))</f>
        <v/>
      </c>
      <c r="AL110" s="8">
        <f>IF(AL$3="","",IFERROR(LEFT(TRIM(INDEX(Forms貼り付け!$A:$AZ,109,AL$3)),1),""))</f>
        <v/>
      </c>
      <c r="AM110" s="8">
        <f>IF(AM$3="","",IFERROR(LEFT(TRIM(INDEX(Forms貼り付け!$A:$AZ,109,AM$3)),1),""))</f>
        <v/>
      </c>
      <c r="AN110" s="8">
        <f>IF(AN$3="","",IFERROR(LEFT(TRIM(INDEX(Forms貼り付け!$A:$AZ,109,AN$3)),1),""))</f>
        <v/>
      </c>
      <c r="AO110" s="8">
        <f>IF(AO$3="","",IFERROR(LEFT(TRIM(INDEX(Forms貼り付け!$A:$AZ,109,AO$3)),1),""))</f>
        <v/>
      </c>
      <c r="AP110" s="8">
        <f>IF(AP$3="","",IFERROR(LEFT(TRIM(INDEX(Forms貼り付け!$A:$AZ,109,AP$3)),1),""))</f>
        <v/>
      </c>
      <c r="AQ110" s="8">
        <f>IF(AQ$3="","",IFERROR(LEFT(TRIM(INDEX(Forms貼り付け!$A:$AZ,109,AQ$3)),1),""))</f>
        <v/>
      </c>
      <c r="AR110" s="8">
        <f>IF(AR$3="","",IFERROR(LEFT(TRIM(INDEX(Forms貼り付け!$A:$AZ,109,AR$3)),1),""))</f>
        <v/>
      </c>
      <c r="AS110" s="8">
        <f>IF(AS$3="","",IFERROR(LEFT(TRIM(INDEX(Forms貼り付け!$A:$AZ,109,AS$3)),1),""))</f>
        <v/>
      </c>
      <c r="AT110" s="8">
        <f>IF(AT$3="","",IFERROR(LEFT(TRIM(INDEX(Forms貼り付け!$A:$AZ,109,AT$3)),1),""))</f>
        <v/>
      </c>
      <c r="AU110" s="8">
        <f>IF(AU$3="","",IFERROR(LEFT(TRIM(INDEX(Forms貼り付け!$A:$AZ,109,AU$3)),1),""))</f>
        <v/>
      </c>
      <c r="AV110" s="8">
        <f>IF(AV$3="","",IFERROR(LEFT(TRIM(INDEX(Forms貼り付け!$A:$AZ,109,AV$3)),1),""))</f>
        <v/>
      </c>
      <c r="AW110" s="8">
        <f>IF(AW$3="","",IFERROR(LEFT(TRIM(INDEX(Forms貼り付け!$A:$AZ,109,AW$3)),1),""))</f>
        <v/>
      </c>
      <c r="AX110" s="8">
        <f>IF(AX$3="","",IFERROR(LEFT(TRIM(INDEX(Forms貼り付け!$A:$AZ,109,AX$3)),1),""))</f>
        <v/>
      </c>
      <c r="AY110" s="8">
        <f>IF(AY$3="","",IFERROR(LEFT(TRIM(INDEX(Forms貼り付け!$A:$AZ,109,AY$3)),1),""))</f>
        <v/>
      </c>
      <c r="AZ110" s="8">
        <f>IF(AZ$3="","",IFERROR(LEFT(TRIM(INDEX(Forms貼り付け!$A:$AZ,109,AZ$3)),1),""))</f>
        <v/>
      </c>
      <c r="BA110" s="8">
        <f>IF(BA$3="","",IFERROR(LEFT(TRIM(INDEX(Forms貼り付け!$A:$AZ,109,BA$3)),1),""))</f>
        <v/>
      </c>
      <c r="BB110" s="8">
        <f>IF(BB$3="","",IFERROR(LEFT(TRIM(INDEX(Forms貼り付け!$A:$AZ,109,BB$3)),1),""))</f>
        <v/>
      </c>
      <c r="BC110" s="8">
        <f>IF(BC$3="","",IFERROR(LEFT(TRIM(INDEX(Forms貼り付け!$A:$AZ,109,BC$3)),1),""))</f>
        <v/>
      </c>
    </row>
    <row r="111">
      <c r="A111" s="8" t="inlineStr">
        <is>
          <t>U107</t>
        </is>
      </c>
      <c r="B111" s="9">
        <f>IF($B$3="","",INDEX(Forms貼り付け!$A:$AZ,110,$B$3))</f>
        <v/>
      </c>
      <c r="C111" s="9">
        <f>IF($C$3="","",INDEX(Forms貼り付け!$A:$AZ,110,$C$3))</f>
        <v/>
      </c>
      <c r="D111" s="8">
        <f>IF($D$3="","",INDEX(Forms貼り付け!$A:$AZ,110,$D$3))</f>
        <v/>
      </c>
      <c r="E111" s="8">
        <f>IF($E$3="","",INDEX(Forms貼り付け!$A:$AZ,110,$E$3))</f>
        <v/>
      </c>
      <c r="F111" s="8">
        <f>IF(F$3="","",IFERROR(LEFT(TRIM(INDEX(Forms貼り付け!$A:$AZ,110,F$3)),1),""))</f>
        <v/>
      </c>
      <c r="G111" s="8">
        <f>IF(G$3="","",IFERROR(LEFT(TRIM(INDEX(Forms貼り付け!$A:$AZ,110,G$3)),1),""))</f>
        <v/>
      </c>
      <c r="H111" s="8">
        <f>IF(H$3="","",IFERROR(LEFT(TRIM(INDEX(Forms貼り付け!$A:$AZ,110,H$3)),1),""))</f>
        <v/>
      </c>
      <c r="I111" s="8">
        <f>IF(I$3="","",IFERROR(LEFT(TRIM(INDEX(Forms貼り付け!$A:$AZ,110,I$3)),1),""))</f>
        <v/>
      </c>
      <c r="J111" s="8">
        <f>IF(J$3="","",IFERROR(LEFT(TRIM(INDEX(Forms貼り付け!$A:$AZ,110,J$3)),1),""))</f>
        <v/>
      </c>
      <c r="K111" s="8">
        <f>IF(K$3="","",IFERROR(LEFT(TRIM(INDEX(Forms貼り付け!$A:$AZ,110,K$3)),1),""))</f>
        <v/>
      </c>
      <c r="L111" s="8">
        <f>IF(L$3="","",IFERROR(LEFT(TRIM(INDEX(Forms貼り付け!$A:$AZ,110,L$3)),1),""))</f>
        <v/>
      </c>
      <c r="M111" s="8">
        <f>IF(M$3="","",IFERROR(LEFT(TRIM(INDEX(Forms貼り付け!$A:$AZ,110,M$3)),1),""))</f>
        <v/>
      </c>
      <c r="N111" s="8">
        <f>IF(N$3="","",IFERROR(LEFT(TRIM(INDEX(Forms貼り付け!$A:$AZ,110,N$3)),1),""))</f>
        <v/>
      </c>
      <c r="O111" s="8">
        <f>IF(O$3="","",IFERROR(LEFT(TRIM(INDEX(Forms貼り付け!$A:$AZ,110,O$3)),1),""))</f>
        <v/>
      </c>
      <c r="P111" s="8">
        <f>IF(P$3="","",IFERROR(LEFT(TRIM(INDEX(Forms貼り付け!$A:$AZ,110,P$3)),1),""))</f>
        <v/>
      </c>
      <c r="Q111" s="8">
        <f>IF(Q$3="","",IFERROR(LEFT(TRIM(INDEX(Forms貼り付け!$A:$AZ,110,Q$3)),1),""))</f>
        <v/>
      </c>
      <c r="R111" s="8">
        <f>IF(R$3="","",IFERROR(LEFT(TRIM(INDEX(Forms貼り付け!$A:$AZ,110,R$3)),1),""))</f>
        <v/>
      </c>
      <c r="S111" s="8">
        <f>IF(S$3="","",IFERROR(LEFT(TRIM(INDEX(Forms貼り付け!$A:$AZ,110,S$3)),1),""))</f>
        <v/>
      </c>
      <c r="T111" s="8">
        <f>IF(T$3="","",IFERROR(LEFT(TRIM(INDEX(Forms貼り付け!$A:$AZ,110,T$3)),1),""))</f>
        <v/>
      </c>
      <c r="U111" s="8">
        <f>IF(U$3="","",IFERROR(LEFT(TRIM(INDEX(Forms貼り付け!$A:$AZ,110,U$3)),1),""))</f>
        <v/>
      </c>
      <c r="V111" s="8">
        <f>IF(V$3="","",IFERROR(LEFT(TRIM(INDEX(Forms貼り付け!$A:$AZ,110,V$3)),1),""))</f>
        <v/>
      </c>
      <c r="W111" s="8">
        <f>IF(W$3="","",IFERROR(LEFT(TRIM(INDEX(Forms貼り付け!$A:$AZ,110,W$3)),1),""))</f>
        <v/>
      </c>
      <c r="X111" s="8">
        <f>IF(X$3="","",IFERROR(LEFT(TRIM(INDEX(Forms貼り付け!$A:$AZ,110,X$3)),1),""))</f>
        <v/>
      </c>
      <c r="Y111" s="8">
        <f>IF(Y$3="","",IFERROR(LEFT(TRIM(INDEX(Forms貼り付け!$A:$AZ,110,Y$3)),1),""))</f>
        <v/>
      </c>
      <c r="Z111" s="8">
        <f>IF(Z$3="","",IFERROR(LEFT(TRIM(INDEX(Forms貼り付け!$A:$AZ,110,Z$3)),1),""))</f>
        <v/>
      </c>
      <c r="AA111" s="8">
        <f>IF(AA$3="","",IFERROR(LEFT(TRIM(INDEX(Forms貼り付け!$A:$AZ,110,AA$3)),1),""))</f>
        <v/>
      </c>
      <c r="AB111" s="8">
        <f>IF(AB$3="","",IFERROR(LEFT(TRIM(INDEX(Forms貼り付け!$A:$AZ,110,AB$3)),1),""))</f>
        <v/>
      </c>
      <c r="AC111" s="8">
        <f>IF(AC$3="","",IFERROR(LEFT(TRIM(INDEX(Forms貼り付け!$A:$AZ,110,AC$3)),1),""))</f>
        <v/>
      </c>
      <c r="AD111" s="8">
        <f>IF(AD$3="","",IFERROR(LEFT(TRIM(INDEX(Forms貼り付け!$A:$AZ,110,AD$3)),1),""))</f>
        <v/>
      </c>
      <c r="AE111" s="8">
        <f>IF(AE$3="","",IFERROR(LEFT(TRIM(INDEX(Forms貼り付け!$A:$AZ,110,AE$3)),1),""))</f>
        <v/>
      </c>
      <c r="AF111" s="8">
        <f>IF(AF$3="","",IFERROR(LEFT(TRIM(INDEX(Forms貼り付け!$A:$AZ,110,AF$3)),1),""))</f>
        <v/>
      </c>
      <c r="AG111" s="8">
        <f>IF(AG$3="","",IFERROR(LEFT(TRIM(INDEX(Forms貼り付け!$A:$AZ,110,AG$3)),1),""))</f>
        <v/>
      </c>
      <c r="AH111" s="8">
        <f>IF(AH$3="","",IFERROR(LEFT(TRIM(INDEX(Forms貼り付け!$A:$AZ,110,AH$3)),1),""))</f>
        <v/>
      </c>
      <c r="AI111" s="8">
        <f>IF(AI$3="","",IFERROR(LEFT(TRIM(INDEX(Forms貼り付け!$A:$AZ,110,AI$3)),1),""))</f>
        <v/>
      </c>
      <c r="AJ111" s="8">
        <f>IF(AJ$3="","",IFERROR(LEFT(TRIM(INDEX(Forms貼り付け!$A:$AZ,110,AJ$3)),1),""))</f>
        <v/>
      </c>
      <c r="AK111" s="8">
        <f>IF(AK$3="","",IFERROR(LEFT(TRIM(INDEX(Forms貼り付け!$A:$AZ,110,AK$3)),1),""))</f>
        <v/>
      </c>
      <c r="AL111" s="8">
        <f>IF(AL$3="","",IFERROR(LEFT(TRIM(INDEX(Forms貼り付け!$A:$AZ,110,AL$3)),1),""))</f>
        <v/>
      </c>
      <c r="AM111" s="8">
        <f>IF(AM$3="","",IFERROR(LEFT(TRIM(INDEX(Forms貼り付け!$A:$AZ,110,AM$3)),1),""))</f>
        <v/>
      </c>
      <c r="AN111" s="8">
        <f>IF(AN$3="","",IFERROR(LEFT(TRIM(INDEX(Forms貼り付け!$A:$AZ,110,AN$3)),1),""))</f>
        <v/>
      </c>
      <c r="AO111" s="8">
        <f>IF(AO$3="","",IFERROR(LEFT(TRIM(INDEX(Forms貼り付け!$A:$AZ,110,AO$3)),1),""))</f>
        <v/>
      </c>
      <c r="AP111" s="8">
        <f>IF(AP$3="","",IFERROR(LEFT(TRIM(INDEX(Forms貼り付け!$A:$AZ,110,AP$3)),1),""))</f>
        <v/>
      </c>
      <c r="AQ111" s="8">
        <f>IF(AQ$3="","",IFERROR(LEFT(TRIM(INDEX(Forms貼り付け!$A:$AZ,110,AQ$3)),1),""))</f>
        <v/>
      </c>
      <c r="AR111" s="8">
        <f>IF(AR$3="","",IFERROR(LEFT(TRIM(INDEX(Forms貼り付け!$A:$AZ,110,AR$3)),1),""))</f>
        <v/>
      </c>
      <c r="AS111" s="8">
        <f>IF(AS$3="","",IFERROR(LEFT(TRIM(INDEX(Forms貼り付け!$A:$AZ,110,AS$3)),1),""))</f>
        <v/>
      </c>
      <c r="AT111" s="8">
        <f>IF(AT$3="","",IFERROR(LEFT(TRIM(INDEX(Forms貼り付け!$A:$AZ,110,AT$3)),1),""))</f>
        <v/>
      </c>
      <c r="AU111" s="8">
        <f>IF(AU$3="","",IFERROR(LEFT(TRIM(INDEX(Forms貼り付け!$A:$AZ,110,AU$3)),1),""))</f>
        <v/>
      </c>
      <c r="AV111" s="8">
        <f>IF(AV$3="","",IFERROR(LEFT(TRIM(INDEX(Forms貼り付け!$A:$AZ,110,AV$3)),1),""))</f>
        <v/>
      </c>
      <c r="AW111" s="8">
        <f>IF(AW$3="","",IFERROR(LEFT(TRIM(INDEX(Forms貼り付け!$A:$AZ,110,AW$3)),1),""))</f>
        <v/>
      </c>
      <c r="AX111" s="8">
        <f>IF(AX$3="","",IFERROR(LEFT(TRIM(INDEX(Forms貼り付け!$A:$AZ,110,AX$3)),1),""))</f>
        <v/>
      </c>
      <c r="AY111" s="8">
        <f>IF(AY$3="","",IFERROR(LEFT(TRIM(INDEX(Forms貼り付け!$A:$AZ,110,AY$3)),1),""))</f>
        <v/>
      </c>
      <c r="AZ111" s="8">
        <f>IF(AZ$3="","",IFERROR(LEFT(TRIM(INDEX(Forms貼り付け!$A:$AZ,110,AZ$3)),1),""))</f>
        <v/>
      </c>
      <c r="BA111" s="8">
        <f>IF(BA$3="","",IFERROR(LEFT(TRIM(INDEX(Forms貼り付け!$A:$AZ,110,BA$3)),1),""))</f>
        <v/>
      </c>
      <c r="BB111" s="8">
        <f>IF(BB$3="","",IFERROR(LEFT(TRIM(INDEX(Forms貼り付け!$A:$AZ,110,BB$3)),1),""))</f>
        <v/>
      </c>
      <c r="BC111" s="8">
        <f>IF(BC$3="","",IFERROR(LEFT(TRIM(INDEX(Forms貼り付け!$A:$AZ,110,BC$3)),1),""))</f>
        <v/>
      </c>
    </row>
    <row r="112">
      <c r="A112" s="8" t="inlineStr">
        <is>
          <t>U108</t>
        </is>
      </c>
      <c r="B112" s="9">
        <f>IF($B$3="","",INDEX(Forms貼り付け!$A:$AZ,111,$B$3))</f>
        <v/>
      </c>
      <c r="C112" s="9">
        <f>IF($C$3="","",INDEX(Forms貼り付け!$A:$AZ,111,$C$3))</f>
        <v/>
      </c>
      <c r="D112" s="8">
        <f>IF($D$3="","",INDEX(Forms貼り付け!$A:$AZ,111,$D$3))</f>
        <v/>
      </c>
      <c r="E112" s="8">
        <f>IF($E$3="","",INDEX(Forms貼り付け!$A:$AZ,111,$E$3))</f>
        <v/>
      </c>
      <c r="F112" s="8">
        <f>IF(F$3="","",IFERROR(LEFT(TRIM(INDEX(Forms貼り付け!$A:$AZ,111,F$3)),1),""))</f>
        <v/>
      </c>
      <c r="G112" s="8">
        <f>IF(G$3="","",IFERROR(LEFT(TRIM(INDEX(Forms貼り付け!$A:$AZ,111,G$3)),1),""))</f>
        <v/>
      </c>
      <c r="H112" s="8">
        <f>IF(H$3="","",IFERROR(LEFT(TRIM(INDEX(Forms貼り付け!$A:$AZ,111,H$3)),1),""))</f>
        <v/>
      </c>
      <c r="I112" s="8">
        <f>IF(I$3="","",IFERROR(LEFT(TRIM(INDEX(Forms貼り付け!$A:$AZ,111,I$3)),1),""))</f>
        <v/>
      </c>
      <c r="J112" s="8">
        <f>IF(J$3="","",IFERROR(LEFT(TRIM(INDEX(Forms貼り付け!$A:$AZ,111,J$3)),1),""))</f>
        <v/>
      </c>
      <c r="K112" s="8">
        <f>IF(K$3="","",IFERROR(LEFT(TRIM(INDEX(Forms貼り付け!$A:$AZ,111,K$3)),1),""))</f>
        <v/>
      </c>
      <c r="L112" s="8">
        <f>IF(L$3="","",IFERROR(LEFT(TRIM(INDEX(Forms貼り付け!$A:$AZ,111,L$3)),1),""))</f>
        <v/>
      </c>
      <c r="M112" s="8">
        <f>IF(M$3="","",IFERROR(LEFT(TRIM(INDEX(Forms貼り付け!$A:$AZ,111,M$3)),1),""))</f>
        <v/>
      </c>
      <c r="N112" s="8">
        <f>IF(N$3="","",IFERROR(LEFT(TRIM(INDEX(Forms貼り付け!$A:$AZ,111,N$3)),1),""))</f>
        <v/>
      </c>
      <c r="O112" s="8">
        <f>IF(O$3="","",IFERROR(LEFT(TRIM(INDEX(Forms貼り付け!$A:$AZ,111,O$3)),1),""))</f>
        <v/>
      </c>
      <c r="P112" s="8">
        <f>IF(P$3="","",IFERROR(LEFT(TRIM(INDEX(Forms貼り付け!$A:$AZ,111,P$3)),1),""))</f>
        <v/>
      </c>
      <c r="Q112" s="8">
        <f>IF(Q$3="","",IFERROR(LEFT(TRIM(INDEX(Forms貼り付け!$A:$AZ,111,Q$3)),1),""))</f>
        <v/>
      </c>
      <c r="R112" s="8">
        <f>IF(R$3="","",IFERROR(LEFT(TRIM(INDEX(Forms貼り付け!$A:$AZ,111,R$3)),1),""))</f>
        <v/>
      </c>
      <c r="S112" s="8">
        <f>IF(S$3="","",IFERROR(LEFT(TRIM(INDEX(Forms貼り付け!$A:$AZ,111,S$3)),1),""))</f>
        <v/>
      </c>
      <c r="T112" s="8">
        <f>IF(T$3="","",IFERROR(LEFT(TRIM(INDEX(Forms貼り付け!$A:$AZ,111,T$3)),1),""))</f>
        <v/>
      </c>
      <c r="U112" s="8">
        <f>IF(U$3="","",IFERROR(LEFT(TRIM(INDEX(Forms貼り付け!$A:$AZ,111,U$3)),1),""))</f>
        <v/>
      </c>
      <c r="V112" s="8">
        <f>IF(V$3="","",IFERROR(LEFT(TRIM(INDEX(Forms貼り付け!$A:$AZ,111,V$3)),1),""))</f>
        <v/>
      </c>
      <c r="W112" s="8">
        <f>IF(W$3="","",IFERROR(LEFT(TRIM(INDEX(Forms貼り付け!$A:$AZ,111,W$3)),1),""))</f>
        <v/>
      </c>
      <c r="X112" s="8">
        <f>IF(X$3="","",IFERROR(LEFT(TRIM(INDEX(Forms貼り付け!$A:$AZ,111,X$3)),1),""))</f>
        <v/>
      </c>
      <c r="Y112" s="8">
        <f>IF(Y$3="","",IFERROR(LEFT(TRIM(INDEX(Forms貼り付け!$A:$AZ,111,Y$3)),1),""))</f>
        <v/>
      </c>
      <c r="Z112" s="8">
        <f>IF(Z$3="","",IFERROR(LEFT(TRIM(INDEX(Forms貼り付け!$A:$AZ,111,Z$3)),1),""))</f>
        <v/>
      </c>
      <c r="AA112" s="8">
        <f>IF(AA$3="","",IFERROR(LEFT(TRIM(INDEX(Forms貼り付け!$A:$AZ,111,AA$3)),1),""))</f>
        <v/>
      </c>
      <c r="AB112" s="8">
        <f>IF(AB$3="","",IFERROR(LEFT(TRIM(INDEX(Forms貼り付け!$A:$AZ,111,AB$3)),1),""))</f>
        <v/>
      </c>
      <c r="AC112" s="8">
        <f>IF(AC$3="","",IFERROR(LEFT(TRIM(INDEX(Forms貼り付け!$A:$AZ,111,AC$3)),1),""))</f>
        <v/>
      </c>
      <c r="AD112" s="8">
        <f>IF(AD$3="","",IFERROR(LEFT(TRIM(INDEX(Forms貼り付け!$A:$AZ,111,AD$3)),1),""))</f>
        <v/>
      </c>
      <c r="AE112" s="8">
        <f>IF(AE$3="","",IFERROR(LEFT(TRIM(INDEX(Forms貼り付け!$A:$AZ,111,AE$3)),1),""))</f>
        <v/>
      </c>
      <c r="AF112" s="8">
        <f>IF(AF$3="","",IFERROR(LEFT(TRIM(INDEX(Forms貼り付け!$A:$AZ,111,AF$3)),1),""))</f>
        <v/>
      </c>
      <c r="AG112" s="8">
        <f>IF(AG$3="","",IFERROR(LEFT(TRIM(INDEX(Forms貼り付け!$A:$AZ,111,AG$3)),1),""))</f>
        <v/>
      </c>
      <c r="AH112" s="8">
        <f>IF(AH$3="","",IFERROR(LEFT(TRIM(INDEX(Forms貼り付け!$A:$AZ,111,AH$3)),1),""))</f>
        <v/>
      </c>
      <c r="AI112" s="8">
        <f>IF(AI$3="","",IFERROR(LEFT(TRIM(INDEX(Forms貼り付け!$A:$AZ,111,AI$3)),1),""))</f>
        <v/>
      </c>
      <c r="AJ112" s="8">
        <f>IF(AJ$3="","",IFERROR(LEFT(TRIM(INDEX(Forms貼り付け!$A:$AZ,111,AJ$3)),1),""))</f>
        <v/>
      </c>
      <c r="AK112" s="8">
        <f>IF(AK$3="","",IFERROR(LEFT(TRIM(INDEX(Forms貼り付け!$A:$AZ,111,AK$3)),1),""))</f>
        <v/>
      </c>
      <c r="AL112" s="8">
        <f>IF(AL$3="","",IFERROR(LEFT(TRIM(INDEX(Forms貼り付け!$A:$AZ,111,AL$3)),1),""))</f>
        <v/>
      </c>
      <c r="AM112" s="8">
        <f>IF(AM$3="","",IFERROR(LEFT(TRIM(INDEX(Forms貼り付け!$A:$AZ,111,AM$3)),1),""))</f>
        <v/>
      </c>
      <c r="AN112" s="8">
        <f>IF(AN$3="","",IFERROR(LEFT(TRIM(INDEX(Forms貼り付け!$A:$AZ,111,AN$3)),1),""))</f>
        <v/>
      </c>
      <c r="AO112" s="8">
        <f>IF(AO$3="","",IFERROR(LEFT(TRIM(INDEX(Forms貼り付け!$A:$AZ,111,AO$3)),1),""))</f>
        <v/>
      </c>
      <c r="AP112" s="8">
        <f>IF(AP$3="","",IFERROR(LEFT(TRIM(INDEX(Forms貼り付け!$A:$AZ,111,AP$3)),1),""))</f>
        <v/>
      </c>
      <c r="AQ112" s="8">
        <f>IF(AQ$3="","",IFERROR(LEFT(TRIM(INDEX(Forms貼り付け!$A:$AZ,111,AQ$3)),1),""))</f>
        <v/>
      </c>
      <c r="AR112" s="8">
        <f>IF(AR$3="","",IFERROR(LEFT(TRIM(INDEX(Forms貼り付け!$A:$AZ,111,AR$3)),1),""))</f>
        <v/>
      </c>
      <c r="AS112" s="8">
        <f>IF(AS$3="","",IFERROR(LEFT(TRIM(INDEX(Forms貼り付け!$A:$AZ,111,AS$3)),1),""))</f>
        <v/>
      </c>
      <c r="AT112" s="8">
        <f>IF(AT$3="","",IFERROR(LEFT(TRIM(INDEX(Forms貼り付け!$A:$AZ,111,AT$3)),1),""))</f>
        <v/>
      </c>
      <c r="AU112" s="8">
        <f>IF(AU$3="","",IFERROR(LEFT(TRIM(INDEX(Forms貼り付け!$A:$AZ,111,AU$3)),1),""))</f>
        <v/>
      </c>
      <c r="AV112" s="8">
        <f>IF(AV$3="","",IFERROR(LEFT(TRIM(INDEX(Forms貼り付け!$A:$AZ,111,AV$3)),1),""))</f>
        <v/>
      </c>
      <c r="AW112" s="8">
        <f>IF(AW$3="","",IFERROR(LEFT(TRIM(INDEX(Forms貼り付け!$A:$AZ,111,AW$3)),1),""))</f>
        <v/>
      </c>
      <c r="AX112" s="8">
        <f>IF(AX$3="","",IFERROR(LEFT(TRIM(INDEX(Forms貼り付け!$A:$AZ,111,AX$3)),1),""))</f>
        <v/>
      </c>
      <c r="AY112" s="8">
        <f>IF(AY$3="","",IFERROR(LEFT(TRIM(INDEX(Forms貼り付け!$A:$AZ,111,AY$3)),1),""))</f>
        <v/>
      </c>
      <c r="AZ112" s="8">
        <f>IF(AZ$3="","",IFERROR(LEFT(TRIM(INDEX(Forms貼り付け!$A:$AZ,111,AZ$3)),1),""))</f>
        <v/>
      </c>
      <c r="BA112" s="8">
        <f>IF(BA$3="","",IFERROR(LEFT(TRIM(INDEX(Forms貼り付け!$A:$AZ,111,BA$3)),1),""))</f>
        <v/>
      </c>
      <c r="BB112" s="8">
        <f>IF(BB$3="","",IFERROR(LEFT(TRIM(INDEX(Forms貼り付け!$A:$AZ,111,BB$3)),1),""))</f>
        <v/>
      </c>
      <c r="BC112" s="8">
        <f>IF(BC$3="","",IFERROR(LEFT(TRIM(INDEX(Forms貼り付け!$A:$AZ,111,BC$3)),1),""))</f>
        <v/>
      </c>
    </row>
    <row r="113">
      <c r="A113" s="8" t="inlineStr">
        <is>
          <t>U109</t>
        </is>
      </c>
      <c r="B113" s="9">
        <f>IF($B$3="","",INDEX(Forms貼り付け!$A:$AZ,112,$B$3))</f>
        <v/>
      </c>
      <c r="C113" s="9">
        <f>IF($C$3="","",INDEX(Forms貼り付け!$A:$AZ,112,$C$3))</f>
        <v/>
      </c>
      <c r="D113" s="8">
        <f>IF($D$3="","",INDEX(Forms貼り付け!$A:$AZ,112,$D$3))</f>
        <v/>
      </c>
      <c r="E113" s="8">
        <f>IF($E$3="","",INDEX(Forms貼り付け!$A:$AZ,112,$E$3))</f>
        <v/>
      </c>
      <c r="F113" s="8">
        <f>IF(F$3="","",IFERROR(LEFT(TRIM(INDEX(Forms貼り付け!$A:$AZ,112,F$3)),1),""))</f>
        <v/>
      </c>
      <c r="G113" s="8">
        <f>IF(G$3="","",IFERROR(LEFT(TRIM(INDEX(Forms貼り付け!$A:$AZ,112,G$3)),1),""))</f>
        <v/>
      </c>
      <c r="H113" s="8">
        <f>IF(H$3="","",IFERROR(LEFT(TRIM(INDEX(Forms貼り付け!$A:$AZ,112,H$3)),1),""))</f>
        <v/>
      </c>
      <c r="I113" s="8">
        <f>IF(I$3="","",IFERROR(LEFT(TRIM(INDEX(Forms貼り付け!$A:$AZ,112,I$3)),1),""))</f>
        <v/>
      </c>
      <c r="J113" s="8">
        <f>IF(J$3="","",IFERROR(LEFT(TRIM(INDEX(Forms貼り付け!$A:$AZ,112,J$3)),1),""))</f>
        <v/>
      </c>
      <c r="K113" s="8">
        <f>IF(K$3="","",IFERROR(LEFT(TRIM(INDEX(Forms貼り付け!$A:$AZ,112,K$3)),1),""))</f>
        <v/>
      </c>
      <c r="L113" s="8">
        <f>IF(L$3="","",IFERROR(LEFT(TRIM(INDEX(Forms貼り付け!$A:$AZ,112,L$3)),1),""))</f>
        <v/>
      </c>
      <c r="M113" s="8">
        <f>IF(M$3="","",IFERROR(LEFT(TRIM(INDEX(Forms貼り付け!$A:$AZ,112,M$3)),1),""))</f>
        <v/>
      </c>
      <c r="N113" s="8">
        <f>IF(N$3="","",IFERROR(LEFT(TRIM(INDEX(Forms貼り付け!$A:$AZ,112,N$3)),1),""))</f>
        <v/>
      </c>
      <c r="O113" s="8">
        <f>IF(O$3="","",IFERROR(LEFT(TRIM(INDEX(Forms貼り付け!$A:$AZ,112,O$3)),1),""))</f>
        <v/>
      </c>
      <c r="P113" s="8">
        <f>IF(P$3="","",IFERROR(LEFT(TRIM(INDEX(Forms貼り付け!$A:$AZ,112,P$3)),1),""))</f>
        <v/>
      </c>
      <c r="Q113" s="8">
        <f>IF(Q$3="","",IFERROR(LEFT(TRIM(INDEX(Forms貼り付け!$A:$AZ,112,Q$3)),1),""))</f>
        <v/>
      </c>
      <c r="R113" s="8">
        <f>IF(R$3="","",IFERROR(LEFT(TRIM(INDEX(Forms貼り付け!$A:$AZ,112,R$3)),1),""))</f>
        <v/>
      </c>
      <c r="S113" s="8">
        <f>IF(S$3="","",IFERROR(LEFT(TRIM(INDEX(Forms貼り付け!$A:$AZ,112,S$3)),1),""))</f>
        <v/>
      </c>
      <c r="T113" s="8">
        <f>IF(T$3="","",IFERROR(LEFT(TRIM(INDEX(Forms貼り付け!$A:$AZ,112,T$3)),1),""))</f>
        <v/>
      </c>
      <c r="U113" s="8">
        <f>IF(U$3="","",IFERROR(LEFT(TRIM(INDEX(Forms貼り付け!$A:$AZ,112,U$3)),1),""))</f>
        <v/>
      </c>
      <c r="V113" s="8">
        <f>IF(V$3="","",IFERROR(LEFT(TRIM(INDEX(Forms貼り付け!$A:$AZ,112,V$3)),1),""))</f>
        <v/>
      </c>
      <c r="W113" s="8">
        <f>IF(W$3="","",IFERROR(LEFT(TRIM(INDEX(Forms貼り付け!$A:$AZ,112,W$3)),1),""))</f>
        <v/>
      </c>
      <c r="X113" s="8">
        <f>IF(X$3="","",IFERROR(LEFT(TRIM(INDEX(Forms貼り付け!$A:$AZ,112,X$3)),1),""))</f>
        <v/>
      </c>
      <c r="Y113" s="8">
        <f>IF(Y$3="","",IFERROR(LEFT(TRIM(INDEX(Forms貼り付け!$A:$AZ,112,Y$3)),1),""))</f>
        <v/>
      </c>
      <c r="Z113" s="8">
        <f>IF(Z$3="","",IFERROR(LEFT(TRIM(INDEX(Forms貼り付け!$A:$AZ,112,Z$3)),1),""))</f>
        <v/>
      </c>
      <c r="AA113" s="8">
        <f>IF(AA$3="","",IFERROR(LEFT(TRIM(INDEX(Forms貼り付け!$A:$AZ,112,AA$3)),1),""))</f>
        <v/>
      </c>
      <c r="AB113" s="8">
        <f>IF(AB$3="","",IFERROR(LEFT(TRIM(INDEX(Forms貼り付け!$A:$AZ,112,AB$3)),1),""))</f>
        <v/>
      </c>
      <c r="AC113" s="8">
        <f>IF(AC$3="","",IFERROR(LEFT(TRIM(INDEX(Forms貼り付け!$A:$AZ,112,AC$3)),1),""))</f>
        <v/>
      </c>
      <c r="AD113" s="8">
        <f>IF(AD$3="","",IFERROR(LEFT(TRIM(INDEX(Forms貼り付け!$A:$AZ,112,AD$3)),1),""))</f>
        <v/>
      </c>
      <c r="AE113" s="8">
        <f>IF(AE$3="","",IFERROR(LEFT(TRIM(INDEX(Forms貼り付け!$A:$AZ,112,AE$3)),1),""))</f>
        <v/>
      </c>
      <c r="AF113" s="8">
        <f>IF(AF$3="","",IFERROR(LEFT(TRIM(INDEX(Forms貼り付け!$A:$AZ,112,AF$3)),1),""))</f>
        <v/>
      </c>
      <c r="AG113" s="8">
        <f>IF(AG$3="","",IFERROR(LEFT(TRIM(INDEX(Forms貼り付け!$A:$AZ,112,AG$3)),1),""))</f>
        <v/>
      </c>
      <c r="AH113" s="8">
        <f>IF(AH$3="","",IFERROR(LEFT(TRIM(INDEX(Forms貼り付け!$A:$AZ,112,AH$3)),1),""))</f>
        <v/>
      </c>
      <c r="AI113" s="8">
        <f>IF(AI$3="","",IFERROR(LEFT(TRIM(INDEX(Forms貼り付け!$A:$AZ,112,AI$3)),1),""))</f>
        <v/>
      </c>
      <c r="AJ113" s="8">
        <f>IF(AJ$3="","",IFERROR(LEFT(TRIM(INDEX(Forms貼り付け!$A:$AZ,112,AJ$3)),1),""))</f>
        <v/>
      </c>
      <c r="AK113" s="8">
        <f>IF(AK$3="","",IFERROR(LEFT(TRIM(INDEX(Forms貼り付け!$A:$AZ,112,AK$3)),1),""))</f>
        <v/>
      </c>
      <c r="AL113" s="8">
        <f>IF(AL$3="","",IFERROR(LEFT(TRIM(INDEX(Forms貼り付け!$A:$AZ,112,AL$3)),1),""))</f>
        <v/>
      </c>
      <c r="AM113" s="8">
        <f>IF(AM$3="","",IFERROR(LEFT(TRIM(INDEX(Forms貼り付け!$A:$AZ,112,AM$3)),1),""))</f>
        <v/>
      </c>
      <c r="AN113" s="8">
        <f>IF(AN$3="","",IFERROR(LEFT(TRIM(INDEX(Forms貼り付け!$A:$AZ,112,AN$3)),1),""))</f>
        <v/>
      </c>
      <c r="AO113" s="8">
        <f>IF(AO$3="","",IFERROR(LEFT(TRIM(INDEX(Forms貼り付け!$A:$AZ,112,AO$3)),1),""))</f>
        <v/>
      </c>
      <c r="AP113" s="8">
        <f>IF(AP$3="","",IFERROR(LEFT(TRIM(INDEX(Forms貼り付け!$A:$AZ,112,AP$3)),1),""))</f>
        <v/>
      </c>
      <c r="AQ113" s="8">
        <f>IF(AQ$3="","",IFERROR(LEFT(TRIM(INDEX(Forms貼り付け!$A:$AZ,112,AQ$3)),1),""))</f>
        <v/>
      </c>
      <c r="AR113" s="8">
        <f>IF(AR$3="","",IFERROR(LEFT(TRIM(INDEX(Forms貼り付け!$A:$AZ,112,AR$3)),1),""))</f>
        <v/>
      </c>
      <c r="AS113" s="8">
        <f>IF(AS$3="","",IFERROR(LEFT(TRIM(INDEX(Forms貼り付け!$A:$AZ,112,AS$3)),1),""))</f>
        <v/>
      </c>
      <c r="AT113" s="8">
        <f>IF(AT$3="","",IFERROR(LEFT(TRIM(INDEX(Forms貼り付け!$A:$AZ,112,AT$3)),1),""))</f>
        <v/>
      </c>
      <c r="AU113" s="8">
        <f>IF(AU$3="","",IFERROR(LEFT(TRIM(INDEX(Forms貼り付け!$A:$AZ,112,AU$3)),1),""))</f>
        <v/>
      </c>
      <c r="AV113" s="8">
        <f>IF(AV$3="","",IFERROR(LEFT(TRIM(INDEX(Forms貼り付け!$A:$AZ,112,AV$3)),1),""))</f>
        <v/>
      </c>
      <c r="AW113" s="8">
        <f>IF(AW$3="","",IFERROR(LEFT(TRIM(INDEX(Forms貼り付け!$A:$AZ,112,AW$3)),1),""))</f>
        <v/>
      </c>
      <c r="AX113" s="8">
        <f>IF(AX$3="","",IFERROR(LEFT(TRIM(INDEX(Forms貼り付け!$A:$AZ,112,AX$3)),1),""))</f>
        <v/>
      </c>
      <c r="AY113" s="8">
        <f>IF(AY$3="","",IFERROR(LEFT(TRIM(INDEX(Forms貼り付け!$A:$AZ,112,AY$3)),1),""))</f>
        <v/>
      </c>
      <c r="AZ113" s="8">
        <f>IF(AZ$3="","",IFERROR(LEFT(TRIM(INDEX(Forms貼り付け!$A:$AZ,112,AZ$3)),1),""))</f>
        <v/>
      </c>
      <c r="BA113" s="8">
        <f>IF(BA$3="","",IFERROR(LEFT(TRIM(INDEX(Forms貼り付け!$A:$AZ,112,BA$3)),1),""))</f>
        <v/>
      </c>
      <c r="BB113" s="8">
        <f>IF(BB$3="","",IFERROR(LEFT(TRIM(INDEX(Forms貼り付け!$A:$AZ,112,BB$3)),1),""))</f>
        <v/>
      </c>
      <c r="BC113" s="8">
        <f>IF(BC$3="","",IFERROR(LEFT(TRIM(INDEX(Forms貼り付け!$A:$AZ,112,BC$3)),1),""))</f>
        <v/>
      </c>
    </row>
    <row r="114">
      <c r="A114" s="8" t="inlineStr">
        <is>
          <t>U110</t>
        </is>
      </c>
      <c r="B114" s="9">
        <f>IF($B$3="","",INDEX(Forms貼り付け!$A:$AZ,113,$B$3))</f>
        <v/>
      </c>
      <c r="C114" s="9">
        <f>IF($C$3="","",INDEX(Forms貼り付け!$A:$AZ,113,$C$3))</f>
        <v/>
      </c>
      <c r="D114" s="8">
        <f>IF($D$3="","",INDEX(Forms貼り付け!$A:$AZ,113,$D$3))</f>
        <v/>
      </c>
      <c r="E114" s="8">
        <f>IF($E$3="","",INDEX(Forms貼り付け!$A:$AZ,113,$E$3))</f>
        <v/>
      </c>
      <c r="F114" s="8">
        <f>IF(F$3="","",IFERROR(LEFT(TRIM(INDEX(Forms貼り付け!$A:$AZ,113,F$3)),1),""))</f>
        <v/>
      </c>
      <c r="G114" s="8">
        <f>IF(G$3="","",IFERROR(LEFT(TRIM(INDEX(Forms貼り付け!$A:$AZ,113,G$3)),1),""))</f>
        <v/>
      </c>
      <c r="H114" s="8">
        <f>IF(H$3="","",IFERROR(LEFT(TRIM(INDEX(Forms貼り付け!$A:$AZ,113,H$3)),1),""))</f>
        <v/>
      </c>
      <c r="I114" s="8">
        <f>IF(I$3="","",IFERROR(LEFT(TRIM(INDEX(Forms貼り付け!$A:$AZ,113,I$3)),1),""))</f>
        <v/>
      </c>
      <c r="J114" s="8">
        <f>IF(J$3="","",IFERROR(LEFT(TRIM(INDEX(Forms貼り付け!$A:$AZ,113,J$3)),1),""))</f>
        <v/>
      </c>
      <c r="K114" s="8">
        <f>IF(K$3="","",IFERROR(LEFT(TRIM(INDEX(Forms貼り付け!$A:$AZ,113,K$3)),1),""))</f>
        <v/>
      </c>
      <c r="L114" s="8">
        <f>IF(L$3="","",IFERROR(LEFT(TRIM(INDEX(Forms貼り付け!$A:$AZ,113,L$3)),1),""))</f>
        <v/>
      </c>
      <c r="M114" s="8">
        <f>IF(M$3="","",IFERROR(LEFT(TRIM(INDEX(Forms貼り付け!$A:$AZ,113,M$3)),1),""))</f>
        <v/>
      </c>
      <c r="N114" s="8">
        <f>IF(N$3="","",IFERROR(LEFT(TRIM(INDEX(Forms貼り付け!$A:$AZ,113,N$3)),1),""))</f>
        <v/>
      </c>
      <c r="O114" s="8">
        <f>IF(O$3="","",IFERROR(LEFT(TRIM(INDEX(Forms貼り付け!$A:$AZ,113,O$3)),1),""))</f>
        <v/>
      </c>
      <c r="P114" s="8">
        <f>IF(P$3="","",IFERROR(LEFT(TRIM(INDEX(Forms貼り付け!$A:$AZ,113,P$3)),1),""))</f>
        <v/>
      </c>
      <c r="Q114" s="8">
        <f>IF(Q$3="","",IFERROR(LEFT(TRIM(INDEX(Forms貼り付け!$A:$AZ,113,Q$3)),1),""))</f>
        <v/>
      </c>
      <c r="R114" s="8">
        <f>IF(R$3="","",IFERROR(LEFT(TRIM(INDEX(Forms貼り付け!$A:$AZ,113,R$3)),1),""))</f>
        <v/>
      </c>
      <c r="S114" s="8">
        <f>IF(S$3="","",IFERROR(LEFT(TRIM(INDEX(Forms貼り付け!$A:$AZ,113,S$3)),1),""))</f>
        <v/>
      </c>
      <c r="T114" s="8">
        <f>IF(T$3="","",IFERROR(LEFT(TRIM(INDEX(Forms貼り付け!$A:$AZ,113,T$3)),1),""))</f>
        <v/>
      </c>
      <c r="U114" s="8">
        <f>IF(U$3="","",IFERROR(LEFT(TRIM(INDEX(Forms貼り付け!$A:$AZ,113,U$3)),1),""))</f>
        <v/>
      </c>
      <c r="V114" s="8">
        <f>IF(V$3="","",IFERROR(LEFT(TRIM(INDEX(Forms貼り付け!$A:$AZ,113,V$3)),1),""))</f>
        <v/>
      </c>
      <c r="W114" s="8">
        <f>IF(W$3="","",IFERROR(LEFT(TRIM(INDEX(Forms貼り付け!$A:$AZ,113,W$3)),1),""))</f>
        <v/>
      </c>
      <c r="X114" s="8">
        <f>IF(X$3="","",IFERROR(LEFT(TRIM(INDEX(Forms貼り付け!$A:$AZ,113,X$3)),1),""))</f>
        <v/>
      </c>
      <c r="Y114" s="8">
        <f>IF(Y$3="","",IFERROR(LEFT(TRIM(INDEX(Forms貼り付け!$A:$AZ,113,Y$3)),1),""))</f>
        <v/>
      </c>
      <c r="Z114" s="8">
        <f>IF(Z$3="","",IFERROR(LEFT(TRIM(INDEX(Forms貼り付け!$A:$AZ,113,Z$3)),1),""))</f>
        <v/>
      </c>
      <c r="AA114" s="8">
        <f>IF(AA$3="","",IFERROR(LEFT(TRIM(INDEX(Forms貼り付け!$A:$AZ,113,AA$3)),1),""))</f>
        <v/>
      </c>
      <c r="AB114" s="8">
        <f>IF(AB$3="","",IFERROR(LEFT(TRIM(INDEX(Forms貼り付け!$A:$AZ,113,AB$3)),1),""))</f>
        <v/>
      </c>
      <c r="AC114" s="8">
        <f>IF(AC$3="","",IFERROR(LEFT(TRIM(INDEX(Forms貼り付け!$A:$AZ,113,AC$3)),1),""))</f>
        <v/>
      </c>
      <c r="AD114" s="8">
        <f>IF(AD$3="","",IFERROR(LEFT(TRIM(INDEX(Forms貼り付け!$A:$AZ,113,AD$3)),1),""))</f>
        <v/>
      </c>
      <c r="AE114" s="8">
        <f>IF(AE$3="","",IFERROR(LEFT(TRIM(INDEX(Forms貼り付け!$A:$AZ,113,AE$3)),1),""))</f>
        <v/>
      </c>
      <c r="AF114" s="8">
        <f>IF(AF$3="","",IFERROR(LEFT(TRIM(INDEX(Forms貼り付け!$A:$AZ,113,AF$3)),1),""))</f>
        <v/>
      </c>
      <c r="AG114" s="8">
        <f>IF(AG$3="","",IFERROR(LEFT(TRIM(INDEX(Forms貼り付け!$A:$AZ,113,AG$3)),1),""))</f>
        <v/>
      </c>
      <c r="AH114" s="8">
        <f>IF(AH$3="","",IFERROR(LEFT(TRIM(INDEX(Forms貼り付け!$A:$AZ,113,AH$3)),1),""))</f>
        <v/>
      </c>
      <c r="AI114" s="8">
        <f>IF(AI$3="","",IFERROR(LEFT(TRIM(INDEX(Forms貼り付け!$A:$AZ,113,AI$3)),1),""))</f>
        <v/>
      </c>
      <c r="AJ114" s="8">
        <f>IF(AJ$3="","",IFERROR(LEFT(TRIM(INDEX(Forms貼り付け!$A:$AZ,113,AJ$3)),1),""))</f>
        <v/>
      </c>
      <c r="AK114" s="8">
        <f>IF(AK$3="","",IFERROR(LEFT(TRIM(INDEX(Forms貼り付け!$A:$AZ,113,AK$3)),1),""))</f>
        <v/>
      </c>
      <c r="AL114" s="8">
        <f>IF(AL$3="","",IFERROR(LEFT(TRIM(INDEX(Forms貼り付け!$A:$AZ,113,AL$3)),1),""))</f>
        <v/>
      </c>
      <c r="AM114" s="8">
        <f>IF(AM$3="","",IFERROR(LEFT(TRIM(INDEX(Forms貼り付け!$A:$AZ,113,AM$3)),1),""))</f>
        <v/>
      </c>
      <c r="AN114" s="8">
        <f>IF(AN$3="","",IFERROR(LEFT(TRIM(INDEX(Forms貼り付け!$A:$AZ,113,AN$3)),1),""))</f>
        <v/>
      </c>
      <c r="AO114" s="8">
        <f>IF(AO$3="","",IFERROR(LEFT(TRIM(INDEX(Forms貼り付け!$A:$AZ,113,AO$3)),1),""))</f>
        <v/>
      </c>
      <c r="AP114" s="8">
        <f>IF(AP$3="","",IFERROR(LEFT(TRIM(INDEX(Forms貼り付け!$A:$AZ,113,AP$3)),1),""))</f>
        <v/>
      </c>
      <c r="AQ114" s="8">
        <f>IF(AQ$3="","",IFERROR(LEFT(TRIM(INDEX(Forms貼り付け!$A:$AZ,113,AQ$3)),1),""))</f>
        <v/>
      </c>
      <c r="AR114" s="8">
        <f>IF(AR$3="","",IFERROR(LEFT(TRIM(INDEX(Forms貼り付け!$A:$AZ,113,AR$3)),1),""))</f>
        <v/>
      </c>
      <c r="AS114" s="8">
        <f>IF(AS$3="","",IFERROR(LEFT(TRIM(INDEX(Forms貼り付け!$A:$AZ,113,AS$3)),1),""))</f>
        <v/>
      </c>
      <c r="AT114" s="8">
        <f>IF(AT$3="","",IFERROR(LEFT(TRIM(INDEX(Forms貼り付け!$A:$AZ,113,AT$3)),1),""))</f>
        <v/>
      </c>
      <c r="AU114" s="8">
        <f>IF(AU$3="","",IFERROR(LEFT(TRIM(INDEX(Forms貼り付け!$A:$AZ,113,AU$3)),1),""))</f>
        <v/>
      </c>
      <c r="AV114" s="8">
        <f>IF(AV$3="","",IFERROR(LEFT(TRIM(INDEX(Forms貼り付け!$A:$AZ,113,AV$3)),1),""))</f>
        <v/>
      </c>
      <c r="AW114" s="8">
        <f>IF(AW$3="","",IFERROR(LEFT(TRIM(INDEX(Forms貼り付け!$A:$AZ,113,AW$3)),1),""))</f>
        <v/>
      </c>
      <c r="AX114" s="8">
        <f>IF(AX$3="","",IFERROR(LEFT(TRIM(INDEX(Forms貼り付け!$A:$AZ,113,AX$3)),1),""))</f>
        <v/>
      </c>
      <c r="AY114" s="8">
        <f>IF(AY$3="","",IFERROR(LEFT(TRIM(INDEX(Forms貼り付け!$A:$AZ,113,AY$3)),1),""))</f>
        <v/>
      </c>
      <c r="AZ114" s="8">
        <f>IF(AZ$3="","",IFERROR(LEFT(TRIM(INDEX(Forms貼り付け!$A:$AZ,113,AZ$3)),1),""))</f>
        <v/>
      </c>
      <c r="BA114" s="8">
        <f>IF(BA$3="","",IFERROR(LEFT(TRIM(INDEX(Forms貼り付け!$A:$AZ,113,BA$3)),1),""))</f>
        <v/>
      </c>
      <c r="BB114" s="8">
        <f>IF(BB$3="","",IFERROR(LEFT(TRIM(INDEX(Forms貼り付け!$A:$AZ,113,BB$3)),1),""))</f>
        <v/>
      </c>
      <c r="BC114" s="8">
        <f>IF(BC$3="","",IFERROR(LEFT(TRIM(INDEX(Forms貼り付け!$A:$AZ,113,BC$3)),1),""))</f>
        <v/>
      </c>
    </row>
    <row r="115">
      <c r="A115" s="8" t="inlineStr">
        <is>
          <t>U111</t>
        </is>
      </c>
      <c r="B115" s="9">
        <f>IF($B$3="","",INDEX(Forms貼り付け!$A:$AZ,114,$B$3))</f>
        <v/>
      </c>
      <c r="C115" s="9">
        <f>IF($C$3="","",INDEX(Forms貼り付け!$A:$AZ,114,$C$3))</f>
        <v/>
      </c>
      <c r="D115" s="8">
        <f>IF($D$3="","",INDEX(Forms貼り付け!$A:$AZ,114,$D$3))</f>
        <v/>
      </c>
      <c r="E115" s="8">
        <f>IF($E$3="","",INDEX(Forms貼り付け!$A:$AZ,114,$E$3))</f>
        <v/>
      </c>
      <c r="F115" s="8">
        <f>IF(F$3="","",IFERROR(LEFT(TRIM(INDEX(Forms貼り付け!$A:$AZ,114,F$3)),1),""))</f>
        <v/>
      </c>
      <c r="G115" s="8">
        <f>IF(G$3="","",IFERROR(LEFT(TRIM(INDEX(Forms貼り付け!$A:$AZ,114,G$3)),1),""))</f>
        <v/>
      </c>
      <c r="H115" s="8">
        <f>IF(H$3="","",IFERROR(LEFT(TRIM(INDEX(Forms貼り付け!$A:$AZ,114,H$3)),1),""))</f>
        <v/>
      </c>
      <c r="I115" s="8">
        <f>IF(I$3="","",IFERROR(LEFT(TRIM(INDEX(Forms貼り付け!$A:$AZ,114,I$3)),1),""))</f>
        <v/>
      </c>
      <c r="J115" s="8">
        <f>IF(J$3="","",IFERROR(LEFT(TRIM(INDEX(Forms貼り付け!$A:$AZ,114,J$3)),1),""))</f>
        <v/>
      </c>
      <c r="K115" s="8">
        <f>IF(K$3="","",IFERROR(LEFT(TRIM(INDEX(Forms貼り付け!$A:$AZ,114,K$3)),1),""))</f>
        <v/>
      </c>
      <c r="L115" s="8">
        <f>IF(L$3="","",IFERROR(LEFT(TRIM(INDEX(Forms貼り付け!$A:$AZ,114,L$3)),1),""))</f>
        <v/>
      </c>
      <c r="M115" s="8">
        <f>IF(M$3="","",IFERROR(LEFT(TRIM(INDEX(Forms貼り付け!$A:$AZ,114,M$3)),1),""))</f>
        <v/>
      </c>
      <c r="N115" s="8">
        <f>IF(N$3="","",IFERROR(LEFT(TRIM(INDEX(Forms貼り付け!$A:$AZ,114,N$3)),1),""))</f>
        <v/>
      </c>
      <c r="O115" s="8">
        <f>IF(O$3="","",IFERROR(LEFT(TRIM(INDEX(Forms貼り付け!$A:$AZ,114,O$3)),1),""))</f>
        <v/>
      </c>
      <c r="P115" s="8">
        <f>IF(P$3="","",IFERROR(LEFT(TRIM(INDEX(Forms貼り付け!$A:$AZ,114,P$3)),1),""))</f>
        <v/>
      </c>
      <c r="Q115" s="8">
        <f>IF(Q$3="","",IFERROR(LEFT(TRIM(INDEX(Forms貼り付け!$A:$AZ,114,Q$3)),1),""))</f>
        <v/>
      </c>
      <c r="R115" s="8">
        <f>IF(R$3="","",IFERROR(LEFT(TRIM(INDEX(Forms貼り付け!$A:$AZ,114,R$3)),1),""))</f>
        <v/>
      </c>
      <c r="S115" s="8">
        <f>IF(S$3="","",IFERROR(LEFT(TRIM(INDEX(Forms貼り付け!$A:$AZ,114,S$3)),1),""))</f>
        <v/>
      </c>
      <c r="T115" s="8">
        <f>IF(T$3="","",IFERROR(LEFT(TRIM(INDEX(Forms貼り付け!$A:$AZ,114,T$3)),1),""))</f>
        <v/>
      </c>
      <c r="U115" s="8">
        <f>IF(U$3="","",IFERROR(LEFT(TRIM(INDEX(Forms貼り付け!$A:$AZ,114,U$3)),1),""))</f>
        <v/>
      </c>
      <c r="V115" s="8">
        <f>IF(V$3="","",IFERROR(LEFT(TRIM(INDEX(Forms貼り付け!$A:$AZ,114,V$3)),1),""))</f>
        <v/>
      </c>
      <c r="W115" s="8">
        <f>IF(W$3="","",IFERROR(LEFT(TRIM(INDEX(Forms貼り付け!$A:$AZ,114,W$3)),1),""))</f>
        <v/>
      </c>
      <c r="X115" s="8">
        <f>IF(X$3="","",IFERROR(LEFT(TRIM(INDEX(Forms貼り付け!$A:$AZ,114,X$3)),1),""))</f>
        <v/>
      </c>
      <c r="Y115" s="8">
        <f>IF(Y$3="","",IFERROR(LEFT(TRIM(INDEX(Forms貼り付け!$A:$AZ,114,Y$3)),1),""))</f>
        <v/>
      </c>
      <c r="Z115" s="8">
        <f>IF(Z$3="","",IFERROR(LEFT(TRIM(INDEX(Forms貼り付け!$A:$AZ,114,Z$3)),1),""))</f>
        <v/>
      </c>
      <c r="AA115" s="8">
        <f>IF(AA$3="","",IFERROR(LEFT(TRIM(INDEX(Forms貼り付け!$A:$AZ,114,AA$3)),1),""))</f>
        <v/>
      </c>
      <c r="AB115" s="8">
        <f>IF(AB$3="","",IFERROR(LEFT(TRIM(INDEX(Forms貼り付け!$A:$AZ,114,AB$3)),1),""))</f>
        <v/>
      </c>
      <c r="AC115" s="8">
        <f>IF(AC$3="","",IFERROR(LEFT(TRIM(INDEX(Forms貼り付け!$A:$AZ,114,AC$3)),1),""))</f>
        <v/>
      </c>
      <c r="AD115" s="8">
        <f>IF(AD$3="","",IFERROR(LEFT(TRIM(INDEX(Forms貼り付け!$A:$AZ,114,AD$3)),1),""))</f>
        <v/>
      </c>
      <c r="AE115" s="8">
        <f>IF(AE$3="","",IFERROR(LEFT(TRIM(INDEX(Forms貼り付け!$A:$AZ,114,AE$3)),1),""))</f>
        <v/>
      </c>
      <c r="AF115" s="8">
        <f>IF(AF$3="","",IFERROR(LEFT(TRIM(INDEX(Forms貼り付け!$A:$AZ,114,AF$3)),1),""))</f>
        <v/>
      </c>
      <c r="AG115" s="8">
        <f>IF(AG$3="","",IFERROR(LEFT(TRIM(INDEX(Forms貼り付け!$A:$AZ,114,AG$3)),1),""))</f>
        <v/>
      </c>
      <c r="AH115" s="8">
        <f>IF(AH$3="","",IFERROR(LEFT(TRIM(INDEX(Forms貼り付け!$A:$AZ,114,AH$3)),1),""))</f>
        <v/>
      </c>
      <c r="AI115" s="8">
        <f>IF(AI$3="","",IFERROR(LEFT(TRIM(INDEX(Forms貼り付け!$A:$AZ,114,AI$3)),1),""))</f>
        <v/>
      </c>
      <c r="AJ115" s="8">
        <f>IF(AJ$3="","",IFERROR(LEFT(TRIM(INDEX(Forms貼り付け!$A:$AZ,114,AJ$3)),1),""))</f>
        <v/>
      </c>
      <c r="AK115" s="8">
        <f>IF(AK$3="","",IFERROR(LEFT(TRIM(INDEX(Forms貼り付け!$A:$AZ,114,AK$3)),1),""))</f>
        <v/>
      </c>
      <c r="AL115" s="8">
        <f>IF(AL$3="","",IFERROR(LEFT(TRIM(INDEX(Forms貼り付け!$A:$AZ,114,AL$3)),1),""))</f>
        <v/>
      </c>
      <c r="AM115" s="8">
        <f>IF(AM$3="","",IFERROR(LEFT(TRIM(INDEX(Forms貼り付け!$A:$AZ,114,AM$3)),1),""))</f>
        <v/>
      </c>
      <c r="AN115" s="8">
        <f>IF(AN$3="","",IFERROR(LEFT(TRIM(INDEX(Forms貼り付け!$A:$AZ,114,AN$3)),1),""))</f>
        <v/>
      </c>
      <c r="AO115" s="8">
        <f>IF(AO$3="","",IFERROR(LEFT(TRIM(INDEX(Forms貼り付け!$A:$AZ,114,AO$3)),1),""))</f>
        <v/>
      </c>
      <c r="AP115" s="8">
        <f>IF(AP$3="","",IFERROR(LEFT(TRIM(INDEX(Forms貼り付け!$A:$AZ,114,AP$3)),1),""))</f>
        <v/>
      </c>
      <c r="AQ115" s="8">
        <f>IF(AQ$3="","",IFERROR(LEFT(TRIM(INDEX(Forms貼り付け!$A:$AZ,114,AQ$3)),1),""))</f>
        <v/>
      </c>
      <c r="AR115" s="8">
        <f>IF(AR$3="","",IFERROR(LEFT(TRIM(INDEX(Forms貼り付け!$A:$AZ,114,AR$3)),1),""))</f>
        <v/>
      </c>
      <c r="AS115" s="8">
        <f>IF(AS$3="","",IFERROR(LEFT(TRIM(INDEX(Forms貼り付け!$A:$AZ,114,AS$3)),1),""))</f>
        <v/>
      </c>
      <c r="AT115" s="8">
        <f>IF(AT$3="","",IFERROR(LEFT(TRIM(INDEX(Forms貼り付け!$A:$AZ,114,AT$3)),1),""))</f>
        <v/>
      </c>
      <c r="AU115" s="8">
        <f>IF(AU$3="","",IFERROR(LEFT(TRIM(INDEX(Forms貼り付け!$A:$AZ,114,AU$3)),1),""))</f>
        <v/>
      </c>
      <c r="AV115" s="8">
        <f>IF(AV$3="","",IFERROR(LEFT(TRIM(INDEX(Forms貼り付け!$A:$AZ,114,AV$3)),1),""))</f>
        <v/>
      </c>
      <c r="AW115" s="8">
        <f>IF(AW$3="","",IFERROR(LEFT(TRIM(INDEX(Forms貼り付け!$A:$AZ,114,AW$3)),1),""))</f>
        <v/>
      </c>
      <c r="AX115" s="8">
        <f>IF(AX$3="","",IFERROR(LEFT(TRIM(INDEX(Forms貼り付け!$A:$AZ,114,AX$3)),1),""))</f>
        <v/>
      </c>
      <c r="AY115" s="8">
        <f>IF(AY$3="","",IFERROR(LEFT(TRIM(INDEX(Forms貼り付け!$A:$AZ,114,AY$3)),1),""))</f>
        <v/>
      </c>
      <c r="AZ115" s="8">
        <f>IF(AZ$3="","",IFERROR(LEFT(TRIM(INDEX(Forms貼り付け!$A:$AZ,114,AZ$3)),1),""))</f>
        <v/>
      </c>
      <c r="BA115" s="8">
        <f>IF(BA$3="","",IFERROR(LEFT(TRIM(INDEX(Forms貼り付け!$A:$AZ,114,BA$3)),1),""))</f>
        <v/>
      </c>
      <c r="BB115" s="8">
        <f>IF(BB$3="","",IFERROR(LEFT(TRIM(INDEX(Forms貼り付け!$A:$AZ,114,BB$3)),1),""))</f>
        <v/>
      </c>
      <c r="BC115" s="8">
        <f>IF(BC$3="","",IFERROR(LEFT(TRIM(INDEX(Forms貼り付け!$A:$AZ,114,BC$3)),1),""))</f>
        <v/>
      </c>
    </row>
    <row r="116">
      <c r="A116" s="8" t="inlineStr">
        <is>
          <t>U112</t>
        </is>
      </c>
      <c r="B116" s="9">
        <f>IF($B$3="","",INDEX(Forms貼り付け!$A:$AZ,115,$B$3))</f>
        <v/>
      </c>
      <c r="C116" s="9">
        <f>IF($C$3="","",INDEX(Forms貼り付け!$A:$AZ,115,$C$3))</f>
        <v/>
      </c>
      <c r="D116" s="8">
        <f>IF($D$3="","",INDEX(Forms貼り付け!$A:$AZ,115,$D$3))</f>
        <v/>
      </c>
      <c r="E116" s="8">
        <f>IF($E$3="","",INDEX(Forms貼り付け!$A:$AZ,115,$E$3))</f>
        <v/>
      </c>
      <c r="F116" s="8">
        <f>IF(F$3="","",IFERROR(LEFT(TRIM(INDEX(Forms貼り付け!$A:$AZ,115,F$3)),1),""))</f>
        <v/>
      </c>
      <c r="G116" s="8">
        <f>IF(G$3="","",IFERROR(LEFT(TRIM(INDEX(Forms貼り付け!$A:$AZ,115,G$3)),1),""))</f>
        <v/>
      </c>
      <c r="H116" s="8">
        <f>IF(H$3="","",IFERROR(LEFT(TRIM(INDEX(Forms貼り付け!$A:$AZ,115,H$3)),1),""))</f>
        <v/>
      </c>
      <c r="I116" s="8">
        <f>IF(I$3="","",IFERROR(LEFT(TRIM(INDEX(Forms貼り付け!$A:$AZ,115,I$3)),1),""))</f>
        <v/>
      </c>
      <c r="J116" s="8">
        <f>IF(J$3="","",IFERROR(LEFT(TRIM(INDEX(Forms貼り付け!$A:$AZ,115,J$3)),1),""))</f>
        <v/>
      </c>
      <c r="K116" s="8">
        <f>IF(K$3="","",IFERROR(LEFT(TRIM(INDEX(Forms貼り付け!$A:$AZ,115,K$3)),1),""))</f>
        <v/>
      </c>
      <c r="L116" s="8">
        <f>IF(L$3="","",IFERROR(LEFT(TRIM(INDEX(Forms貼り付け!$A:$AZ,115,L$3)),1),""))</f>
        <v/>
      </c>
      <c r="M116" s="8">
        <f>IF(M$3="","",IFERROR(LEFT(TRIM(INDEX(Forms貼り付け!$A:$AZ,115,M$3)),1),""))</f>
        <v/>
      </c>
      <c r="N116" s="8">
        <f>IF(N$3="","",IFERROR(LEFT(TRIM(INDEX(Forms貼り付け!$A:$AZ,115,N$3)),1),""))</f>
        <v/>
      </c>
      <c r="O116" s="8">
        <f>IF(O$3="","",IFERROR(LEFT(TRIM(INDEX(Forms貼り付け!$A:$AZ,115,O$3)),1),""))</f>
        <v/>
      </c>
      <c r="P116" s="8">
        <f>IF(P$3="","",IFERROR(LEFT(TRIM(INDEX(Forms貼り付け!$A:$AZ,115,P$3)),1),""))</f>
        <v/>
      </c>
      <c r="Q116" s="8">
        <f>IF(Q$3="","",IFERROR(LEFT(TRIM(INDEX(Forms貼り付け!$A:$AZ,115,Q$3)),1),""))</f>
        <v/>
      </c>
      <c r="R116" s="8">
        <f>IF(R$3="","",IFERROR(LEFT(TRIM(INDEX(Forms貼り付け!$A:$AZ,115,R$3)),1),""))</f>
        <v/>
      </c>
      <c r="S116" s="8">
        <f>IF(S$3="","",IFERROR(LEFT(TRIM(INDEX(Forms貼り付け!$A:$AZ,115,S$3)),1),""))</f>
        <v/>
      </c>
      <c r="T116" s="8">
        <f>IF(T$3="","",IFERROR(LEFT(TRIM(INDEX(Forms貼り付け!$A:$AZ,115,T$3)),1),""))</f>
        <v/>
      </c>
      <c r="U116" s="8">
        <f>IF(U$3="","",IFERROR(LEFT(TRIM(INDEX(Forms貼り付け!$A:$AZ,115,U$3)),1),""))</f>
        <v/>
      </c>
      <c r="V116" s="8">
        <f>IF(V$3="","",IFERROR(LEFT(TRIM(INDEX(Forms貼り付け!$A:$AZ,115,V$3)),1),""))</f>
        <v/>
      </c>
      <c r="W116" s="8">
        <f>IF(W$3="","",IFERROR(LEFT(TRIM(INDEX(Forms貼り付け!$A:$AZ,115,W$3)),1),""))</f>
        <v/>
      </c>
      <c r="X116" s="8">
        <f>IF(X$3="","",IFERROR(LEFT(TRIM(INDEX(Forms貼り付け!$A:$AZ,115,X$3)),1),""))</f>
        <v/>
      </c>
      <c r="Y116" s="8">
        <f>IF(Y$3="","",IFERROR(LEFT(TRIM(INDEX(Forms貼り付け!$A:$AZ,115,Y$3)),1),""))</f>
        <v/>
      </c>
      <c r="Z116" s="8">
        <f>IF(Z$3="","",IFERROR(LEFT(TRIM(INDEX(Forms貼り付け!$A:$AZ,115,Z$3)),1),""))</f>
        <v/>
      </c>
      <c r="AA116" s="8">
        <f>IF(AA$3="","",IFERROR(LEFT(TRIM(INDEX(Forms貼り付け!$A:$AZ,115,AA$3)),1),""))</f>
        <v/>
      </c>
      <c r="AB116" s="8">
        <f>IF(AB$3="","",IFERROR(LEFT(TRIM(INDEX(Forms貼り付け!$A:$AZ,115,AB$3)),1),""))</f>
        <v/>
      </c>
      <c r="AC116" s="8">
        <f>IF(AC$3="","",IFERROR(LEFT(TRIM(INDEX(Forms貼り付け!$A:$AZ,115,AC$3)),1),""))</f>
        <v/>
      </c>
      <c r="AD116" s="8">
        <f>IF(AD$3="","",IFERROR(LEFT(TRIM(INDEX(Forms貼り付け!$A:$AZ,115,AD$3)),1),""))</f>
        <v/>
      </c>
      <c r="AE116" s="8">
        <f>IF(AE$3="","",IFERROR(LEFT(TRIM(INDEX(Forms貼り付け!$A:$AZ,115,AE$3)),1),""))</f>
        <v/>
      </c>
      <c r="AF116" s="8">
        <f>IF(AF$3="","",IFERROR(LEFT(TRIM(INDEX(Forms貼り付け!$A:$AZ,115,AF$3)),1),""))</f>
        <v/>
      </c>
      <c r="AG116" s="8">
        <f>IF(AG$3="","",IFERROR(LEFT(TRIM(INDEX(Forms貼り付け!$A:$AZ,115,AG$3)),1),""))</f>
        <v/>
      </c>
      <c r="AH116" s="8">
        <f>IF(AH$3="","",IFERROR(LEFT(TRIM(INDEX(Forms貼り付け!$A:$AZ,115,AH$3)),1),""))</f>
        <v/>
      </c>
      <c r="AI116" s="8">
        <f>IF(AI$3="","",IFERROR(LEFT(TRIM(INDEX(Forms貼り付け!$A:$AZ,115,AI$3)),1),""))</f>
        <v/>
      </c>
      <c r="AJ116" s="8">
        <f>IF(AJ$3="","",IFERROR(LEFT(TRIM(INDEX(Forms貼り付け!$A:$AZ,115,AJ$3)),1),""))</f>
        <v/>
      </c>
      <c r="AK116" s="8">
        <f>IF(AK$3="","",IFERROR(LEFT(TRIM(INDEX(Forms貼り付け!$A:$AZ,115,AK$3)),1),""))</f>
        <v/>
      </c>
      <c r="AL116" s="8">
        <f>IF(AL$3="","",IFERROR(LEFT(TRIM(INDEX(Forms貼り付け!$A:$AZ,115,AL$3)),1),""))</f>
        <v/>
      </c>
      <c r="AM116" s="8">
        <f>IF(AM$3="","",IFERROR(LEFT(TRIM(INDEX(Forms貼り付け!$A:$AZ,115,AM$3)),1),""))</f>
        <v/>
      </c>
      <c r="AN116" s="8">
        <f>IF(AN$3="","",IFERROR(LEFT(TRIM(INDEX(Forms貼り付け!$A:$AZ,115,AN$3)),1),""))</f>
        <v/>
      </c>
      <c r="AO116" s="8">
        <f>IF(AO$3="","",IFERROR(LEFT(TRIM(INDEX(Forms貼り付け!$A:$AZ,115,AO$3)),1),""))</f>
        <v/>
      </c>
      <c r="AP116" s="8">
        <f>IF(AP$3="","",IFERROR(LEFT(TRIM(INDEX(Forms貼り付け!$A:$AZ,115,AP$3)),1),""))</f>
        <v/>
      </c>
      <c r="AQ116" s="8">
        <f>IF(AQ$3="","",IFERROR(LEFT(TRIM(INDEX(Forms貼り付け!$A:$AZ,115,AQ$3)),1),""))</f>
        <v/>
      </c>
      <c r="AR116" s="8">
        <f>IF(AR$3="","",IFERROR(LEFT(TRIM(INDEX(Forms貼り付け!$A:$AZ,115,AR$3)),1),""))</f>
        <v/>
      </c>
      <c r="AS116" s="8">
        <f>IF(AS$3="","",IFERROR(LEFT(TRIM(INDEX(Forms貼り付け!$A:$AZ,115,AS$3)),1),""))</f>
        <v/>
      </c>
      <c r="AT116" s="8">
        <f>IF(AT$3="","",IFERROR(LEFT(TRIM(INDEX(Forms貼り付け!$A:$AZ,115,AT$3)),1),""))</f>
        <v/>
      </c>
      <c r="AU116" s="8">
        <f>IF(AU$3="","",IFERROR(LEFT(TRIM(INDEX(Forms貼り付け!$A:$AZ,115,AU$3)),1),""))</f>
        <v/>
      </c>
      <c r="AV116" s="8">
        <f>IF(AV$3="","",IFERROR(LEFT(TRIM(INDEX(Forms貼り付け!$A:$AZ,115,AV$3)),1),""))</f>
        <v/>
      </c>
      <c r="AW116" s="8">
        <f>IF(AW$3="","",IFERROR(LEFT(TRIM(INDEX(Forms貼り付け!$A:$AZ,115,AW$3)),1),""))</f>
        <v/>
      </c>
      <c r="AX116" s="8">
        <f>IF(AX$3="","",IFERROR(LEFT(TRIM(INDEX(Forms貼り付け!$A:$AZ,115,AX$3)),1),""))</f>
        <v/>
      </c>
      <c r="AY116" s="8">
        <f>IF(AY$3="","",IFERROR(LEFT(TRIM(INDEX(Forms貼り付け!$A:$AZ,115,AY$3)),1),""))</f>
        <v/>
      </c>
      <c r="AZ116" s="8">
        <f>IF(AZ$3="","",IFERROR(LEFT(TRIM(INDEX(Forms貼り付け!$A:$AZ,115,AZ$3)),1),""))</f>
        <v/>
      </c>
      <c r="BA116" s="8">
        <f>IF(BA$3="","",IFERROR(LEFT(TRIM(INDEX(Forms貼り付け!$A:$AZ,115,BA$3)),1),""))</f>
        <v/>
      </c>
      <c r="BB116" s="8">
        <f>IF(BB$3="","",IFERROR(LEFT(TRIM(INDEX(Forms貼り付け!$A:$AZ,115,BB$3)),1),""))</f>
        <v/>
      </c>
      <c r="BC116" s="8">
        <f>IF(BC$3="","",IFERROR(LEFT(TRIM(INDEX(Forms貼り付け!$A:$AZ,115,BC$3)),1),""))</f>
        <v/>
      </c>
    </row>
    <row r="117">
      <c r="A117" s="8" t="inlineStr">
        <is>
          <t>U113</t>
        </is>
      </c>
      <c r="B117" s="9">
        <f>IF($B$3="","",INDEX(Forms貼り付け!$A:$AZ,116,$B$3))</f>
        <v/>
      </c>
      <c r="C117" s="9">
        <f>IF($C$3="","",INDEX(Forms貼り付け!$A:$AZ,116,$C$3))</f>
        <v/>
      </c>
      <c r="D117" s="8">
        <f>IF($D$3="","",INDEX(Forms貼り付け!$A:$AZ,116,$D$3))</f>
        <v/>
      </c>
      <c r="E117" s="8">
        <f>IF($E$3="","",INDEX(Forms貼り付け!$A:$AZ,116,$E$3))</f>
        <v/>
      </c>
      <c r="F117" s="8">
        <f>IF(F$3="","",IFERROR(LEFT(TRIM(INDEX(Forms貼り付け!$A:$AZ,116,F$3)),1),""))</f>
        <v/>
      </c>
      <c r="G117" s="8">
        <f>IF(G$3="","",IFERROR(LEFT(TRIM(INDEX(Forms貼り付け!$A:$AZ,116,G$3)),1),""))</f>
        <v/>
      </c>
      <c r="H117" s="8">
        <f>IF(H$3="","",IFERROR(LEFT(TRIM(INDEX(Forms貼り付け!$A:$AZ,116,H$3)),1),""))</f>
        <v/>
      </c>
      <c r="I117" s="8">
        <f>IF(I$3="","",IFERROR(LEFT(TRIM(INDEX(Forms貼り付け!$A:$AZ,116,I$3)),1),""))</f>
        <v/>
      </c>
      <c r="J117" s="8">
        <f>IF(J$3="","",IFERROR(LEFT(TRIM(INDEX(Forms貼り付け!$A:$AZ,116,J$3)),1),""))</f>
        <v/>
      </c>
      <c r="K117" s="8">
        <f>IF(K$3="","",IFERROR(LEFT(TRIM(INDEX(Forms貼り付け!$A:$AZ,116,K$3)),1),""))</f>
        <v/>
      </c>
      <c r="L117" s="8">
        <f>IF(L$3="","",IFERROR(LEFT(TRIM(INDEX(Forms貼り付け!$A:$AZ,116,L$3)),1),""))</f>
        <v/>
      </c>
      <c r="M117" s="8">
        <f>IF(M$3="","",IFERROR(LEFT(TRIM(INDEX(Forms貼り付け!$A:$AZ,116,M$3)),1),""))</f>
        <v/>
      </c>
      <c r="N117" s="8">
        <f>IF(N$3="","",IFERROR(LEFT(TRIM(INDEX(Forms貼り付け!$A:$AZ,116,N$3)),1),""))</f>
        <v/>
      </c>
      <c r="O117" s="8">
        <f>IF(O$3="","",IFERROR(LEFT(TRIM(INDEX(Forms貼り付け!$A:$AZ,116,O$3)),1),""))</f>
        <v/>
      </c>
      <c r="P117" s="8">
        <f>IF(P$3="","",IFERROR(LEFT(TRIM(INDEX(Forms貼り付け!$A:$AZ,116,P$3)),1),""))</f>
        <v/>
      </c>
      <c r="Q117" s="8">
        <f>IF(Q$3="","",IFERROR(LEFT(TRIM(INDEX(Forms貼り付け!$A:$AZ,116,Q$3)),1),""))</f>
        <v/>
      </c>
      <c r="R117" s="8">
        <f>IF(R$3="","",IFERROR(LEFT(TRIM(INDEX(Forms貼り付け!$A:$AZ,116,R$3)),1),""))</f>
        <v/>
      </c>
      <c r="S117" s="8">
        <f>IF(S$3="","",IFERROR(LEFT(TRIM(INDEX(Forms貼り付け!$A:$AZ,116,S$3)),1),""))</f>
        <v/>
      </c>
      <c r="T117" s="8">
        <f>IF(T$3="","",IFERROR(LEFT(TRIM(INDEX(Forms貼り付け!$A:$AZ,116,T$3)),1),""))</f>
        <v/>
      </c>
      <c r="U117" s="8">
        <f>IF(U$3="","",IFERROR(LEFT(TRIM(INDEX(Forms貼り付け!$A:$AZ,116,U$3)),1),""))</f>
        <v/>
      </c>
      <c r="V117" s="8">
        <f>IF(V$3="","",IFERROR(LEFT(TRIM(INDEX(Forms貼り付け!$A:$AZ,116,V$3)),1),""))</f>
        <v/>
      </c>
      <c r="W117" s="8">
        <f>IF(W$3="","",IFERROR(LEFT(TRIM(INDEX(Forms貼り付け!$A:$AZ,116,W$3)),1),""))</f>
        <v/>
      </c>
      <c r="X117" s="8">
        <f>IF(X$3="","",IFERROR(LEFT(TRIM(INDEX(Forms貼り付け!$A:$AZ,116,X$3)),1),""))</f>
        <v/>
      </c>
      <c r="Y117" s="8">
        <f>IF(Y$3="","",IFERROR(LEFT(TRIM(INDEX(Forms貼り付け!$A:$AZ,116,Y$3)),1),""))</f>
        <v/>
      </c>
      <c r="Z117" s="8">
        <f>IF(Z$3="","",IFERROR(LEFT(TRIM(INDEX(Forms貼り付け!$A:$AZ,116,Z$3)),1),""))</f>
        <v/>
      </c>
      <c r="AA117" s="8">
        <f>IF(AA$3="","",IFERROR(LEFT(TRIM(INDEX(Forms貼り付け!$A:$AZ,116,AA$3)),1),""))</f>
        <v/>
      </c>
      <c r="AB117" s="8">
        <f>IF(AB$3="","",IFERROR(LEFT(TRIM(INDEX(Forms貼り付け!$A:$AZ,116,AB$3)),1),""))</f>
        <v/>
      </c>
      <c r="AC117" s="8">
        <f>IF(AC$3="","",IFERROR(LEFT(TRIM(INDEX(Forms貼り付け!$A:$AZ,116,AC$3)),1),""))</f>
        <v/>
      </c>
      <c r="AD117" s="8">
        <f>IF(AD$3="","",IFERROR(LEFT(TRIM(INDEX(Forms貼り付け!$A:$AZ,116,AD$3)),1),""))</f>
        <v/>
      </c>
      <c r="AE117" s="8">
        <f>IF(AE$3="","",IFERROR(LEFT(TRIM(INDEX(Forms貼り付け!$A:$AZ,116,AE$3)),1),""))</f>
        <v/>
      </c>
      <c r="AF117" s="8">
        <f>IF(AF$3="","",IFERROR(LEFT(TRIM(INDEX(Forms貼り付け!$A:$AZ,116,AF$3)),1),""))</f>
        <v/>
      </c>
      <c r="AG117" s="8">
        <f>IF(AG$3="","",IFERROR(LEFT(TRIM(INDEX(Forms貼り付け!$A:$AZ,116,AG$3)),1),""))</f>
        <v/>
      </c>
      <c r="AH117" s="8">
        <f>IF(AH$3="","",IFERROR(LEFT(TRIM(INDEX(Forms貼り付け!$A:$AZ,116,AH$3)),1),""))</f>
        <v/>
      </c>
      <c r="AI117" s="8">
        <f>IF(AI$3="","",IFERROR(LEFT(TRIM(INDEX(Forms貼り付け!$A:$AZ,116,AI$3)),1),""))</f>
        <v/>
      </c>
      <c r="AJ117" s="8">
        <f>IF(AJ$3="","",IFERROR(LEFT(TRIM(INDEX(Forms貼り付け!$A:$AZ,116,AJ$3)),1),""))</f>
        <v/>
      </c>
      <c r="AK117" s="8">
        <f>IF(AK$3="","",IFERROR(LEFT(TRIM(INDEX(Forms貼り付け!$A:$AZ,116,AK$3)),1),""))</f>
        <v/>
      </c>
      <c r="AL117" s="8">
        <f>IF(AL$3="","",IFERROR(LEFT(TRIM(INDEX(Forms貼り付け!$A:$AZ,116,AL$3)),1),""))</f>
        <v/>
      </c>
      <c r="AM117" s="8">
        <f>IF(AM$3="","",IFERROR(LEFT(TRIM(INDEX(Forms貼り付け!$A:$AZ,116,AM$3)),1),""))</f>
        <v/>
      </c>
      <c r="AN117" s="8">
        <f>IF(AN$3="","",IFERROR(LEFT(TRIM(INDEX(Forms貼り付け!$A:$AZ,116,AN$3)),1),""))</f>
        <v/>
      </c>
      <c r="AO117" s="8">
        <f>IF(AO$3="","",IFERROR(LEFT(TRIM(INDEX(Forms貼り付け!$A:$AZ,116,AO$3)),1),""))</f>
        <v/>
      </c>
      <c r="AP117" s="8">
        <f>IF(AP$3="","",IFERROR(LEFT(TRIM(INDEX(Forms貼り付け!$A:$AZ,116,AP$3)),1),""))</f>
        <v/>
      </c>
      <c r="AQ117" s="8">
        <f>IF(AQ$3="","",IFERROR(LEFT(TRIM(INDEX(Forms貼り付け!$A:$AZ,116,AQ$3)),1),""))</f>
        <v/>
      </c>
      <c r="AR117" s="8">
        <f>IF(AR$3="","",IFERROR(LEFT(TRIM(INDEX(Forms貼り付け!$A:$AZ,116,AR$3)),1),""))</f>
        <v/>
      </c>
      <c r="AS117" s="8">
        <f>IF(AS$3="","",IFERROR(LEFT(TRIM(INDEX(Forms貼り付け!$A:$AZ,116,AS$3)),1),""))</f>
        <v/>
      </c>
      <c r="AT117" s="8">
        <f>IF(AT$3="","",IFERROR(LEFT(TRIM(INDEX(Forms貼り付け!$A:$AZ,116,AT$3)),1),""))</f>
        <v/>
      </c>
      <c r="AU117" s="8">
        <f>IF(AU$3="","",IFERROR(LEFT(TRIM(INDEX(Forms貼り付け!$A:$AZ,116,AU$3)),1),""))</f>
        <v/>
      </c>
      <c r="AV117" s="8">
        <f>IF(AV$3="","",IFERROR(LEFT(TRIM(INDEX(Forms貼り付け!$A:$AZ,116,AV$3)),1),""))</f>
        <v/>
      </c>
      <c r="AW117" s="8">
        <f>IF(AW$3="","",IFERROR(LEFT(TRIM(INDEX(Forms貼り付け!$A:$AZ,116,AW$3)),1),""))</f>
        <v/>
      </c>
      <c r="AX117" s="8">
        <f>IF(AX$3="","",IFERROR(LEFT(TRIM(INDEX(Forms貼り付け!$A:$AZ,116,AX$3)),1),""))</f>
        <v/>
      </c>
      <c r="AY117" s="8">
        <f>IF(AY$3="","",IFERROR(LEFT(TRIM(INDEX(Forms貼り付け!$A:$AZ,116,AY$3)),1),""))</f>
        <v/>
      </c>
      <c r="AZ117" s="8">
        <f>IF(AZ$3="","",IFERROR(LEFT(TRIM(INDEX(Forms貼り付け!$A:$AZ,116,AZ$3)),1),""))</f>
        <v/>
      </c>
      <c r="BA117" s="8">
        <f>IF(BA$3="","",IFERROR(LEFT(TRIM(INDEX(Forms貼り付け!$A:$AZ,116,BA$3)),1),""))</f>
        <v/>
      </c>
      <c r="BB117" s="8">
        <f>IF(BB$3="","",IFERROR(LEFT(TRIM(INDEX(Forms貼り付け!$A:$AZ,116,BB$3)),1),""))</f>
        <v/>
      </c>
      <c r="BC117" s="8">
        <f>IF(BC$3="","",IFERROR(LEFT(TRIM(INDEX(Forms貼り付け!$A:$AZ,116,BC$3)),1),""))</f>
        <v/>
      </c>
    </row>
    <row r="118">
      <c r="A118" s="8" t="inlineStr">
        <is>
          <t>U114</t>
        </is>
      </c>
      <c r="B118" s="9">
        <f>IF($B$3="","",INDEX(Forms貼り付け!$A:$AZ,117,$B$3))</f>
        <v/>
      </c>
      <c r="C118" s="9">
        <f>IF($C$3="","",INDEX(Forms貼り付け!$A:$AZ,117,$C$3))</f>
        <v/>
      </c>
      <c r="D118" s="8">
        <f>IF($D$3="","",INDEX(Forms貼り付け!$A:$AZ,117,$D$3))</f>
        <v/>
      </c>
      <c r="E118" s="8">
        <f>IF($E$3="","",INDEX(Forms貼り付け!$A:$AZ,117,$E$3))</f>
        <v/>
      </c>
      <c r="F118" s="8">
        <f>IF(F$3="","",IFERROR(LEFT(TRIM(INDEX(Forms貼り付け!$A:$AZ,117,F$3)),1),""))</f>
        <v/>
      </c>
      <c r="G118" s="8">
        <f>IF(G$3="","",IFERROR(LEFT(TRIM(INDEX(Forms貼り付け!$A:$AZ,117,G$3)),1),""))</f>
        <v/>
      </c>
      <c r="H118" s="8">
        <f>IF(H$3="","",IFERROR(LEFT(TRIM(INDEX(Forms貼り付け!$A:$AZ,117,H$3)),1),""))</f>
        <v/>
      </c>
      <c r="I118" s="8">
        <f>IF(I$3="","",IFERROR(LEFT(TRIM(INDEX(Forms貼り付け!$A:$AZ,117,I$3)),1),""))</f>
        <v/>
      </c>
      <c r="J118" s="8">
        <f>IF(J$3="","",IFERROR(LEFT(TRIM(INDEX(Forms貼り付け!$A:$AZ,117,J$3)),1),""))</f>
        <v/>
      </c>
      <c r="K118" s="8">
        <f>IF(K$3="","",IFERROR(LEFT(TRIM(INDEX(Forms貼り付け!$A:$AZ,117,K$3)),1),""))</f>
        <v/>
      </c>
      <c r="L118" s="8">
        <f>IF(L$3="","",IFERROR(LEFT(TRIM(INDEX(Forms貼り付け!$A:$AZ,117,L$3)),1),""))</f>
        <v/>
      </c>
      <c r="M118" s="8">
        <f>IF(M$3="","",IFERROR(LEFT(TRIM(INDEX(Forms貼り付け!$A:$AZ,117,M$3)),1),""))</f>
        <v/>
      </c>
      <c r="N118" s="8">
        <f>IF(N$3="","",IFERROR(LEFT(TRIM(INDEX(Forms貼り付け!$A:$AZ,117,N$3)),1),""))</f>
        <v/>
      </c>
      <c r="O118" s="8">
        <f>IF(O$3="","",IFERROR(LEFT(TRIM(INDEX(Forms貼り付け!$A:$AZ,117,O$3)),1),""))</f>
        <v/>
      </c>
      <c r="P118" s="8">
        <f>IF(P$3="","",IFERROR(LEFT(TRIM(INDEX(Forms貼り付け!$A:$AZ,117,P$3)),1),""))</f>
        <v/>
      </c>
      <c r="Q118" s="8">
        <f>IF(Q$3="","",IFERROR(LEFT(TRIM(INDEX(Forms貼り付け!$A:$AZ,117,Q$3)),1),""))</f>
        <v/>
      </c>
      <c r="R118" s="8">
        <f>IF(R$3="","",IFERROR(LEFT(TRIM(INDEX(Forms貼り付け!$A:$AZ,117,R$3)),1),""))</f>
        <v/>
      </c>
      <c r="S118" s="8">
        <f>IF(S$3="","",IFERROR(LEFT(TRIM(INDEX(Forms貼り付け!$A:$AZ,117,S$3)),1),""))</f>
        <v/>
      </c>
      <c r="T118" s="8">
        <f>IF(T$3="","",IFERROR(LEFT(TRIM(INDEX(Forms貼り付け!$A:$AZ,117,T$3)),1),""))</f>
        <v/>
      </c>
      <c r="U118" s="8">
        <f>IF(U$3="","",IFERROR(LEFT(TRIM(INDEX(Forms貼り付け!$A:$AZ,117,U$3)),1),""))</f>
        <v/>
      </c>
      <c r="V118" s="8">
        <f>IF(V$3="","",IFERROR(LEFT(TRIM(INDEX(Forms貼り付け!$A:$AZ,117,V$3)),1),""))</f>
        <v/>
      </c>
      <c r="W118" s="8">
        <f>IF(W$3="","",IFERROR(LEFT(TRIM(INDEX(Forms貼り付け!$A:$AZ,117,W$3)),1),""))</f>
        <v/>
      </c>
      <c r="X118" s="8">
        <f>IF(X$3="","",IFERROR(LEFT(TRIM(INDEX(Forms貼り付け!$A:$AZ,117,X$3)),1),""))</f>
        <v/>
      </c>
      <c r="Y118" s="8">
        <f>IF(Y$3="","",IFERROR(LEFT(TRIM(INDEX(Forms貼り付け!$A:$AZ,117,Y$3)),1),""))</f>
        <v/>
      </c>
      <c r="Z118" s="8">
        <f>IF(Z$3="","",IFERROR(LEFT(TRIM(INDEX(Forms貼り付け!$A:$AZ,117,Z$3)),1),""))</f>
        <v/>
      </c>
      <c r="AA118" s="8">
        <f>IF(AA$3="","",IFERROR(LEFT(TRIM(INDEX(Forms貼り付け!$A:$AZ,117,AA$3)),1),""))</f>
        <v/>
      </c>
      <c r="AB118" s="8">
        <f>IF(AB$3="","",IFERROR(LEFT(TRIM(INDEX(Forms貼り付け!$A:$AZ,117,AB$3)),1),""))</f>
        <v/>
      </c>
      <c r="AC118" s="8">
        <f>IF(AC$3="","",IFERROR(LEFT(TRIM(INDEX(Forms貼り付け!$A:$AZ,117,AC$3)),1),""))</f>
        <v/>
      </c>
      <c r="AD118" s="8">
        <f>IF(AD$3="","",IFERROR(LEFT(TRIM(INDEX(Forms貼り付け!$A:$AZ,117,AD$3)),1),""))</f>
        <v/>
      </c>
      <c r="AE118" s="8">
        <f>IF(AE$3="","",IFERROR(LEFT(TRIM(INDEX(Forms貼り付け!$A:$AZ,117,AE$3)),1),""))</f>
        <v/>
      </c>
      <c r="AF118" s="8">
        <f>IF(AF$3="","",IFERROR(LEFT(TRIM(INDEX(Forms貼り付け!$A:$AZ,117,AF$3)),1),""))</f>
        <v/>
      </c>
      <c r="AG118" s="8">
        <f>IF(AG$3="","",IFERROR(LEFT(TRIM(INDEX(Forms貼り付け!$A:$AZ,117,AG$3)),1),""))</f>
        <v/>
      </c>
      <c r="AH118" s="8">
        <f>IF(AH$3="","",IFERROR(LEFT(TRIM(INDEX(Forms貼り付け!$A:$AZ,117,AH$3)),1),""))</f>
        <v/>
      </c>
      <c r="AI118" s="8">
        <f>IF(AI$3="","",IFERROR(LEFT(TRIM(INDEX(Forms貼り付け!$A:$AZ,117,AI$3)),1),""))</f>
        <v/>
      </c>
      <c r="AJ118" s="8">
        <f>IF(AJ$3="","",IFERROR(LEFT(TRIM(INDEX(Forms貼り付け!$A:$AZ,117,AJ$3)),1),""))</f>
        <v/>
      </c>
      <c r="AK118" s="8">
        <f>IF(AK$3="","",IFERROR(LEFT(TRIM(INDEX(Forms貼り付け!$A:$AZ,117,AK$3)),1),""))</f>
        <v/>
      </c>
      <c r="AL118" s="8">
        <f>IF(AL$3="","",IFERROR(LEFT(TRIM(INDEX(Forms貼り付け!$A:$AZ,117,AL$3)),1),""))</f>
        <v/>
      </c>
      <c r="AM118" s="8">
        <f>IF(AM$3="","",IFERROR(LEFT(TRIM(INDEX(Forms貼り付け!$A:$AZ,117,AM$3)),1),""))</f>
        <v/>
      </c>
      <c r="AN118" s="8">
        <f>IF(AN$3="","",IFERROR(LEFT(TRIM(INDEX(Forms貼り付け!$A:$AZ,117,AN$3)),1),""))</f>
        <v/>
      </c>
      <c r="AO118" s="8">
        <f>IF(AO$3="","",IFERROR(LEFT(TRIM(INDEX(Forms貼り付け!$A:$AZ,117,AO$3)),1),""))</f>
        <v/>
      </c>
      <c r="AP118" s="8">
        <f>IF(AP$3="","",IFERROR(LEFT(TRIM(INDEX(Forms貼り付け!$A:$AZ,117,AP$3)),1),""))</f>
        <v/>
      </c>
      <c r="AQ118" s="8">
        <f>IF(AQ$3="","",IFERROR(LEFT(TRIM(INDEX(Forms貼り付け!$A:$AZ,117,AQ$3)),1),""))</f>
        <v/>
      </c>
      <c r="AR118" s="8">
        <f>IF(AR$3="","",IFERROR(LEFT(TRIM(INDEX(Forms貼り付け!$A:$AZ,117,AR$3)),1),""))</f>
        <v/>
      </c>
      <c r="AS118" s="8">
        <f>IF(AS$3="","",IFERROR(LEFT(TRIM(INDEX(Forms貼り付け!$A:$AZ,117,AS$3)),1),""))</f>
        <v/>
      </c>
      <c r="AT118" s="8">
        <f>IF(AT$3="","",IFERROR(LEFT(TRIM(INDEX(Forms貼り付け!$A:$AZ,117,AT$3)),1),""))</f>
        <v/>
      </c>
      <c r="AU118" s="8">
        <f>IF(AU$3="","",IFERROR(LEFT(TRIM(INDEX(Forms貼り付け!$A:$AZ,117,AU$3)),1),""))</f>
        <v/>
      </c>
      <c r="AV118" s="8">
        <f>IF(AV$3="","",IFERROR(LEFT(TRIM(INDEX(Forms貼り付け!$A:$AZ,117,AV$3)),1),""))</f>
        <v/>
      </c>
      <c r="AW118" s="8">
        <f>IF(AW$3="","",IFERROR(LEFT(TRIM(INDEX(Forms貼り付け!$A:$AZ,117,AW$3)),1),""))</f>
        <v/>
      </c>
      <c r="AX118" s="8">
        <f>IF(AX$3="","",IFERROR(LEFT(TRIM(INDEX(Forms貼り付け!$A:$AZ,117,AX$3)),1),""))</f>
        <v/>
      </c>
      <c r="AY118" s="8">
        <f>IF(AY$3="","",IFERROR(LEFT(TRIM(INDEX(Forms貼り付け!$A:$AZ,117,AY$3)),1),""))</f>
        <v/>
      </c>
      <c r="AZ118" s="8">
        <f>IF(AZ$3="","",IFERROR(LEFT(TRIM(INDEX(Forms貼り付け!$A:$AZ,117,AZ$3)),1),""))</f>
        <v/>
      </c>
      <c r="BA118" s="8">
        <f>IF(BA$3="","",IFERROR(LEFT(TRIM(INDEX(Forms貼り付け!$A:$AZ,117,BA$3)),1),""))</f>
        <v/>
      </c>
      <c r="BB118" s="8">
        <f>IF(BB$3="","",IFERROR(LEFT(TRIM(INDEX(Forms貼り付け!$A:$AZ,117,BB$3)),1),""))</f>
        <v/>
      </c>
      <c r="BC118" s="8">
        <f>IF(BC$3="","",IFERROR(LEFT(TRIM(INDEX(Forms貼り付け!$A:$AZ,117,BC$3)),1),""))</f>
        <v/>
      </c>
    </row>
    <row r="119">
      <c r="A119" s="8" t="inlineStr">
        <is>
          <t>U115</t>
        </is>
      </c>
      <c r="B119" s="9">
        <f>IF($B$3="","",INDEX(Forms貼り付け!$A:$AZ,118,$B$3))</f>
        <v/>
      </c>
      <c r="C119" s="9">
        <f>IF($C$3="","",INDEX(Forms貼り付け!$A:$AZ,118,$C$3))</f>
        <v/>
      </c>
      <c r="D119" s="8">
        <f>IF($D$3="","",INDEX(Forms貼り付け!$A:$AZ,118,$D$3))</f>
        <v/>
      </c>
      <c r="E119" s="8">
        <f>IF($E$3="","",INDEX(Forms貼り付け!$A:$AZ,118,$E$3))</f>
        <v/>
      </c>
      <c r="F119" s="8">
        <f>IF(F$3="","",IFERROR(LEFT(TRIM(INDEX(Forms貼り付け!$A:$AZ,118,F$3)),1),""))</f>
        <v/>
      </c>
      <c r="G119" s="8">
        <f>IF(G$3="","",IFERROR(LEFT(TRIM(INDEX(Forms貼り付け!$A:$AZ,118,G$3)),1),""))</f>
        <v/>
      </c>
      <c r="H119" s="8">
        <f>IF(H$3="","",IFERROR(LEFT(TRIM(INDEX(Forms貼り付け!$A:$AZ,118,H$3)),1),""))</f>
        <v/>
      </c>
      <c r="I119" s="8">
        <f>IF(I$3="","",IFERROR(LEFT(TRIM(INDEX(Forms貼り付け!$A:$AZ,118,I$3)),1),""))</f>
        <v/>
      </c>
      <c r="J119" s="8">
        <f>IF(J$3="","",IFERROR(LEFT(TRIM(INDEX(Forms貼り付け!$A:$AZ,118,J$3)),1),""))</f>
        <v/>
      </c>
      <c r="K119" s="8">
        <f>IF(K$3="","",IFERROR(LEFT(TRIM(INDEX(Forms貼り付け!$A:$AZ,118,K$3)),1),""))</f>
        <v/>
      </c>
      <c r="L119" s="8">
        <f>IF(L$3="","",IFERROR(LEFT(TRIM(INDEX(Forms貼り付け!$A:$AZ,118,L$3)),1),""))</f>
        <v/>
      </c>
      <c r="M119" s="8">
        <f>IF(M$3="","",IFERROR(LEFT(TRIM(INDEX(Forms貼り付け!$A:$AZ,118,M$3)),1),""))</f>
        <v/>
      </c>
      <c r="N119" s="8">
        <f>IF(N$3="","",IFERROR(LEFT(TRIM(INDEX(Forms貼り付け!$A:$AZ,118,N$3)),1),""))</f>
        <v/>
      </c>
      <c r="O119" s="8">
        <f>IF(O$3="","",IFERROR(LEFT(TRIM(INDEX(Forms貼り付け!$A:$AZ,118,O$3)),1),""))</f>
        <v/>
      </c>
      <c r="P119" s="8">
        <f>IF(P$3="","",IFERROR(LEFT(TRIM(INDEX(Forms貼り付け!$A:$AZ,118,P$3)),1),""))</f>
        <v/>
      </c>
      <c r="Q119" s="8">
        <f>IF(Q$3="","",IFERROR(LEFT(TRIM(INDEX(Forms貼り付け!$A:$AZ,118,Q$3)),1),""))</f>
        <v/>
      </c>
      <c r="R119" s="8">
        <f>IF(R$3="","",IFERROR(LEFT(TRIM(INDEX(Forms貼り付け!$A:$AZ,118,R$3)),1),""))</f>
        <v/>
      </c>
      <c r="S119" s="8">
        <f>IF(S$3="","",IFERROR(LEFT(TRIM(INDEX(Forms貼り付け!$A:$AZ,118,S$3)),1),""))</f>
        <v/>
      </c>
      <c r="T119" s="8">
        <f>IF(T$3="","",IFERROR(LEFT(TRIM(INDEX(Forms貼り付け!$A:$AZ,118,T$3)),1),""))</f>
        <v/>
      </c>
      <c r="U119" s="8">
        <f>IF(U$3="","",IFERROR(LEFT(TRIM(INDEX(Forms貼り付け!$A:$AZ,118,U$3)),1),""))</f>
        <v/>
      </c>
      <c r="V119" s="8">
        <f>IF(V$3="","",IFERROR(LEFT(TRIM(INDEX(Forms貼り付け!$A:$AZ,118,V$3)),1),""))</f>
        <v/>
      </c>
      <c r="W119" s="8">
        <f>IF(W$3="","",IFERROR(LEFT(TRIM(INDEX(Forms貼り付け!$A:$AZ,118,W$3)),1),""))</f>
        <v/>
      </c>
      <c r="X119" s="8">
        <f>IF(X$3="","",IFERROR(LEFT(TRIM(INDEX(Forms貼り付け!$A:$AZ,118,X$3)),1),""))</f>
        <v/>
      </c>
      <c r="Y119" s="8">
        <f>IF(Y$3="","",IFERROR(LEFT(TRIM(INDEX(Forms貼り付け!$A:$AZ,118,Y$3)),1),""))</f>
        <v/>
      </c>
      <c r="Z119" s="8">
        <f>IF(Z$3="","",IFERROR(LEFT(TRIM(INDEX(Forms貼り付け!$A:$AZ,118,Z$3)),1),""))</f>
        <v/>
      </c>
      <c r="AA119" s="8">
        <f>IF(AA$3="","",IFERROR(LEFT(TRIM(INDEX(Forms貼り付け!$A:$AZ,118,AA$3)),1),""))</f>
        <v/>
      </c>
      <c r="AB119" s="8">
        <f>IF(AB$3="","",IFERROR(LEFT(TRIM(INDEX(Forms貼り付け!$A:$AZ,118,AB$3)),1),""))</f>
        <v/>
      </c>
      <c r="AC119" s="8">
        <f>IF(AC$3="","",IFERROR(LEFT(TRIM(INDEX(Forms貼り付け!$A:$AZ,118,AC$3)),1),""))</f>
        <v/>
      </c>
      <c r="AD119" s="8">
        <f>IF(AD$3="","",IFERROR(LEFT(TRIM(INDEX(Forms貼り付け!$A:$AZ,118,AD$3)),1),""))</f>
        <v/>
      </c>
      <c r="AE119" s="8">
        <f>IF(AE$3="","",IFERROR(LEFT(TRIM(INDEX(Forms貼り付け!$A:$AZ,118,AE$3)),1),""))</f>
        <v/>
      </c>
      <c r="AF119" s="8">
        <f>IF(AF$3="","",IFERROR(LEFT(TRIM(INDEX(Forms貼り付け!$A:$AZ,118,AF$3)),1),""))</f>
        <v/>
      </c>
      <c r="AG119" s="8">
        <f>IF(AG$3="","",IFERROR(LEFT(TRIM(INDEX(Forms貼り付け!$A:$AZ,118,AG$3)),1),""))</f>
        <v/>
      </c>
      <c r="AH119" s="8">
        <f>IF(AH$3="","",IFERROR(LEFT(TRIM(INDEX(Forms貼り付け!$A:$AZ,118,AH$3)),1),""))</f>
        <v/>
      </c>
      <c r="AI119" s="8">
        <f>IF(AI$3="","",IFERROR(LEFT(TRIM(INDEX(Forms貼り付け!$A:$AZ,118,AI$3)),1),""))</f>
        <v/>
      </c>
      <c r="AJ119" s="8">
        <f>IF(AJ$3="","",IFERROR(LEFT(TRIM(INDEX(Forms貼り付け!$A:$AZ,118,AJ$3)),1),""))</f>
        <v/>
      </c>
      <c r="AK119" s="8">
        <f>IF(AK$3="","",IFERROR(LEFT(TRIM(INDEX(Forms貼り付け!$A:$AZ,118,AK$3)),1),""))</f>
        <v/>
      </c>
      <c r="AL119" s="8">
        <f>IF(AL$3="","",IFERROR(LEFT(TRIM(INDEX(Forms貼り付け!$A:$AZ,118,AL$3)),1),""))</f>
        <v/>
      </c>
      <c r="AM119" s="8">
        <f>IF(AM$3="","",IFERROR(LEFT(TRIM(INDEX(Forms貼り付け!$A:$AZ,118,AM$3)),1),""))</f>
        <v/>
      </c>
      <c r="AN119" s="8">
        <f>IF(AN$3="","",IFERROR(LEFT(TRIM(INDEX(Forms貼り付け!$A:$AZ,118,AN$3)),1),""))</f>
        <v/>
      </c>
      <c r="AO119" s="8">
        <f>IF(AO$3="","",IFERROR(LEFT(TRIM(INDEX(Forms貼り付け!$A:$AZ,118,AO$3)),1),""))</f>
        <v/>
      </c>
      <c r="AP119" s="8">
        <f>IF(AP$3="","",IFERROR(LEFT(TRIM(INDEX(Forms貼り付け!$A:$AZ,118,AP$3)),1),""))</f>
        <v/>
      </c>
      <c r="AQ119" s="8">
        <f>IF(AQ$3="","",IFERROR(LEFT(TRIM(INDEX(Forms貼り付け!$A:$AZ,118,AQ$3)),1),""))</f>
        <v/>
      </c>
      <c r="AR119" s="8">
        <f>IF(AR$3="","",IFERROR(LEFT(TRIM(INDEX(Forms貼り付け!$A:$AZ,118,AR$3)),1),""))</f>
        <v/>
      </c>
      <c r="AS119" s="8">
        <f>IF(AS$3="","",IFERROR(LEFT(TRIM(INDEX(Forms貼り付け!$A:$AZ,118,AS$3)),1),""))</f>
        <v/>
      </c>
      <c r="AT119" s="8">
        <f>IF(AT$3="","",IFERROR(LEFT(TRIM(INDEX(Forms貼り付け!$A:$AZ,118,AT$3)),1),""))</f>
        <v/>
      </c>
      <c r="AU119" s="8">
        <f>IF(AU$3="","",IFERROR(LEFT(TRIM(INDEX(Forms貼り付け!$A:$AZ,118,AU$3)),1),""))</f>
        <v/>
      </c>
      <c r="AV119" s="8">
        <f>IF(AV$3="","",IFERROR(LEFT(TRIM(INDEX(Forms貼り付け!$A:$AZ,118,AV$3)),1),""))</f>
        <v/>
      </c>
      <c r="AW119" s="8">
        <f>IF(AW$3="","",IFERROR(LEFT(TRIM(INDEX(Forms貼り付け!$A:$AZ,118,AW$3)),1),""))</f>
        <v/>
      </c>
      <c r="AX119" s="8">
        <f>IF(AX$3="","",IFERROR(LEFT(TRIM(INDEX(Forms貼り付け!$A:$AZ,118,AX$3)),1),""))</f>
        <v/>
      </c>
      <c r="AY119" s="8">
        <f>IF(AY$3="","",IFERROR(LEFT(TRIM(INDEX(Forms貼り付け!$A:$AZ,118,AY$3)),1),""))</f>
        <v/>
      </c>
      <c r="AZ119" s="8">
        <f>IF(AZ$3="","",IFERROR(LEFT(TRIM(INDEX(Forms貼り付け!$A:$AZ,118,AZ$3)),1),""))</f>
        <v/>
      </c>
      <c r="BA119" s="8">
        <f>IF(BA$3="","",IFERROR(LEFT(TRIM(INDEX(Forms貼り付け!$A:$AZ,118,BA$3)),1),""))</f>
        <v/>
      </c>
      <c r="BB119" s="8">
        <f>IF(BB$3="","",IFERROR(LEFT(TRIM(INDEX(Forms貼り付け!$A:$AZ,118,BB$3)),1),""))</f>
        <v/>
      </c>
      <c r="BC119" s="8">
        <f>IF(BC$3="","",IFERROR(LEFT(TRIM(INDEX(Forms貼り付け!$A:$AZ,118,BC$3)),1),""))</f>
        <v/>
      </c>
    </row>
    <row r="120">
      <c r="A120" s="8" t="inlineStr">
        <is>
          <t>U116</t>
        </is>
      </c>
      <c r="B120" s="9">
        <f>IF($B$3="","",INDEX(Forms貼り付け!$A:$AZ,119,$B$3))</f>
        <v/>
      </c>
      <c r="C120" s="9">
        <f>IF($C$3="","",INDEX(Forms貼り付け!$A:$AZ,119,$C$3))</f>
        <v/>
      </c>
      <c r="D120" s="8">
        <f>IF($D$3="","",INDEX(Forms貼り付け!$A:$AZ,119,$D$3))</f>
        <v/>
      </c>
      <c r="E120" s="8">
        <f>IF($E$3="","",INDEX(Forms貼り付け!$A:$AZ,119,$E$3))</f>
        <v/>
      </c>
      <c r="F120" s="8">
        <f>IF(F$3="","",IFERROR(LEFT(TRIM(INDEX(Forms貼り付け!$A:$AZ,119,F$3)),1),""))</f>
        <v/>
      </c>
      <c r="G120" s="8">
        <f>IF(G$3="","",IFERROR(LEFT(TRIM(INDEX(Forms貼り付け!$A:$AZ,119,G$3)),1),""))</f>
        <v/>
      </c>
      <c r="H120" s="8">
        <f>IF(H$3="","",IFERROR(LEFT(TRIM(INDEX(Forms貼り付け!$A:$AZ,119,H$3)),1),""))</f>
        <v/>
      </c>
      <c r="I120" s="8">
        <f>IF(I$3="","",IFERROR(LEFT(TRIM(INDEX(Forms貼り付け!$A:$AZ,119,I$3)),1),""))</f>
        <v/>
      </c>
      <c r="J120" s="8">
        <f>IF(J$3="","",IFERROR(LEFT(TRIM(INDEX(Forms貼り付け!$A:$AZ,119,J$3)),1),""))</f>
        <v/>
      </c>
      <c r="K120" s="8">
        <f>IF(K$3="","",IFERROR(LEFT(TRIM(INDEX(Forms貼り付け!$A:$AZ,119,K$3)),1),""))</f>
        <v/>
      </c>
      <c r="L120" s="8">
        <f>IF(L$3="","",IFERROR(LEFT(TRIM(INDEX(Forms貼り付け!$A:$AZ,119,L$3)),1),""))</f>
        <v/>
      </c>
      <c r="M120" s="8">
        <f>IF(M$3="","",IFERROR(LEFT(TRIM(INDEX(Forms貼り付け!$A:$AZ,119,M$3)),1),""))</f>
        <v/>
      </c>
      <c r="N120" s="8">
        <f>IF(N$3="","",IFERROR(LEFT(TRIM(INDEX(Forms貼り付け!$A:$AZ,119,N$3)),1),""))</f>
        <v/>
      </c>
      <c r="O120" s="8">
        <f>IF(O$3="","",IFERROR(LEFT(TRIM(INDEX(Forms貼り付け!$A:$AZ,119,O$3)),1),""))</f>
        <v/>
      </c>
      <c r="P120" s="8">
        <f>IF(P$3="","",IFERROR(LEFT(TRIM(INDEX(Forms貼り付け!$A:$AZ,119,P$3)),1),""))</f>
        <v/>
      </c>
      <c r="Q120" s="8">
        <f>IF(Q$3="","",IFERROR(LEFT(TRIM(INDEX(Forms貼り付け!$A:$AZ,119,Q$3)),1),""))</f>
        <v/>
      </c>
      <c r="R120" s="8">
        <f>IF(R$3="","",IFERROR(LEFT(TRIM(INDEX(Forms貼り付け!$A:$AZ,119,R$3)),1),""))</f>
        <v/>
      </c>
      <c r="S120" s="8">
        <f>IF(S$3="","",IFERROR(LEFT(TRIM(INDEX(Forms貼り付け!$A:$AZ,119,S$3)),1),""))</f>
        <v/>
      </c>
      <c r="T120" s="8">
        <f>IF(T$3="","",IFERROR(LEFT(TRIM(INDEX(Forms貼り付け!$A:$AZ,119,T$3)),1),""))</f>
        <v/>
      </c>
      <c r="U120" s="8">
        <f>IF(U$3="","",IFERROR(LEFT(TRIM(INDEX(Forms貼り付け!$A:$AZ,119,U$3)),1),""))</f>
        <v/>
      </c>
      <c r="V120" s="8">
        <f>IF(V$3="","",IFERROR(LEFT(TRIM(INDEX(Forms貼り付け!$A:$AZ,119,V$3)),1),""))</f>
        <v/>
      </c>
      <c r="W120" s="8">
        <f>IF(W$3="","",IFERROR(LEFT(TRIM(INDEX(Forms貼り付け!$A:$AZ,119,W$3)),1),""))</f>
        <v/>
      </c>
      <c r="X120" s="8">
        <f>IF(X$3="","",IFERROR(LEFT(TRIM(INDEX(Forms貼り付け!$A:$AZ,119,X$3)),1),""))</f>
        <v/>
      </c>
      <c r="Y120" s="8">
        <f>IF(Y$3="","",IFERROR(LEFT(TRIM(INDEX(Forms貼り付け!$A:$AZ,119,Y$3)),1),""))</f>
        <v/>
      </c>
      <c r="Z120" s="8">
        <f>IF(Z$3="","",IFERROR(LEFT(TRIM(INDEX(Forms貼り付け!$A:$AZ,119,Z$3)),1),""))</f>
        <v/>
      </c>
      <c r="AA120" s="8">
        <f>IF(AA$3="","",IFERROR(LEFT(TRIM(INDEX(Forms貼り付け!$A:$AZ,119,AA$3)),1),""))</f>
        <v/>
      </c>
      <c r="AB120" s="8">
        <f>IF(AB$3="","",IFERROR(LEFT(TRIM(INDEX(Forms貼り付け!$A:$AZ,119,AB$3)),1),""))</f>
        <v/>
      </c>
      <c r="AC120" s="8">
        <f>IF(AC$3="","",IFERROR(LEFT(TRIM(INDEX(Forms貼り付け!$A:$AZ,119,AC$3)),1),""))</f>
        <v/>
      </c>
      <c r="AD120" s="8">
        <f>IF(AD$3="","",IFERROR(LEFT(TRIM(INDEX(Forms貼り付け!$A:$AZ,119,AD$3)),1),""))</f>
        <v/>
      </c>
      <c r="AE120" s="8">
        <f>IF(AE$3="","",IFERROR(LEFT(TRIM(INDEX(Forms貼り付け!$A:$AZ,119,AE$3)),1),""))</f>
        <v/>
      </c>
      <c r="AF120" s="8">
        <f>IF(AF$3="","",IFERROR(LEFT(TRIM(INDEX(Forms貼り付け!$A:$AZ,119,AF$3)),1),""))</f>
        <v/>
      </c>
      <c r="AG120" s="8">
        <f>IF(AG$3="","",IFERROR(LEFT(TRIM(INDEX(Forms貼り付け!$A:$AZ,119,AG$3)),1),""))</f>
        <v/>
      </c>
      <c r="AH120" s="8">
        <f>IF(AH$3="","",IFERROR(LEFT(TRIM(INDEX(Forms貼り付け!$A:$AZ,119,AH$3)),1),""))</f>
        <v/>
      </c>
      <c r="AI120" s="8">
        <f>IF(AI$3="","",IFERROR(LEFT(TRIM(INDEX(Forms貼り付け!$A:$AZ,119,AI$3)),1),""))</f>
        <v/>
      </c>
      <c r="AJ120" s="8">
        <f>IF(AJ$3="","",IFERROR(LEFT(TRIM(INDEX(Forms貼り付け!$A:$AZ,119,AJ$3)),1),""))</f>
        <v/>
      </c>
      <c r="AK120" s="8">
        <f>IF(AK$3="","",IFERROR(LEFT(TRIM(INDEX(Forms貼り付け!$A:$AZ,119,AK$3)),1),""))</f>
        <v/>
      </c>
      <c r="AL120" s="8">
        <f>IF(AL$3="","",IFERROR(LEFT(TRIM(INDEX(Forms貼り付け!$A:$AZ,119,AL$3)),1),""))</f>
        <v/>
      </c>
      <c r="AM120" s="8">
        <f>IF(AM$3="","",IFERROR(LEFT(TRIM(INDEX(Forms貼り付け!$A:$AZ,119,AM$3)),1),""))</f>
        <v/>
      </c>
      <c r="AN120" s="8">
        <f>IF(AN$3="","",IFERROR(LEFT(TRIM(INDEX(Forms貼り付け!$A:$AZ,119,AN$3)),1),""))</f>
        <v/>
      </c>
      <c r="AO120" s="8">
        <f>IF(AO$3="","",IFERROR(LEFT(TRIM(INDEX(Forms貼り付け!$A:$AZ,119,AO$3)),1),""))</f>
        <v/>
      </c>
      <c r="AP120" s="8">
        <f>IF(AP$3="","",IFERROR(LEFT(TRIM(INDEX(Forms貼り付け!$A:$AZ,119,AP$3)),1),""))</f>
        <v/>
      </c>
      <c r="AQ120" s="8">
        <f>IF(AQ$3="","",IFERROR(LEFT(TRIM(INDEX(Forms貼り付け!$A:$AZ,119,AQ$3)),1),""))</f>
        <v/>
      </c>
      <c r="AR120" s="8">
        <f>IF(AR$3="","",IFERROR(LEFT(TRIM(INDEX(Forms貼り付け!$A:$AZ,119,AR$3)),1),""))</f>
        <v/>
      </c>
      <c r="AS120" s="8">
        <f>IF(AS$3="","",IFERROR(LEFT(TRIM(INDEX(Forms貼り付け!$A:$AZ,119,AS$3)),1),""))</f>
        <v/>
      </c>
      <c r="AT120" s="8">
        <f>IF(AT$3="","",IFERROR(LEFT(TRIM(INDEX(Forms貼り付け!$A:$AZ,119,AT$3)),1),""))</f>
        <v/>
      </c>
      <c r="AU120" s="8">
        <f>IF(AU$3="","",IFERROR(LEFT(TRIM(INDEX(Forms貼り付け!$A:$AZ,119,AU$3)),1),""))</f>
        <v/>
      </c>
      <c r="AV120" s="8">
        <f>IF(AV$3="","",IFERROR(LEFT(TRIM(INDEX(Forms貼り付け!$A:$AZ,119,AV$3)),1),""))</f>
        <v/>
      </c>
      <c r="AW120" s="8">
        <f>IF(AW$3="","",IFERROR(LEFT(TRIM(INDEX(Forms貼り付け!$A:$AZ,119,AW$3)),1),""))</f>
        <v/>
      </c>
      <c r="AX120" s="8">
        <f>IF(AX$3="","",IFERROR(LEFT(TRIM(INDEX(Forms貼り付け!$A:$AZ,119,AX$3)),1),""))</f>
        <v/>
      </c>
      <c r="AY120" s="8">
        <f>IF(AY$3="","",IFERROR(LEFT(TRIM(INDEX(Forms貼り付け!$A:$AZ,119,AY$3)),1),""))</f>
        <v/>
      </c>
      <c r="AZ120" s="8">
        <f>IF(AZ$3="","",IFERROR(LEFT(TRIM(INDEX(Forms貼り付け!$A:$AZ,119,AZ$3)),1),""))</f>
        <v/>
      </c>
      <c r="BA120" s="8">
        <f>IF(BA$3="","",IFERROR(LEFT(TRIM(INDEX(Forms貼り付け!$A:$AZ,119,BA$3)),1),""))</f>
        <v/>
      </c>
      <c r="BB120" s="8">
        <f>IF(BB$3="","",IFERROR(LEFT(TRIM(INDEX(Forms貼り付け!$A:$AZ,119,BB$3)),1),""))</f>
        <v/>
      </c>
      <c r="BC120" s="8">
        <f>IF(BC$3="","",IFERROR(LEFT(TRIM(INDEX(Forms貼り付け!$A:$AZ,119,BC$3)),1),""))</f>
        <v/>
      </c>
    </row>
    <row r="121">
      <c r="A121" s="8" t="inlineStr">
        <is>
          <t>U117</t>
        </is>
      </c>
      <c r="B121" s="9">
        <f>IF($B$3="","",INDEX(Forms貼り付け!$A:$AZ,120,$B$3))</f>
        <v/>
      </c>
      <c r="C121" s="9">
        <f>IF($C$3="","",INDEX(Forms貼り付け!$A:$AZ,120,$C$3))</f>
        <v/>
      </c>
      <c r="D121" s="8">
        <f>IF($D$3="","",INDEX(Forms貼り付け!$A:$AZ,120,$D$3))</f>
        <v/>
      </c>
      <c r="E121" s="8">
        <f>IF($E$3="","",INDEX(Forms貼り付け!$A:$AZ,120,$E$3))</f>
        <v/>
      </c>
      <c r="F121" s="8">
        <f>IF(F$3="","",IFERROR(LEFT(TRIM(INDEX(Forms貼り付け!$A:$AZ,120,F$3)),1),""))</f>
        <v/>
      </c>
      <c r="G121" s="8">
        <f>IF(G$3="","",IFERROR(LEFT(TRIM(INDEX(Forms貼り付け!$A:$AZ,120,G$3)),1),""))</f>
        <v/>
      </c>
      <c r="H121" s="8">
        <f>IF(H$3="","",IFERROR(LEFT(TRIM(INDEX(Forms貼り付け!$A:$AZ,120,H$3)),1),""))</f>
        <v/>
      </c>
      <c r="I121" s="8">
        <f>IF(I$3="","",IFERROR(LEFT(TRIM(INDEX(Forms貼り付け!$A:$AZ,120,I$3)),1),""))</f>
        <v/>
      </c>
      <c r="J121" s="8">
        <f>IF(J$3="","",IFERROR(LEFT(TRIM(INDEX(Forms貼り付け!$A:$AZ,120,J$3)),1),""))</f>
        <v/>
      </c>
      <c r="K121" s="8">
        <f>IF(K$3="","",IFERROR(LEFT(TRIM(INDEX(Forms貼り付け!$A:$AZ,120,K$3)),1),""))</f>
        <v/>
      </c>
      <c r="L121" s="8">
        <f>IF(L$3="","",IFERROR(LEFT(TRIM(INDEX(Forms貼り付け!$A:$AZ,120,L$3)),1),""))</f>
        <v/>
      </c>
      <c r="M121" s="8">
        <f>IF(M$3="","",IFERROR(LEFT(TRIM(INDEX(Forms貼り付け!$A:$AZ,120,M$3)),1),""))</f>
        <v/>
      </c>
      <c r="N121" s="8">
        <f>IF(N$3="","",IFERROR(LEFT(TRIM(INDEX(Forms貼り付け!$A:$AZ,120,N$3)),1),""))</f>
        <v/>
      </c>
      <c r="O121" s="8">
        <f>IF(O$3="","",IFERROR(LEFT(TRIM(INDEX(Forms貼り付け!$A:$AZ,120,O$3)),1),""))</f>
        <v/>
      </c>
      <c r="P121" s="8">
        <f>IF(P$3="","",IFERROR(LEFT(TRIM(INDEX(Forms貼り付け!$A:$AZ,120,P$3)),1),""))</f>
        <v/>
      </c>
      <c r="Q121" s="8">
        <f>IF(Q$3="","",IFERROR(LEFT(TRIM(INDEX(Forms貼り付け!$A:$AZ,120,Q$3)),1),""))</f>
        <v/>
      </c>
      <c r="R121" s="8">
        <f>IF(R$3="","",IFERROR(LEFT(TRIM(INDEX(Forms貼り付け!$A:$AZ,120,R$3)),1),""))</f>
        <v/>
      </c>
      <c r="S121" s="8">
        <f>IF(S$3="","",IFERROR(LEFT(TRIM(INDEX(Forms貼り付け!$A:$AZ,120,S$3)),1),""))</f>
        <v/>
      </c>
      <c r="T121" s="8">
        <f>IF(T$3="","",IFERROR(LEFT(TRIM(INDEX(Forms貼り付け!$A:$AZ,120,T$3)),1),""))</f>
        <v/>
      </c>
      <c r="U121" s="8">
        <f>IF(U$3="","",IFERROR(LEFT(TRIM(INDEX(Forms貼り付け!$A:$AZ,120,U$3)),1),""))</f>
        <v/>
      </c>
      <c r="V121" s="8">
        <f>IF(V$3="","",IFERROR(LEFT(TRIM(INDEX(Forms貼り付け!$A:$AZ,120,V$3)),1),""))</f>
        <v/>
      </c>
      <c r="W121" s="8">
        <f>IF(W$3="","",IFERROR(LEFT(TRIM(INDEX(Forms貼り付け!$A:$AZ,120,W$3)),1),""))</f>
        <v/>
      </c>
      <c r="X121" s="8">
        <f>IF(X$3="","",IFERROR(LEFT(TRIM(INDEX(Forms貼り付け!$A:$AZ,120,X$3)),1),""))</f>
        <v/>
      </c>
      <c r="Y121" s="8">
        <f>IF(Y$3="","",IFERROR(LEFT(TRIM(INDEX(Forms貼り付け!$A:$AZ,120,Y$3)),1),""))</f>
        <v/>
      </c>
      <c r="Z121" s="8">
        <f>IF(Z$3="","",IFERROR(LEFT(TRIM(INDEX(Forms貼り付け!$A:$AZ,120,Z$3)),1),""))</f>
        <v/>
      </c>
      <c r="AA121" s="8">
        <f>IF(AA$3="","",IFERROR(LEFT(TRIM(INDEX(Forms貼り付け!$A:$AZ,120,AA$3)),1),""))</f>
        <v/>
      </c>
      <c r="AB121" s="8">
        <f>IF(AB$3="","",IFERROR(LEFT(TRIM(INDEX(Forms貼り付け!$A:$AZ,120,AB$3)),1),""))</f>
        <v/>
      </c>
      <c r="AC121" s="8">
        <f>IF(AC$3="","",IFERROR(LEFT(TRIM(INDEX(Forms貼り付け!$A:$AZ,120,AC$3)),1),""))</f>
        <v/>
      </c>
      <c r="AD121" s="8">
        <f>IF(AD$3="","",IFERROR(LEFT(TRIM(INDEX(Forms貼り付け!$A:$AZ,120,AD$3)),1),""))</f>
        <v/>
      </c>
      <c r="AE121" s="8">
        <f>IF(AE$3="","",IFERROR(LEFT(TRIM(INDEX(Forms貼り付け!$A:$AZ,120,AE$3)),1),""))</f>
        <v/>
      </c>
      <c r="AF121" s="8">
        <f>IF(AF$3="","",IFERROR(LEFT(TRIM(INDEX(Forms貼り付け!$A:$AZ,120,AF$3)),1),""))</f>
        <v/>
      </c>
      <c r="AG121" s="8">
        <f>IF(AG$3="","",IFERROR(LEFT(TRIM(INDEX(Forms貼り付け!$A:$AZ,120,AG$3)),1),""))</f>
        <v/>
      </c>
      <c r="AH121" s="8">
        <f>IF(AH$3="","",IFERROR(LEFT(TRIM(INDEX(Forms貼り付け!$A:$AZ,120,AH$3)),1),""))</f>
        <v/>
      </c>
      <c r="AI121" s="8">
        <f>IF(AI$3="","",IFERROR(LEFT(TRIM(INDEX(Forms貼り付け!$A:$AZ,120,AI$3)),1),""))</f>
        <v/>
      </c>
      <c r="AJ121" s="8">
        <f>IF(AJ$3="","",IFERROR(LEFT(TRIM(INDEX(Forms貼り付け!$A:$AZ,120,AJ$3)),1),""))</f>
        <v/>
      </c>
      <c r="AK121" s="8">
        <f>IF(AK$3="","",IFERROR(LEFT(TRIM(INDEX(Forms貼り付け!$A:$AZ,120,AK$3)),1),""))</f>
        <v/>
      </c>
      <c r="AL121" s="8">
        <f>IF(AL$3="","",IFERROR(LEFT(TRIM(INDEX(Forms貼り付け!$A:$AZ,120,AL$3)),1),""))</f>
        <v/>
      </c>
      <c r="AM121" s="8">
        <f>IF(AM$3="","",IFERROR(LEFT(TRIM(INDEX(Forms貼り付け!$A:$AZ,120,AM$3)),1),""))</f>
        <v/>
      </c>
      <c r="AN121" s="8">
        <f>IF(AN$3="","",IFERROR(LEFT(TRIM(INDEX(Forms貼り付け!$A:$AZ,120,AN$3)),1),""))</f>
        <v/>
      </c>
      <c r="AO121" s="8">
        <f>IF(AO$3="","",IFERROR(LEFT(TRIM(INDEX(Forms貼り付け!$A:$AZ,120,AO$3)),1),""))</f>
        <v/>
      </c>
      <c r="AP121" s="8">
        <f>IF(AP$3="","",IFERROR(LEFT(TRIM(INDEX(Forms貼り付け!$A:$AZ,120,AP$3)),1),""))</f>
        <v/>
      </c>
      <c r="AQ121" s="8">
        <f>IF(AQ$3="","",IFERROR(LEFT(TRIM(INDEX(Forms貼り付け!$A:$AZ,120,AQ$3)),1),""))</f>
        <v/>
      </c>
      <c r="AR121" s="8">
        <f>IF(AR$3="","",IFERROR(LEFT(TRIM(INDEX(Forms貼り付け!$A:$AZ,120,AR$3)),1),""))</f>
        <v/>
      </c>
      <c r="AS121" s="8">
        <f>IF(AS$3="","",IFERROR(LEFT(TRIM(INDEX(Forms貼り付け!$A:$AZ,120,AS$3)),1),""))</f>
        <v/>
      </c>
      <c r="AT121" s="8">
        <f>IF(AT$3="","",IFERROR(LEFT(TRIM(INDEX(Forms貼り付け!$A:$AZ,120,AT$3)),1),""))</f>
        <v/>
      </c>
      <c r="AU121" s="8">
        <f>IF(AU$3="","",IFERROR(LEFT(TRIM(INDEX(Forms貼り付け!$A:$AZ,120,AU$3)),1),""))</f>
        <v/>
      </c>
      <c r="AV121" s="8">
        <f>IF(AV$3="","",IFERROR(LEFT(TRIM(INDEX(Forms貼り付け!$A:$AZ,120,AV$3)),1),""))</f>
        <v/>
      </c>
      <c r="AW121" s="8">
        <f>IF(AW$3="","",IFERROR(LEFT(TRIM(INDEX(Forms貼り付け!$A:$AZ,120,AW$3)),1),""))</f>
        <v/>
      </c>
      <c r="AX121" s="8">
        <f>IF(AX$3="","",IFERROR(LEFT(TRIM(INDEX(Forms貼り付け!$A:$AZ,120,AX$3)),1),""))</f>
        <v/>
      </c>
      <c r="AY121" s="8">
        <f>IF(AY$3="","",IFERROR(LEFT(TRIM(INDEX(Forms貼り付け!$A:$AZ,120,AY$3)),1),""))</f>
        <v/>
      </c>
      <c r="AZ121" s="8">
        <f>IF(AZ$3="","",IFERROR(LEFT(TRIM(INDEX(Forms貼り付け!$A:$AZ,120,AZ$3)),1),""))</f>
        <v/>
      </c>
      <c r="BA121" s="8">
        <f>IF(BA$3="","",IFERROR(LEFT(TRIM(INDEX(Forms貼り付け!$A:$AZ,120,BA$3)),1),""))</f>
        <v/>
      </c>
      <c r="BB121" s="8">
        <f>IF(BB$3="","",IFERROR(LEFT(TRIM(INDEX(Forms貼り付け!$A:$AZ,120,BB$3)),1),""))</f>
        <v/>
      </c>
      <c r="BC121" s="8">
        <f>IF(BC$3="","",IFERROR(LEFT(TRIM(INDEX(Forms貼り付け!$A:$AZ,120,BC$3)),1),""))</f>
        <v/>
      </c>
    </row>
    <row r="122">
      <c r="A122" s="8" t="inlineStr">
        <is>
          <t>U118</t>
        </is>
      </c>
      <c r="B122" s="9">
        <f>IF($B$3="","",INDEX(Forms貼り付け!$A:$AZ,121,$B$3))</f>
        <v/>
      </c>
      <c r="C122" s="9">
        <f>IF($C$3="","",INDEX(Forms貼り付け!$A:$AZ,121,$C$3))</f>
        <v/>
      </c>
      <c r="D122" s="8">
        <f>IF($D$3="","",INDEX(Forms貼り付け!$A:$AZ,121,$D$3))</f>
        <v/>
      </c>
      <c r="E122" s="8">
        <f>IF($E$3="","",INDEX(Forms貼り付け!$A:$AZ,121,$E$3))</f>
        <v/>
      </c>
      <c r="F122" s="8">
        <f>IF(F$3="","",IFERROR(LEFT(TRIM(INDEX(Forms貼り付け!$A:$AZ,121,F$3)),1),""))</f>
        <v/>
      </c>
      <c r="G122" s="8">
        <f>IF(G$3="","",IFERROR(LEFT(TRIM(INDEX(Forms貼り付け!$A:$AZ,121,G$3)),1),""))</f>
        <v/>
      </c>
      <c r="H122" s="8">
        <f>IF(H$3="","",IFERROR(LEFT(TRIM(INDEX(Forms貼り付け!$A:$AZ,121,H$3)),1),""))</f>
        <v/>
      </c>
      <c r="I122" s="8">
        <f>IF(I$3="","",IFERROR(LEFT(TRIM(INDEX(Forms貼り付け!$A:$AZ,121,I$3)),1),""))</f>
        <v/>
      </c>
      <c r="J122" s="8">
        <f>IF(J$3="","",IFERROR(LEFT(TRIM(INDEX(Forms貼り付け!$A:$AZ,121,J$3)),1),""))</f>
        <v/>
      </c>
      <c r="K122" s="8">
        <f>IF(K$3="","",IFERROR(LEFT(TRIM(INDEX(Forms貼り付け!$A:$AZ,121,K$3)),1),""))</f>
        <v/>
      </c>
      <c r="L122" s="8">
        <f>IF(L$3="","",IFERROR(LEFT(TRIM(INDEX(Forms貼り付け!$A:$AZ,121,L$3)),1),""))</f>
        <v/>
      </c>
      <c r="M122" s="8">
        <f>IF(M$3="","",IFERROR(LEFT(TRIM(INDEX(Forms貼り付け!$A:$AZ,121,M$3)),1),""))</f>
        <v/>
      </c>
      <c r="N122" s="8">
        <f>IF(N$3="","",IFERROR(LEFT(TRIM(INDEX(Forms貼り付け!$A:$AZ,121,N$3)),1),""))</f>
        <v/>
      </c>
      <c r="O122" s="8">
        <f>IF(O$3="","",IFERROR(LEFT(TRIM(INDEX(Forms貼り付け!$A:$AZ,121,O$3)),1),""))</f>
        <v/>
      </c>
      <c r="P122" s="8">
        <f>IF(P$3="","",IFERROR(LEFT(TRIM(INDEX(Forms貼り付け!$A:$AZ,121,P$3)),1),""))</f>
        <v/>
      </c>
      <c r="Q122" s="8">
        <f>IF(Q$3="","",IFERROR(LEFT(TRIM(INDEX(Forms貼り付け!$A:$AZ,121,Q$3)),1),""))</f>
        <v/>
      </c>
      <c r="R122" s="8">
        <f>IF(R$3="","",IFERROR(LEFT(TRIM(INDEX(Forms貼り付け!$A:$AZ,121,R$3)),1),""))</f>
        <v/>
      </c>
      <c r="S122" s="8">
        <f>IF(S$3="","",IFERROR(LEFT(TRIM(INDEX(Forms貼り付け!$A:$AZ,121,S$3)),1),""))</f>
        <v/>
      </c>
      <c r="T122" s="8">
        <f>IF(T$3="","",IFERROR(LEFT(TRIM(INDEX(Forms貼り付け!$A:$AZ,121,T$3)),1),""))</f>
        <v/>
      </c>
      <c r="U122" s="8">
        <f>IF(U$3="","",IFERROR(LEFT(TRIM(INDEX(Forms貼り付け!$A:$AZ,121,U$3)),1),""))</f>
        <v/>
      </c>
      <c r="V122" s="8">
        <f>IF(V$3="","",IFERROR(LEFT(TRIM(INDEX(Forms貼り付け!$A:$AZ,121,V$3)),1),""))</f>
        <v/>
      </c>
      <c r="W122" s="8">
        <f>IF(W$3="","",IFERROR(LEFT(TRIM(INDEX(Forms貼り付け!$A:$AZ,121,W$3)),1),""))</f>
        <v/>
      </c>
      <c r="X122" s="8">
        <f>IF(X$3="","",IFERROR(LEFT(TRIM(INDEX(Forms貼り付け!$A:$AZ,121,X$3)),1),""))</f>
        <v/>
      </c>
      <c r="Y122" s="8">
        <f>IF(Y$3="","",IFERROR(LEFT(TRIM(INDEX(Forms貼り付け!$A:$AZ,121,Y$3)),1),""))</f>
        <v/>
      </c>
      <c r="Z122" s="8">
        <f>IF(Z$3="","",IFERROR(LEFT(TRIM(INDEX(Forms貼り付け!$A:$AZ,121,Z$3)),1),""))</f>
        <v/>
      </c>
      <c r="AA122" s="8">
        <f>IF(AA$3="","",IFERROR(LEFT(TRIM(INDEX(Forms貼り付け!$A:$AZ,121,AA$3)),1),""))</f>
        <v/>
      </c>
      <c r="AB122" s="8">
        <f>IF(AB$3="","",IFERROR(LEFT(TRIM(INDEX(Forms貼り付け!$A:$AZ,121,AB$3)),1),""))</f>
        <v/>
      </c>
      <c r="AC122" s="8">
        <f>IF(AC$3="","",IFERROR(LEFT(TRIM(INDEX(Forms貼り付け!$A:$AZ,121,AC$3)),1),""))</f>
        <v/>
      </c>
      <c r="AD122" s="8">
        <f>IF(AD$3="","",IFERROR(LEFT(TRIM(INDEX(Forms貼り付け!$A:$AZ,121,AD$3)),1),""))</f>
        <v/>
      </c>
      <c r="AE122" s="8">
        <f>IF(AE$3="","",IFERROR(LEFT(TRIM(INDEX(Forms貼り付け!$A:$AZ,121,AE$3)),1),""))</f>
        <v/>
      </c>
      <c r="AF122" s="8">
        <f>IF(AF$3="","",IFERROR(LEFT(TRIM(INDEX(Forms貼り付け!$A:$AZ,121,AF$3)),1),""))</f>
        <v/>
      </c>
      <c r="AG122" s="8">
        <f>IF(AG$3="","",IFERROR(LEFT(TRIM(INDEX(Forms貼り付け!$A:$AZ,121,AG$3)),1),""))</f>
        <v/>
      </c>
      <c r="AH122" s="8">
        <f>IF(AH$3="","",IFERROR(LEFT(TRIM(INDEX(Forms貼り付け!$A:$AZ,121,AH$3)),1),""))</f>
        <v/>
      </c>
      <c r="AI122" s="8">
        <f>IF(AI$3="","",IFERROR(LEFT(TRIM(INDEX(Forms貼り付け!$A:$AZ,121,AI$3)),1),""))</f>
        <v/>
      </c>
      <c r="AJ122" s="8">
        <f>IF(AJ$3="","",IFERROR(LEFT(TRIM(INDEX(Forms貼り付け!$A:$AZ,121,AJ$3)),1),""))</f>
        <v/>
      </c>
      <c r="AK122" s="8">
        <f>IF(AK$3="","",IFERROR(LEFT(TRIM(INDEX(Forms貼り付け!$A:$AZ,121,AK$3)),1),""))</f>
        <v/>
      </c>
      <c r="AL122" s="8">
        <f>IF(AL$3="","",IFERROR(LEFT(TRIM(INDEX(Forms貼り付け!$A:$AZ,121,AL$3)),1),""))</f>
        <v/>
      </c>
      <c r="AM122" s="8">
        <f>IF(AM$3="","",IFERROR(LEFT(TRIM(INDEX(Forms貼り付け!$A:$AZ,121,AM$3)),1),""))</f>
        <v/>
      </c>
      <c r="AN122" s="8">
        <f>IF(AN$3="","",IFERROR(LEFT(TRIM(INDEX(Forms貼り付け!$A:$AZ,121,AN$3)),1),""))</f>
        <v/>
      </c>
      <c r="AO122" s="8">
        <f>IF(AO$3="","",IFERROR(LEFT(TRIM(INDEX(Forms貼り付け!$A:$AZ,121,AO$3)),1),""))</f>
        <v/>
      </c>
      <c r="AP122" s="8">
        <f>IF(AP$3="","",IFERROR(LEFT(TRIM(INDEX(Forms貼り付け!$A:$AZ,121,AP$3)),1),""))</f>
        <v/>
      </c>
      <c r="AQ122" s="8">
        <f>IF(AQ$3="","",IFERROR(LEFT(TRIM(INDEX(Forms貼り付け!$A:$AZ,121,AQ$3)),1),""))</f>
        <v/>
      </c>
      <c r="AR122" s="8">
        <f>IF(AR$3="","",IFERROR(LEFT(TRIM(INDEX(Forms貼り付け!$A:$AZ,121,AR$3)),1),""))</f>
        <v/>
      </c>
      <c r="AS122" s="8">
        <f>IF(AS$3="","",IFERROR(LEFT(TRIM(INDEX(Forms貼り付け!$A:$AZ,121,AS$3)),1),""))</f>
        <v/>
      </c>
      <c r="AT122" s="8">
        <f>IF(AT$3="","",IFERROR(LEFT(TRIM(INDEX(Forms貼り付け!$A:$AZ,121,AT$3)),1),""))</f>
        <v/>
      </c>
      <c r="AU122" s="8">
        <f>IF(AU$3="","",IFERROR(LEFT(TRIM(INDEX(Forms貼り付け!$A:$AZ,121,AU$3)),1),""))</f>
        <v/>
      </c>
      <c r="AV122" s="8">
        <f>IF(AV$3="","",IFERROR(LEFT(TRIM(INDEX(Forms貼り付け!$A:$AZ,121,AV$3)),1),""))</f>
        <v/>
      </c>
      <c r="AW122" s="8">
        <f>IF(AW$3="","",IFERROR(LEFT(TRIM(INDEX(Forms貼り付け!$A:$AZ,121,AW$3)),1),""))</f>
        <v/>
      </c>
      <c r="AX122" s="8">
        <f>IF(AX$3="","",IFERROR(LEFT(TRIM(INDEX(Forms貼り付け!$A:$AZ,121,AX$3)),1),""))</f>
        <v/>
      </c>
      <c r="AY122" s="8">
        <f>IF(AY$3="","",IFERROR(LEFT(TRIM(INDEX(Forms貼り付け!$A:$AZ,121,AY$3)),1),""))</f>
        <v/>
      </c>
      <c r="AZ122" s="8">
        <f>IF(AZ$3="","",IFERROR(LEFT(TRIM(INDEX(Forms貼り付け!$A:$AZ,121,AZ$3)),1),""))</f>
        <v/>
      </c>
      <c r="BA122" s="8">
        <f>IF(BA$3="","",IFERROR(LEFT(TRIM(INDEX(Forms貼り付け!$A:$AZ,121,BA$3)),1),""))</f>
        <v/>
      </c>
      <c r="BB122" s="8">
        <f>IF(BB$3="","",IFERROR(LEFT(TRIM(INDEX(Forms貼り付け!$A:$AZ,121,BB$3)),1),""))</f>
        <v/>
      </c>
      <c r="BC122" s="8">
        <f>IF(BC$3="","",IFERROR(LEFT(TRIM(INDEX(Forms貼り付け!$A:$AZ,121,BC$3)),1),""))</f>
        <v/>
      </c>
    </row>
    <row r="123">
      <c r="A123" s="8" t="inlineStr">
        <is>
          <t>U119</t>
        </is>
      </c>
      <c r="B123" s="9">
        <f>IF($B$3="","",INDEX(Forms貼り付け!$A:$AZ,122,$B$3))</f>
        <v/>
      </c>
      <c r="C123" s="9">
        <f>IF($C$3="","",INDEX(Forms貼り付け!$A:$AZ,122,$C$3))</f>
        <v/>
      </c>
      <c r="D123" s="8">
        <f>IF($D$3="","",INDEX(Forms貼り付け!$A:$AZ,122,$D$3))</f>
        <v/>
      </c>
      <c r="E123" s="8">
        <f>IF($E$3="","",INDEX(Forms貼り付け!$A:$AZ,122,$E$3))</f>
        <v/>
      </c>
      <c r="F123" s="8">
        <f>IF(F$3="","",IFERROR(LEFT(TRIM(INDEX(Forms貼り付け!$A:$AZ,122,F$3)),1),""))</f>
        <v/>
      </c>
      <c r="G123" s="8">
        <f>IF(G$3="","",IFERROR(LEFT(TRIM(INDEX(Forms貼り付け!$A:$AZ,122,G$3)),1),""))</f>
        <v/>
      </c>
      <c r="H123" s="8">
        <f>IF(H$3="","",IFERROR(LEFT(TRIM(INDEX(Forms貼り付け!$A:$AZ,122,H$3)),1),""))</f>
        <v/>
      </c>
      <c r="I123" s="8">
        <f>IF(I$3="","",IFERROR(LEFT(TRIM(INDEX(Forms貼り付け!$A:$AZ,122,I$3)),1),""))</f>
        <v/>
      </c>
      <c r="J123" s="8">
        <f>IF(J$3="","",IFERROR(LEFT(TRIM(INDEX(Forms貼り付け!$A:$AZ,122,J$3)),1),""))</f>
        <v/>
      </c>
      <c r="K123" s="8">
        <f>IF(K$3="","",IFERROR(LEFT(TRIM(INDEX(Forms貼り付け!$A:$AZ,122,K$3)),1),""))</f>
        <v/>
      </c>
      <c r="L123" s="8">
        <f>IF(L$3="","",IFERROR(LEFT(TRIM(INDEX(Forms貼り付け!$A:$AZ,122,L$3)),1),""))</f>
        <v/>
      </c>
      <c r="M123" s="8">
        <f>IF(M$3="","",IFERROR(LEFT(TRIM(INDEX(Forms貼り付け!$A:$AZ,122,M$3)),1),""))</f>
        <v/>
      </c>
      <c r="N123" s="8">
        <f>IF(N$3="","",IFERROR(LEFT(TRIM(INDEX(Forms貼り付け!$A:$AZ,122,N$3)),1),""))</f>
        <v/>
      </c>
      <c r="O123" s="8">
        <f>IF(O$3="","",IFERROR(LEFT(TRIM(INDEX(Forms貼り付け!$A:$AZ,122,O$3)),1),""))</f>
        <v/>
      </c>
      <c r="P123" s="8">
        <f>IF(P$3="","",IFERROR(LEFT(TRIM(INDEX(Forms貼り付け!$A:$AZ,122,P$3)),1),""))</f>
        <v/>
      </c>
      <c r="Q123" s="8">
        <f>IF(Q$3="","",IFERROR(LEFT(TRIM(INDEX(Forms貼り付け!$A:$AZ,122,Q$3)),1),""))</f>
        <v/>
      </c>
      <c r="R123" s="8">
        <f>IF(R$3="","",IFERROR(LEFT(TRIM(INDEX(Forms貼り付け!$A:$AZ,122,R$3)),1),""))</f>
        <v/>
      </c>
      <c r="S123" s="8">
        <f>IF(S$3="","",IFERROR(LEFT(TRIM(INDEX(Forms貼り付け!$A:$AZ,122,S$3)),1),""))</f>
        <v/>
      </c>
      <c r="T123" s="8">
        <f>IF(T$3="","",IFERROR(LEFT(TRIM(INDEX(Forms貼り付け!$A:$AZ,122,T$3)),1),""))</f>
        <v/>
      </c>
      <c r="U123" s="8">
        <f>IF(U$3="","",IFERROR(LEFT(TRIM(INDEX(Forms貼り付け!$A:$AZ,122,U$3)),1),""))</f>
        <v/>
      </c>
      <c r="V123" s="8">
        <f>IF(V$3="","",IFERROR(LEFT(TRIM(INDEX(Forms貼り付け!$A:$AZ,122,V$3)),1),""))</f>
        <v/>
      </c>
      <c r="W123" s="8">
        <f>IF(W$3="","",IFERROR(LEFT(TRIM(INDEX(Forms貼り付け!$A:$AZ,122,W$3)),1),""))</f>
        <v/>
      </c>
      <c r="X123" s="8">
        <f>IF(X$3="","",IFERROR(LEFT(TRIM(INDEX(Forms貼り付け!$A:$AZ,122,X$3)),1),""))</f>
        <v/>
      </c>
      <c r="Y123" s="8">
        <f>IF(Y$3="","",IFERROR(LEFT(TRIM(INDEX(Forms貼り付け!$A:$AZ,122,Y$3)),1),""))</f>
        <v/>
      </c>
      <c r="Z123" s="8">
        <f>IF(Z$3="","",IFERROR(LEFT(TRIM(INDEX(Forms貼り付け!$A:$AZ,122,Z$3)),1),""))</f>
        <v/>
      </c>
      <c r="AA123" s="8">
        <f>IF(AA$3="","",IFERROR(LEFT(TRIM(INDEX(Forms貼り付け!$A:$AZ,122,AA$3)),1),""))</f>
        <v/>
      </c>
      <c r="AB123" s="8">
        <f>IF(AB$3="","",IFERROR(LEFT(TRIM(INDEX(Forms貼り付け!$A:$AZ,122,AB$3)),1),""))</f>
        <v/>
      </c>
      <c r="AC123" s="8">
        <f>IF(AC$3="","",IFERROR(LEFT(TRIM(INDEX(Forms貼り付け!$A:$AZ,122,AC$3)),1),""))</f>
        <v/>
      </c>
      <c r="AD123" s="8">
        <f>IF(AD$3="","",IFERROR(LEFT(TRIM(INDEX(Forms貼り付け!$A:$AZ,122,AD$3)),1),""))</f>
        <v/>
      </c>
      <c r="AE123" s="8">
        <f>IF(AE$3="","",IFERROR(LEFT(TRIM(INDEX(Forms貼り付け!$A:$AZ,122,AE$3)),1),""))</f>
        <v/>
      </c>
      <c r="AF123" s="8">
        <f>IF(AF$3="","",IFERROR(LEFT(TRIM(INDEX(Forms貼り付け!$A:$AZ,122,AF$3)),1),""))</f>
        <v/>
      </c>
      <c r="AG123" s="8">
        <f>IF(AG$3="","",IFERROR(LEFT(TRIM(INDEX(Forms貼り付け!$A:$AZ,122,AG$3)),1),""))</f>
        <v/>
      </c>
      <c r="AH123" s="8">
        <f>IF(AH$3="","",IFERROR(LEFT(TRIM(INDEX(Forms貼り付け!$A:$AZ,122,AH$3)),1),""))</f>
        <v/>
      </c>
      <c r="AI123" s="8">
        <f>IF(AI$3="","",IFERROR(LEFT(TRIM(INDEX(Forms貼り付け!$A:$AZ,122,AI$3)),1),""))</f>
        <v/>
      </c>
      <c r="AJ123" s="8">
        <f>IF(AJ$3="","",IFERROR(LEFT(TRIM(INDEX(Forms貼り付け!$A:$AZ,122,AJ$3)),1),""))</f>
        <v/>
      </c>
      <c r="AK123" s="8">
        <f>IF(AK$3="","",IFERROR(LEFT(TRIM(INDEX(Forms貼り付け!$A:$AZ,122,AK$3)),1),""))</f>
        <v/>
      </c>
      <c r="AL123" s="8">
        <f>IF(AL$3="","",IFERROR(LEFT(TRIM(INDEX(Forms貼り付け!$A:$AZ,122,AL$3)),1),""))</f>
        <v/>
      </c>
      <c r="AM123" s="8">
        <f>IF(AM$3="","",IFERROR(LEFT(TRIM(INDEX(Forms貼り付け!$A:$AZ,122,AM$3)),1),""))</f>
        <v/>
      </c>
      <c r="AN123" s="8">
        <f>IF(AN$3="","",IFERROR(LEFT(TRIM(INDEX(Forms貼り付け!$A:$AZ,122,AN$3)),1),""))</f>
        <v/>
      </c>
      <c r="AO123" s="8">
        <f>IF(AO$3="","",IFERROR(LEFT(TRIM(INDEX(Forms貼り付け!$A:$AZ,122,AO$3)),1),""))</f>
        <v/>
      </c>
      <c r="AP123" s="8">
        <f>IF(AP$3="","",IFERROR(LEFT(TRIM(INDEX(Forms貼り付け!$A:$AZ,122,AP$3)),1),""))</f>
        <v/>
      </c>
      <c r="AQ123" s="8">
        <f>IF(AQ$3="","",IFERROR(LEFT(TRIM(INDEX(Forms貼り付け!$A:$AZ,122,AQ$3)),1),""))</f>
        <v/>
      </c>
      <c r="AR123" s="8">
        <f>IF(AR$3="","",IFERROR(LEFT(TRIM(INDEX(Forms貼り付け!$A:$AZ,122,AR$3)),1),""))</f>
        <v/>
      </c>
      <c r="AS123" s="8">
        <f>IF(AS$3="","",IFERROR(LEFT(TRIM(INDEX(Forms貼り付け!$A:$AZ,122,AS$3)),1),""))</f>
        <v/>
      </c>
      <c r="AT123" s="8">
        <f>IF(AT$3="","",IFERROR(LEFT(TRIM(INDEX(Forms貼り付け!$A:$AZ,122,AT$3)),1),""))</f>
        <v/>
      </c>
      <c r="AU123" s="8">
        <f>IF(AU$3="","",IFERROR(LEFT(TRIM(INDEX(Forms貼り付け!$A:$AZ,122,AU$3)),1),""))</f>
        <v/>
      </c>
      <c r="AV123" s="8">
        <f>IF(AV$3="","",IFERROR(LEFT(TRIM(INDEX(Forms貼り付け!$A:$AZ,122,AV$3)),1),""))</f>
        <v/>
      </c>
      <c r="AW123" s="8">
        <f>IF(AW$3="","",IFERROR(LEFT(TRIM(INDEX(Forms貼り付け!$A:$AZ,122,AW$3)),1),""))</f>
        <v/>
      </c>
      <c r="AX123" s="8">
        <f>IF(AX$3="","",IFERROR(LEFT(TRIM(INDEX(Forms貼り付け!$A:$AZ,122,AX$3)),1),""))</f>
        <v/>
      </c>
      <c r="AY123" s="8">
        <f>IF(AY$3="","",IFERROR(LEFT(TRIM(INDEX(Forms貼り付け!$A:$AZ,122,AY$3)),1),""))</f>
        <v/>
      </c>
      <c r="AZ123" s="8">
        <f>IF(AZ$3="","",IFERROR(LEFT(TRIM(INDEX(Forms貼り付け!$A:$AZ,122,AZ$3)),1),""))</f>
        <v/>
      </c>
      <c r="BA123" s="8">
        <f>IF(BA$3="","",IFERROR(LEFT(TRIM(INDEX(Forms貼り付け!$A:$AZ,122,BA$3)),1),""))</f>
        <v/>
      </c>
      <c r="BB123" s="8">
        <f>IF(BB$3="","",IFERROR(LEFT(TRIM(INDEX(Forms貼り付け!$A:$AZ,122,BB$3)),1),""))</f>
        <v/>
      </c>
      <c r="BC123" s="8">
        <f>IF(BC$3="","",IFERROR(LEFT(TRIM(INDEX(Forms貼り付け!$A:$AZ,122,BC$3)),1),""))</f>
        <v/>
      </c>
    </row>
    <row r="124">
      <c r="A124" s="8" t="inlineStr">
        <is>
          <t>U120</t>
        </is>
      </c>
      <c r="B124" s="9">
        <f>IF($B$3="","",INDEX(Forms貼り付け!$A:$AZ,123,$B$3))</f>
        <v/>
      </c>
      <c r="C124" s="9">
        <f>IF($C$3="","",INDEX(Forms貼り付け!$A:$AZ,123,$C$3))</f>
        <v/>
      </c>
      <c r="D124" s="8">
        <f>IF($D$3="","",INDEX(Forms貼り付け!$A:$AZ,123,$D$3))</f>
        <v/>
      </c>
      <c r="E124" s="8">
        <f>IF($E$3="","",INDEX(Forms貼り付け!$A:$AZ,123,$E$3))</f>
        <v/>
      </c>
      <c r="F124" s="8">
        <f>IF(F$3="","",IFERROR(LEFT(TRIM(INDEX(Forms貼り付け!$A:$AZ,123,F$3)),1),""))</f>
        <v/>
      </c>
      <c r="G124" s="8">
        <f>IF(G$3="","",IFERROR(LEFT(TRIM(INDEX(Forms貼り付け!$A:$AZ,123,G$3)),1),""))</f>
        <v/>
      </c>
      <c r="H124" s="8">
        <f>IF(H$3="","",IFERROR(LEFT(TRIM(INDEX(Forms貼り付け!$A:$AZ,123,H$3)),1),""))</f>
        <v/>
      </c>
      <c r="I124" s="8">
        <f>IF(I$3="","",IFERROR(LEFT(TRIM(INDEX(Forms貼り付け!$A:$AZ,123,I$3)),1),""))</f>
        <v/>
      </c>
      <c r="J124" s="8">
        <f>IF(J$3="","",IFERROR(LEFT(TRIM(INDEX(Forms貼り付け!$A:$AZ,123,J$3)),1),""))</f>
        <v/>
      </c>
      <c r="K124" s="8">
        <f>IF(K$3="","",IFERROR(LEFT(TRIM(INDEX(Forms貼り付け!$A:$AZ,123,K$3)),1),""))</f>
        <v/>
      </c>
      <c r="L124" s="8">
        <f>IF(L$3="","",IFERROR(LEFT(TRIM(INDEX(Forms貼り付け!$A:$AZ,123,L$3)),1),""))</f>
        <v/>
      </c>
      <c r="M124" s="8">
        <f>IF(M$3="","",IFERROR(LEFT(TRIM(INDEX(Forms貼り付け!$A:$AZ,123,M$3)),1),""))</f>
        <v/>
      </c>
      <c r="N124" s="8">
        <f>IF(N$3="","",IFERROR(LEFT(TRIM(INDEX(Forms貼り付け!$A:$AZ,123,N$3)),1),""))</f>
        <v/>
      </c>
      <c r="O124" s="8">
        <f>IF(O$3="","",IFERROR(LEFT(TRIM(INDEX(Forms貼り付け!$A:$AZ,123,O$3)),1),""))</f>
        <v/>
      </c>
      <c r="P124" s="8">
        <f>IF(P$3="","",IFERROR(LEFT(TRIM(INDEX(Forms貼り付け!$A:$AZ,123,P$3)),1),""))</f>
        <v/>
      </c>
      <c r="Q124" s="8">
        <f>IF(Q$3="","",IFERROR(LEFT(TRIM(INDEX(Forms貼り付け!$A:$AZ,123,Q$3)),1),""))</f>
        <v/>
      </c>
      <c r="R124" s="8">
        <f>IF(R$3="","",IFERROR(LEFT(TRIM(INDEX(Forms貼り付け!$A:$AZ,123,R$3)),1),""))</f>
        <v/>
      </c>
      <c r="S124" s="8">
        <f>IF(S$3="","",IFERROR(LEFT(TRIM(INDEX(Forms貼り付け!$A:$AZ,123,S$3)),1),""))</f>
        <v/>
      </c>
      <c r="T124" s="8">
        <f>IF(T$3="","",IFERROR(LEFT(TRIM(INDEX(Forms貼り付け!$A:$AZ,123,T$3)),1),""))</f>
        <v/>
      </c>
      <c r="U124" s="8">
        <f>IF(U$3="","",IFERROR(LEFT(TRIM(INDEX(Forms貼り付け!$A:$AZ,123,U$3)),1),""))</f>
        <v/>
      </c>
      <c r="V124" s="8">
        <f>IF(V$3="","",IFERROR(LEFT(TRIM(INDEX(Forms貼り付け!$A:$AZ,123,V$3)),1),""))</f>
        <v/>
      </c>
      <c r="W124" s="8">
        <f>IF(W$3="","",IFERROR(LEFT(TRIM(INDEX(Forms貼り付け!$A:$AZ,123,W$3)),1),""))</f>
        <v/>
      </c>
      <c r="X124" s="8">
        <f>IF(X$3="","",IFERROR(LEFT(TRIM(INDEX(Forms貼り付け!$A:$AZ,123,X$3)),1),""))</f>
        <v/>
      </c>
      <c r="Y124" s="8">
        <f>IF(Y$3="","",IFERROR(LEFT(TRIM(INDEX(Forms貼り付け!$A:$AZ,123,Y$3)),1),""))</f>
        <v/>
      </c>
      <c r="Z124" s="8">
        <f>IF(Z$3="","",IFERROR(LEFT(TRIM(INDEX(Forms貼り付け!$A:$AZ,123,Z$3)),1),""))</f>
        <v/>
      </c>
      <c r="AA124" s="8">
        <f>IF(AA$3="","",IFERROR(LEFT(TRIM(INDEX(Forms貼り付け!$A:$AZ,123,AA$3)),1),""))</f>
        <v/>
      </c>
      <c r="AB124" s="8">
        <f>IF(AB$3="","",IFERROR(LEFT(TRIM(INDEX(Forms貼り付け!$A:$AZ,123,AB$3)),1),""))</f>
        <v/>
      </c>
      <c r="AC124" s="8">
        <f>IF(AC$3="","",IFERROR(LEFT(TRIM(INDEX(Forms貼り付け!$A:$AZ,123,AC$3)),1),""))</f>
        <v/>
      </c>
      <c r="AD124" s="8">
        <f>IF(AD$3="","",IFERROR(LEFT(TRIM(INDEX(Forms貼り付け!$A:$AZ,123,AD$3)),1),""))</f>
        <v/>
      </c>
      <c r="AE124" s="8">
        <f>IF(AE$3="","",IFERROR(LEFT(TRIM(INDEX(Forms貼り付け!$A:$AZ,123,AE$3)),1),""))</f>
        <v/>
      </c>
      <c r="AF124" s="8">
        <f>IF(AF$3="","",IFERROR(LEFT(TRIM(INDEX(Forms貼り付け!$A:$AZ,123,AF$3)),1),""))</f>
        <v/>
      </c>
      <c r="AG124" s="8">
        <f>IF(AG$3="","",IFERROR(LEFT(TRIM(INDEX(Forms貼り付け!$A:$AZ,123,AG$3)),1),""))</f>
        <v/>
      </c>
      <c r="AH124" s="8">
        <f>IF(AH$3="","",IFERROR(LEFT(TRIM(INDEX(Forms貼り付け!$A:$AZ,123,AH$3)),1),""))</f>
        <v/>
      </c>
      <c r="AI124" s="8">
        <f>IF(AI$3="","",IFERROR(LEFT(TRIM(INDEX(Forms貼り付け!$A:$AZ,123,AI$3)),1),""))</f>
        <v/>
      </c>
      <c r="AJ124" s="8">
        <f>IF(AJ$3="","",IFERROR(LEFT(TRIM(INDEX(Forms貼り付け!$A:$AZ,123,AJ$3)),1),""))</f>
        <v/>
      </c>
      <c r="AK124" s="8">
        <f>IF(AK$3="","",IFERROR(LEFT(TRIM(INDEX(Forms貼り付け!$A:$AZ,123,AK$3)),1),""))</f>
        <v/>
      </c>
      <c r="AL124" s="8">
        <f>IF(AL$3="","",IFERROR(LEFT(TRIM(INDEX(Forms貼り付け!$A:$AZ,123,AL$3)),1),""))</f>
        <v/>
      </c>
      <c r="AM124" s="8">
        <f>IF(AM$3="","",IFERROR(LEFT(TRIM(INDEX(Forms貼り付け!$A:$AZ,123,AM$3)),1),""))</f>
        <v/>
      </c>
      <c r="AN124" s="8">
        <f>IF(AN$3="","",IFERROR(LEFT(TRIM(INDEX(Forms貼り付け!$A:$AZ,123,AN$3)),1),""))</f>
        <v/>
      </c>
      <c r="AO124" s="8">
        <f>IF(AO$3="","",IFERROR(LEFT(TRIM(INDEX(Forms貼り付け!$A:$AZ,123,AO$3)),1),""))</f>
        <v/>
      </c>
      <c r="AP124" s="8">
        <f>IF(AP$3="","",IFERROR(LEFT(TRIM(INDEX(Forms貼り付け!$A:$AZ,123,AP$3)),1),""))</f>
        <v/>
      </c>
      <c r="AQ124" s="8">
        <f>IF(AQ$3="","",IFERROR(LEFT(TRIM(INDEX(Forms貼り付け!$A:$AZ,123,AQ$3)),1),""))</f>
        <v/>
      </c>
      <c r="AR124" s="8">
        <f>IF(AR$3="","",IFERROR(LEFT(TRIM(INDEX(Forms貼り付け!$A:$AZ,123,AR$3)),1),""))</f>
        <v/>
      </c>
      <c r="AS124" s="8">
        <f>IF(AS$3="","",IFERROR(LEFT(TRIM(INDEX(Forms貼り付け!$A:$AZ,123,AS$3)),1),""))</f>
        <v/>
      </c>
      <c r="AT124" s="8">
        <f>IF(AT$3="","",IFERROR(LEFT(TRIM(INDEX(Forms貼り付け!$A:$AZ,123,AT$3)),1),""))</f>
        <v/>
      </c>
      <c r="AU124" s="8">
        <f>IF(AU$3="","",IFERROR(LEFT(TRIM(INDEX(Forms貼り付け!$A:$AZ,123,AU$3)),1),""))</f>
        <v/>
      </c>
      <c r="AV124" s="8">
        <f>IF(AV$3="","",IFERROR(LEFT(TRIM(INDEX(Forms貼り付け!$A:$AZ,123,AV$3)),1),""))</f>
        <v/>
      </c>
      <c r="AW124" s="8">
        <f>IF(AW$3="","",IFERROR(LEFT(TRIM(INDEX(Forms貼り付け!$A:$AZ,123,AW$3)),1),""))</f>
        <v/>
      </c>
      <c r="AX124" s="8">
        <f>IF(AX$3="","",IFERROR(LEFT(TRIM(INDEX(Forms貼り付け!$A:$AZ,123,AX$3)),1),""))</f>
        <v/>
      </c>
      <c r="AY124" s="8">
        <f>IF(AY$3="","",IFERROR(LEFT(TRIM(INDEX(Forms貼り付け!$A:$AZ,123,AY$3)),1),""))</f>
        <v/>
      </c>
      <c r="AZ124" s="8">
        <f>IF(AZ$3="","",IFERROR(LEFT(TRIM(INDEX(Forms貼り付け!$A:$AZ,123,AZ$3)),1),""))</f>
        <v/>
      </c>
      <c r="BA124" s="8">
        <f>IF(BA$3="","",IFERROR(LEFT(TRIM(INDEX(Forms貼り付け!$A:$AZ,123,BA$3)),1),""))</f>
        <v/>
      </c>
      <c r="BB124" s="8">
        <f>IF(BB$3="","",IFERROR(LEFT(TRIM(INDEX(Forms貼り付け!$A:$AZ,123,BB$3)),1),""))</f>
        <v/>
      </c>
      <c r="BC124" s="8">
        <f>IF(BC$3="","",IFERROR(LEFT(TRIM(INDEX(Forms貼り付け!$A:$AZ,123,BC$3)),1),""))</f>
        <v/>
      </c>
    </row>
    <row r="125">
      <c r="A125" s="8" t="inlineStr">
        <is>
          <t>U121</t>
        </is>
      </c>
      <c r="B125" s="9">
        <f>IF($B$3="","",INDEX(Forms貼り付け!$A:$AZ,124,$B$3))</f>
        <v/>
      </c>
      <c r="C125" s="9">
        <f>IF($C$3="","",INDEX(Forms貼り付け!$A:$AZ,124,$C$3))</f>
        <v/>
      </c>
      <c r="D125" s="8">
        <f>IF($D$3="","",INDEX(Forms貼り付け!$A:$AZ,124,$D$3))</f>
        <v/>
      </c>
      <c r="E125" s="8">
        <f>IF($E$3="","",INDEX(Forms貼り付け!$A:$AZ,124,$E$3))</f>
        <v/>
      </c>
      <c r="F125" s="8">
        <f>IF(F$3="","",IFERROR(LEFT(TRIM(INDEX(Forms貼り付け!$A:$AZ,124,F$3)),1),""))</f>
        <v/>
      </c>
      <c r="G125" s="8">
        <f>IF(G$3="","",IFERROR(LEFT(TRIM(INDEX(Forms貼り付け!$A:$AZ,124,G$3)),1),""))</f>
        <v/>
      </c>
      <c r="H125" s="8">
        <f>IF(H$3="","",IFERROR(LEFT(TRIM(INDEX(Forms貼り付け!$A:$AZ,124,H$3)),1),""))</f>
        <v/>
      </c>
      <c r="I125" s="8">
        <f>IF(I$3="","",IFERROR(LEFT(TRIM(INDEX(Forms貼り付け!$A:$AZ,124,I$3)),1),""))</f>
        <v/>
      </c>
      <c r="J125" s="8">
        <f>IF(J$3="","",IFERROR(LEFT(TRIM(INDEX(Forms貼り付け!$A:$AZ,124,J$3)),1),""))</f>
        <v/>
      </c>
      <c r="K125" s="8">
        <f>IF(K$3="","",IFERROR(LEFT(TRIM(INDEX(Forms貼り付け!$A:$AZ,124,K$3)),1),""))</f>
        <v/>
      </c>
      <c r="L125" s="8">
        <f>IF(L$3="","",IFERROR(LEFT(TRIM(INDEX(Forms貼り付け!$A:$AZ,124,L$3)),1),""))</f>
        <v/>
      </c>
      <c r="M125" s="8">
        <f>IF(M$3="","",IFERROR(LEFT(TRIM(INDEX(Forms貼り付け!$A:$AZ,124,M$3)),1),""))</f>
        <v/>
      </c>
      <c r="N125" s="8">
        <f>IF(N$3="","",IFERROR(LEFT(TRIM(INDEX(Forms貼り付け!$A:$AZ,124,N$3)),1),""))</f>
        <v/>
      </c>
      <c r="O125" s="8">
        <f>IF(O$3="","",IFERROR(LEFT(TRIM(INDEX(Forms貼り付け!$A:$AZ,124,O$3)),1),""))</f>
        <v/>
      </c>
      <c r="P125" s="8">
        <f>IF(P$3="","",IFERROR(LEFT(TRIM(INDEX(Forms貼り付け!$A:$AZ,124,P$3)),1),""))</f>
        <v/>
      </c>
      <c r="Q125" s="8">
        <f>IF(Q$3="","",IFERROR(LEFT(TRIM(INDEX(Forms貼り付け!$A:$AZ,124,Q$3)),1),""))</f>
        <v/>
      </c>
      <c r="R125" s="8">
        <f>IF(R$3="","",IFERROR(LEFT(TRIM(INDEX(Forms貼り付け!$A:$AZ,124,R$3)),1),""))</f>
        <v/>
      </c>
      <c r="S125" s="8">
        <f>IF(S$3="","",IFERROR(LEFT(TRIM(INDEX(Forms貼り付け!$A:$AZ,124,S$3)),1),""))</f>
        <v/>
      </c>
      <c r="T125" s="8">
        <f>IF(T$3="","",IFERROR(LEFT(TRIM(INDEX(Forms貼り付け!$A:$AZ,124,T$3)),1),""))</f>
        <v/>
      </c>
      <c r="U125" s="8">
        <f>IF(U$3="","",IFERROR(LEFT(TRIM(INDEX(Forms貼り付け!$A:$AZ,124,U$3)),1),""))</f>
        <v/>
      </c>
      <c r="V125" s="8">
        <f>IF(V$3="","",IFERROR(LEFT(TRIM(INDEX(Forms貼り付け!$A:$AZ,124,V$3)),1),""))</f>
        <v/>
      </c>
      <c r="W125" s="8">
        <f>IF(W$3="","",IFERROR(LEFT(TRIM(INDEX(Forms貼り付け!$A:$AZ,124,W$3)),1),""))</f>
        <v/>
      </c>
      <c r="X125" s="8">
        <f>IF(X$3="","",IFERROR(LEFT(TRIM(INDEX(Forms貼り付け!$A:$AZ,124,X$3)),1),""))</f>
        <v/>
      </c>
      <c r="Y125" s="8">
        <f>IF(Y$3="","",IFERROR(LEFT(TRIM(INDEX(Forms貼り付け!$A:$AZ,124,Y$3)),1),""))</f>
        <v/>
      </c>
      <c r="Z125" s="8">
        <f>IF(Z$3="","",IFERROR(LEFT(TRIM(INDEX(Forms貼り付け!$A:$AZ,124,Z$3)),1),""))</f>
        <v/>
      </c>
      <c r="AA125" s="8">
        <f>IF(AA$3="","",IFERROR(LEFT(TRIM(INDEX(Forms貼り付け!$A:$AZ,124,AA$3)),1),""))</f>
        <v/>
      </c>
      <c r="AB125" s="8">
        <f>IF(AB$3="","",IFERROR(LEFT(TRIM(INDEX(Forms貼り付け!$A:$AZ,124,AB$3)),1),""))</f>
        <v/>
      </c>
      <c r="AC125" s="8">
        <f>IF(AC$3="","",IFERROR(LEFT(TRIM(INDEX(Forms貼り付け!$A:$AZ,124,AC$3)),1),""))</f>
        <v/>
      </c>
      <c r="AD125" s="8">
        <f>IF(AD$3="","",IFERROR(LEFT(TRIM(INDEX(Forms貼り付け!$A:$AZ,124,AD$3)),1),""))</f>
        <v/>
      </c>
      <c r="AE125" s="8">
        <f>IF(AE$3="","",IFERROR(LEFT(TRIM(INDEX(Forms貼り付け!$A:$AZ,124,AE$3)),1),""))</f>
        <v/>
      </c>
      <c r="AF125" s="8">
        <f>IF(AF$3="","",IFERROR(LEFT(TRIM(INDEX(Forms貼り付け!$A:$AZ,124,AF$3)),1),""))</f>
        <v/>
      </c>
      <c r="AG125" s="8">
        <f>IF(AG$3="","",IFERROR(LEFT(TRIM(INDEX(Forms貼り付け!$A:$AZ,124,AG$3)),1),""))</f>
        <v/>
      </c>
      <c r="AH125" s="8">
        <f>IF(AH$3="","",IFERROR(LEFT(TRIM(INDEX(Forms貼り付け!$A:$AZ,124,AH$3)),1),""))</f>
        <v/>
      </c>
      <c r="AI125" s="8">
        <f>IF(AI$3="","",IFERROR(LEFT(TRIM(INDEX(Forms貼り付け!$A:$AZ,124,AI$3)),1),""))</f>
        <v/>
      </c>
      <c r="AJ125" s="8">
        <f>IF(AJ$3="","",IFERROR(LEFT(TRIM(INDEX(Forms貼り付け!$A:$AZ,124,AJ$3)),1),""))</f>
        <v/>
      </c>
      <c r="AK125" s="8">
        <f>IF(AK$3="","",IFERROR(LEFT(TRIM(INDEX(Forms貼り付け!$A:$AZ,124,AK$3)),1),""))</f>
        <v/>
      </c>
      <c r="AL125" s="8">
        <f>IF(AL$3="","",IFERROR(LEFT(TRIM(INDEX(Forms貼り付け!$A:$AZ,124,AL$3)),1),""))</f>
        <v/>
      </c>
      <c r="AM125" s="8">
        <f>IF(AM$3="","",IFERROR(LEFT(TRIM(INDEX(Forms貼り付け!$A:$AZ,124,AM$3)),1),""))</f>
        <v/>
      </c>
      <c r="AN125" s="8">
        <f>IF(AN$3="","",IFERROR(LEFT(TRIM(INDEX(Forms貼り付け!$A:$AZ,124,AN$3)),1),""))</f>
        <v/>
      </c>
      <c r="AO125" s="8">
        <f>IF(AO$3="","",IFERROR(LEFT(TRIM(INDEX(Forms貼り付け!$A:$AZ,124,AO$3)),1),""))</f>
        <v/>
      </c>
      <c r="AP125" s="8">
        <f>IF(AP$3="","",IFERROR(LEFT(TRIM(INDEX(Forms貼り付け!$A:$AZ,124,AP$3)),1),""))</f>
        <v/>
      </c>
      <c r="AQ125" s="8">
        <f>IF(AQ$3="","",IFERROR(LEFT(TRIM(INDEX(Forms貼り付け!$A:$AZ,124,AQ$3)),1),""))</f>
        <v/>
      </c>
      <c r="AR125" s="8">
        <f>IF(AR$3="","",IFERROR(LEFT(TRIM(INDEX(Forms貼り付け!$A:$AZ,124,AR$3)),1),""))</f>
        <v/>
      </c>
      <c r="AS125" s="8">
        <f>IF(AS$3="","",IFERROR(LEFT(TRIM(INDEX(Forms貼り付け!$A:$AZ,124,AS$3)),1),""))</f>
        <v/>
      </c>
      <c r="AT125" s="8">
        <f>IF(AT$3="","",IFERROR(LEFT(TRIM(INDEX(Forms貼り付け!$A:$AZ,124,AT$3)),1),""))</f>
        <v/>
      </c>
      <c r="AU125" s="8">
        <f>IF(AU$3="","",IFERROR(LEFT(TRIM(INDEX(Forms貼り付け!$A:$AZ,124,AU$3)),1),""))</f>
        <v/>
      </c>
      <c r="AV125" s="8">
        <f>IF(AV$3="","",IFERROR(LEFT(TRIM(INDEX(Forms貼り付け!$A:$AZ,124,AV$3)),1),""))</f>
        <v/>
      </c>
      <c r="AW125" s="8">
        <f>IF(AW$3="","",IFERROR(LEFT(TRIM(INDEX(Forms貼り付け!$A:$AZ,124,AW$3)),1),""))</f>
        <v/>
      </c>
      <c r="AX125" s="8">
        <f>IF(AX$3="","",IFERROR(LEFT(TRIM(INDEX(Forms貼り付け!$A:$AZ,124,AX$3)),1),""))</f>
        <v/>
      </c>
      <c r="AY125" s="8">
        <f>IF(AY$3="","",IFERROR(LEFT(TRIM(INDEX(Forms貼り付け!$A:$AZ,124,AY$3)),1),""))</f>
        <v/>
      </c>
      <c r="AZ125" s="8">
        <f>IF(AZ$3="","",IFERROR(LEFT(TRIM(INDEX(Forms貼り付け!$A:$AZ,124,AZ$3)),1),""))</f>
        <v/>
      </c>
      <c r="BA125" s="8">
        <f>IF(BA$3="","",IFERROR(LEFT(TRIM(INDEX(Forms貼り付け!$A:$AZ,124,BA$3)),1),""))</f>
        <v/>
      </c>
      <c r="BB125" s="8">
        <f>IF(BB$3="","",IFERROR(LEFT(TRIM(INDEX(Forms貼り付け!$A:$AZ,124,BB$3)),1),""))</f>
        <v/>
      </c>
      <c r="BC125" s="8">
        <f>IF(BC$3="","",IFERROR(LEFT(TRIM(INDEX(Forms貼り付け!$A:$AZ,124,BC$3)),1),""))</f>
        <v/>
      </c>
    </row>
    <row r="126">
      <c r="A126" s="8" t="inlineStr">
        <is>
          <t>U122</t>
        </is>
      </c>
      <c r="B126" s="9">
        <f>IF($B$3="","",INDEX(Forms貼り付け!$A:$AZ,125,$B$3))</f>
        <v/>
      </c>
      <c r="C126" s="9">
        <f>IF($C$3="","",INDEX(Forms貼り付け!$A:$AZ,125,$C$3))</f>
        <v/>
      </c>
      <c r="D126" s="8">
        <f>IF($D$3="","",INDEX(Forms貼り付け!$A:$AZ,125,$D$3))</f>
        <v/>
      </c>
      <c r="E126" s="8">
        <f>IF($E$3="","",INDEX(Forms貼り付け!$A:$AZ,125,$E$3))</f>
        <v/>
      </c>
      <c r="F126" s="8">
        <f>IF(F$3="","",IFERROR(LEFT(TRIM(INDEX(Forms貼り付け!$A:$AZ,125,F$3)),1),""))</f>
        <v/>
      </c>
      <c r="G126" s="8">
        <f>IF(G$3="","",IFERROR(LEFT(TRIM(INDEX(Forms貼り付け!$A:$AZ,125,G$3)),1),""))</f>
        <v/>
      </c>
      <c r="H126" s="8">
        <f>IF(H$3="","",IFERROR(LEFT(TRIM(INDEX(Forms貼り付け!$A:$AZ,125,H$3)),1),""))</f>
        <v/>
      </c>
      <c r="I126" s="8">
        <f>IF(I$3="","",IFERROR(LEFT(TRIM(INDEX(Forms貼り付け!$A:$AZ,125,I$3)),1),""))</f>
        <v/>
      </c>
      <c r="J126" s="8">
        <f>IF(J$3="","",IFERROR(LEFT(TRIM(INDEX(Forms貼り付け!$A:$AZ,125,J$3)),1),""))</f>
        <v/>
      </c>
      <c r="K126" s="8">
        <f>IF(K$3="","",IFERROR(LEFT(TRIM(INDEX(Forms貼り付け!$A:$AZ,125,K$3)),1),""))</f>
        <v/>
      </c>
      <c r="L126" s="8">
        <f>IF(L$3="","",IFERROR(LEFT(TRIM(INDEX(Forms貼り付け!$A:$AZ,125,L$3)),1),""))</f>
        <v/>
      </c>
      <c r="M126" s="8">
        <f>IF(M$3="","",IFERROR(LEFT(TRIM(INDEX(Forms貼り付け!$A:$AZ,125,M$3)),1),""))</f>
        <v/>
      </c>
      <c r="N126" s="8">
        <f>IF(N$3="","",IFERROR(LEFT(TRIM(INDEX(Forms貼り付け!$A:$AZ,125,N$3)),1),""))</f>
        <v/>
      </c>
      <c r="O126" s="8">
        <f>IF(O$3="","",IFERROR(LEFT(TRIM(INDEX(Forms貼り付け!$A:$AZ,125,O$3)),1),""))</f>
        <v/>
      </c>
      <c r="P126" s="8">
        <f>IF(P$3="","",IFERROR(LEFT(TRIM(INDEX(Forms貼り付け!$A:$AZ,125,P$3)),1),""))</f>
        <v/>
      </c>
      <c r="Q126" s="8">
        <f>IF(Q$3="","",IFERROR(LEFT(TRIM(INDEX(Forms貼り付け!$A:$AZ,125,Q$3)),1),""))</f>
        <v/>
      </c>
      <c r="R126" s="8">
        <f>IF(R$3="","",IFERROR(LEFT(TRIM(INDEX(Forms貼り付け!$A:$AZ,125,R$3)),1),""))</f>
        <v/>
      </c>
      <c r="S126" s="8">
        <f>IF(S$3="","",IFERROR(LEFT(TRIM(INDEX(Forms貼り付け!$A:$AZ,125,S$3)),1),""))</f>
        <v/>
      </c>
      <c r="T126" s="8">
        <f>IF(T$3="","",IFERROR(LEFT(TRIM(INDEX(Forms貼り付け!$A:$AZ,125,T$3)),1),""))</f>
        <v/>
      </c>
      <c r="U126" s="8">
        <f>IF(U$3="","",IFERROR(LEFT(TRIM(INDEX(Forms貼り付け!$A:$AZ,125,U$3)),1),""))</f>
        <v/>
      </c>
      <c r="V126" s="8">
        <f>IF(V$3="","",IFERROR(LEFT(TRIM(INDEX(Forms貼り付け!$A:$AZ,125,V$3)),1),""))</f>
        <v/>
      </c>
      <c r="W126" s="8">
        <f>IF(W$3="","",IFERROR(LEFT(TRIM(INDEX(Forms貼り付け!$A:$AZ,125,W$3)),1),""))</f>
        <v/>
      </c>
      <c r="X126" s="8">
        <f>IF(X$3="","",IFERROR(LEFT(TRIM(INDEX(Forms貼り付け!$A:$AZ,125,X$3)),1),""))</f>
        <v/>
      </c>
      <c r="Y126" s="8">
        <f>IF(Y$3="","",IFERROR(LEFT(TRIM(INDEX(Forms貼り付け!$A:$AZ,125,Y$3)),1),""))</f>
        <v/>
      </c>
      <c r="Z126" s="8">
        <f>IF(Z$3="","",IFERROR(LEFT(TRIM(INDEX(Forms貼り付け!$A:$AZ,125,Z$3)),1),""))</f>
        <v/>
      </c>
      <c r="AA126" s="8">
        <f>IF(AA$3="","",IFERROR(LEFT(TRIM(INDEX(Forms貼り付け!$A:$AZ,125,AA$3)),1),""))</f>
        <v/>
      </c>
      <c r="AB126" s="8">
        <f>IF(AB$3="","",IFERROR(LEFT(TRIM(INDEX(Forms貼り付け!$A:$AZ,125,AB$3)),1),""))</f>
        <v/>
      </c>
      <c r="AC126" s="8">
        <f>IF(AC$3="","",IFERROR(LEFT(TRIM(INDEX(Forms貼り付け!$A:$AZ,125,AC$3)),1),""))</f>
        <v/>
      </c>
      <c r="AD126" s="8">
        <f>IF(AD$3="","",IFERROR(LEFT(TRIM(INDEX(Forms貼り付け!$A:$AZ,125,AD$3)),1),""))</f>
        <v/>
      </c>
      <c r="AE126" s="8">
        <f>IF(AE$3="","",IFERROR(LEFT(TRIM(INDEX(Forms貼り付け!$A:$AZ,125,AE$3)),1),""))</f>
        <v/>
      </c>
      <c r="AF126" s="8">
        <f>IF(AF$3="","",IFERROR(LEFT(TRIM(INDEX(Forms貼り付け!$A:$AZ,125,AF$3)),1),""))</f>
        <v/>
      </c>
      <c r="AG126" s="8">
        <f>IF(AG$3="","",IFERROR(LEFT(TRIM(INDEX(Forms貼り付け!$A:$AZ,125,AG$3)),1),""))</f>
        <v/>
      </c>
      <c r="AH126" s="8">
        <f>IF(AH$3="","",IFERROR(LEFT(TRIM(INDEX(Forms貼り付け!$A:$AZ,125,AH$3)),1),""))</f>
        <v/>
      </c>
      <c r="AI126" s="8">
        <f>IF(AI$3="","",IFERROR(LEFT(TRIM(INDEX(Forms貼り付け!$A:$AZ,125,AI$3)),1),""))</f>
        <v/>
      </c>
      <c r="AJ126" s="8">
        <f>IF(AJ$3="","",IFERROR(LEFT(TRIM(INDEX(Forms貼り付け!$A:$AZ,125,AJ$3)),1),""))</f>
        <v/>
      </c>
      <c r="AK126" s="8">
        <f>IF(AK$3="","",IFERROR(LEFT(TRIM(INDEX(Forms貼り付け!$A:$AZ,125,AK$3)),1),""))</f>
        <v/>
      </c>
      <c r="AL126" s="8">
        <f>IF(AL$3="","",IFERROR(LEFT(TRIM(INDEX(Forms貼り付け!$A:$AZ,125,AL$3)),1),""))</f>
        <v/>
      </c>
      <c r="AM126" s="8">
        <f>IF(AM$3="","",IFERROR(LEFT(TRIM(INDEX(Forms貼り付け!$A:$AZ,125,AM$3)),1),""))</f>
        <v/>
      </c>
      <c r="AN126" s="8">
        <f>IF(AN$3="","",IFERROR(LEFT(TRIM(INDEX(Forms貼り付け!$A:$AZ,125,AN$3)),1),""))</f>
        <v/>
      </c>
      <c r="AO126" s="8">
        <f>IF(AO$3="","",IFERROR(LEFT(TRIM(INDEX(Forms貼り付け!$A:$AZ,125,AO$3)),1),""))</f>
        <v/>
      </c>
      <c r="AP126" s="8">
        <f>IF(AP$3="","",IFERROR(LEFT(TRIM(INDEX(Forms貼り付け!$A:$AZ,125,AP$3)),1),""))</f>
        <v/>
      </c>
      <c r="AQ126" s="8">
        <f>IF(AQ$3="","",IFERROR(LEFT(TRIM(INDEX(Forms貼り付け!$A:$AZ,125,AQ$3)),1),""))</f>
        <v/>
      </c>
      <c r="AR126" s="8">
        <f>IF(AR$3="","",IFERROR(LEFT(TRIM(INDEX(Forms貼り付け!$A:$AZ,125,AR$3)),1),""))</f>
        <v/>
      </c>
      <c r="AS126" s="8">
        <f>IF(AS$3="","",IFERROR(LEFT(TRIM(INDEX(Forms貼り付け!$A:$AZ,125,AS$3)),1),""))</f>
        <v/>
      </c>
      <c r="AT126" s="8">
        <f>IF(AT$3="","",IFERROR(LEFT(TRIM(INDEX(Forms貼り付け!$A:$AZ,125,AT$3)),1),""))</f>
        <v/>
      </c>
      <c r="AU126" s="8">
        <f>IF(AU$3="","",IFERROR(LEFT(TRIM(INDEX(Forms貼り付け!$A:$AZ,125,AU$3)),1),""))</f>
        <v/>
      </c>
      <c r="AV126" s="8">
        <f>IF(AV$3="","",IFERROR(LEFT(TRIM(INDEX(Forms貼り付け!$A:$AZ,125,AV$3)),1),""))</f>
        <v/>
      </c>
      <c r="AW126" s="8">
        <f>IF(AW$3="","",IFERROR(LEFT(TRIM(INDEX(Forms貼り付け!$A:$AZ,125,AW$3)),1),""))</f>
        <v/>
      </c>
      <c r="AX126" s="8">
        <f>IF(AX$3="","",IFERROR(LEFT(TRIM(INDEX(Forms貼り付け!$A:$AZ,125,AX$3)),1),""))</f>
        <v/>
      </c>
      <c r="AY126" s="8">
        <f>IF(AY$3="","",IFERROR(LEFT(TRIM(INDEX(Forms貼り付け!$A:$AZ,125,AY$3)),1),""))</f>
        <v/>
      </c>
      <c r="AZ126" s="8">
        <f>IF(AZ$3="","",IFERROR(LEFT(TRIM(INDEX(Forms貼り付け!$A:$AZ,125,AZ$3)),1),""))</f>
        <v/>
      </c>
      <c r="BA126" s="8">
        <f>IF(BA$3="","",IFERROR(LEFT(TRIM(INDEX(Forms貼り付け!$A:$AZ,125,BA$3)),1),""))</f>
        <v/>
      </c>
      <c r="BB126" s="8">
        <f>IF(BB$3="","",IFERROR(LEFT(TRIM(INDEX(Forms貼り付け!$A:$AZ,125,BB$3)),1),""))</f>
        <v/>
      </c>
      <c r="BC126" s="8">
        <f>IF(BC$3="","",IFERROR(LEFT(TRIM(INDEX(Forms貼り付け!$A:$AZ,125,BC$3)),1),""))</f>
        <v/>
      </c>
    </row>
    <row r="127">
      <c r="A127" s="8" t="inlineStr">
        <is>
          <t>U123</t>
        </is>
      </c>
      <c r="B127" s="9">
        <f>IF($B$3="","",INDEX(Forms貼り付け!$A:$AZ,126,$B$3))</f>
        <v/>
      </c>
      <c r="C127" s="9">
        <f>IF($C$3="","",INDEX(Forms貼り付け!$A:$AZ,126,$C$3))</f>
        <v/>
      </c>
      <c r="D127" s="8">
        <f>IF($D$3="","",INDEX(Forms貼り付け!$A:$AZ,126,$D$3))</f>
        <v/>
      </c>
      <c r="E127" s="8">
        <f>IF($E$3="","",INDEX(Forms貼り付け!$A:$AZ,126,$E$3))</f>
        <v/>
      </c>
      <c r="F127" s="8">
        <f>IF(F$3="","",IFERROR(LEFT(TRIM(INDEX(Forms貼り付け!$A:$AZ,126,F$3)),1),""))</f>
        <v/>
      </c>
      <c r="G127" s="8">
        <f>IF(G$3="","",IFERROR(LEFT(TRIM(INDEX(Forms貼り付け!$A:$AZ,126,G$3)),1),""))</f>
        <v/>
      </c>
      <c r="H127" s="8">
        <f>IF(H$3="","",IFERROR(LEFT(TRIM(INDEX(Forms貼り付け!$A:$AZ,126,H$3)),1),""))</f>
        <v/>
      </c>
      <c r="I127" s="8">
        <f>IF(I$3="","",IFERROR(LEFT(TRIM(INDEX(Forms貼り付け!$A:$AZ,126,I$3)),1),""))</f>
        <v/>
      </c>
      <c r="J127" s="8">
        <f>IF(J$3="","",IFERROR(LEFT(TRIM(INDEX(Forms貼り付け!$A:$AZ,126,J$3)),1),""))</f>
        <v/>
      </c>
      <c r="K127" s="8">
        <f>IF(K$3="","",IFERROR(LEFT(TRIM(INDEX(Forms貼り付け!$A:$AZ,126,K$3)),1),""))</f>
        <v/>
      </c>
      <c r="L127" s="8">
        <f>IF(L$3="","",IFERROR(LEFT(TRIM(INDEX(Forms貼り付け!$A:$AZ,126,L$3)),1),""))</f>
        <v/>
      </c>
      <c r="M127" s="8">
        <f>IF(M$3="","",IFERROR(LEFT(TRIM(INDEX(Forms貼り付け!$A:$AZ,126,M$3)),1),""))</f>
        <v/>
      </c>
      <c r="N127" s="8">
        <f>IF(N$3="","",IFERROR(LEFT(TRIM(INDEX(Forms貼り付け!$A:$AZ,126,N$3)),1),""))</f>
        <v/>
      </c>
      <c r="O127" s="8">
        <f>IF(O$3="","",IFERROR(LEFT(TRIM(INDEX(Forms貼り付け!$A:$AZ,126,O$3)),1),""))</f>
        <v/>
      </c>
      <c r="P127" s="8">
        <f>IF(P$3="","",IFERROR(LEFT(TRIM(INDEX(Forms貼り付け!$A:$AZ,126,P$3)),1),""))</f>
        <v/>
      </c>
      <c r="Q127" s="8">
        <f>IF(Q$3="","",IFERROR(LEFT(TRIM(INDEX(Forms貼り付け!$A:$AZ,126,Q$3)),1),""))</f>
        <v/>
      </c>
      <c r="R127" s="8">
        <f>IF(R$3="","",IFERROR(LEFT(TRIM(INDEX(Forms貼り付け!$A:$AZ,126,R$3)),1),""))</f>
        <v/>
      </c>
      <c r="S127" s="8">
        <f>IF(S$3="","",IFERROR(LEFT(TRIM(INDEX(Forms貼り付け!$A:$AZ,126,S$3)),1),""))</f>
        <v/>
      </c>
      <c r="T127" s="8">
        <f>IF(T$3="","",IFERROR(LEFT(TRIM(INDEX(Forms貼り付け!$A:$AZ,126,T$3)),1),""))</f>
        <v/>
      </c>
      <c r="U127" s="8">
        <f>IF(U$3="","",IFERROR(LEFT(TRIM(INDEX(Forms貼り付け!$A:$AZ,126,U$3)),1),""))</f>
        <v/>
      </c>
      <c r="V127" s="8">
        <f>IF(V$3="","",IFERROR(LEFT(TRIM(INDEX(Forms貼り付け!$A:$AZ,126,V$3)),1),""))</f>
        <v/>
      </c>
      <c r="W127" s="8">
        <f>IF(W$3="","",IFERROR(LEFT(TRIM(INDEX(Forms貼り付け!$A:$AZ,126,W$3)),1),""))</f>
        <v/>
      </c>
      <c r="X127" s="8">
        <f>IF(X$3="","",IFERROR(LEFT(TRIM(INDEX(Forms貼り付け!$A:$AZ,126,X$3)),1),""))</f>
        <v/>
      </c>
      <c r="Y127" s="8">
        <f>IF(Y$3="","",IFERROR(LEFT(TRIM(INDEX(Forms貼り付け!$A:$AZ,126,Y$3)),1),""))</f>
        <v/>
      </c>
      <c r="Z127" s="8">
        <f>IF(Z$3="","",IFERROR(LEFT(TRIM(INDEX(Forms貼り付け!$A:$AZ,126,Z$3)),1),""))</f>
        <v/>
      </c>
      <c r="AA127" s="8">
        <f>IF(AA$3="","",IFERROR(LEFT(TRIM(INDEX(Forms貼り付け!$A:$AZ,126,AA$3)),1),""))</f>
        <v/>
      </c>
      <c r="AB127" s="8">
        <f>IF(AB$3="","",IFERROR(LEFT(TRIM(INDEX(Forms貼り付け!$A:$AZ,126,AB$3)),1),""))</f>
        <v/>
      </c>
      <c r="AC127" s="8">
        <f>IF(AC$3="","",IFERROR(LEFT(TRIM(INDEX(Forms貼り付け!$A:$AZ,126,AC$3)),1),""))</f>
        <v/>
      </c>
      <c r="AD127" s="8">
        <f>IF(AD$3="","",IFERROR(LEFT(TRIM(INDEX(Forms貼り付け!$A:$AZ,126,AD$3)),1),""))</f>
        <v/>
      </c>
      <c r="AE127" s="8">
        <f>IF(AE$3="","",IFERROR(LEFT(TRIM(INDEX(Forms貼り付け!$A:$AZ,126,AE$3)),1),""))</f>
        <v/>
      </c>
      <c r="AF127" s="8">
        <f>IF(AF$3="","",IFERROR(LEFT(TRIM(INDEX(Forms貼り付け!$A:$AZ,126,AF$3)),1),""))</f>
        <v/>
      </c>
      <c r="AG127" s="8">
        <f>IF(AG$3="","",IFERROR(LEFT(TRIM(INDEX(Forms貼り付け!$A:$AZ,126,AG$3)),1),""))</f>
        <v/>
      </c>
      <c r="AH127" s="8">
        <f>IF(AH$3="","",IFERROR(LEFT(TRIM(INDEX(Forms貼り付け!$A:$AZ,126,AH$3)),1),""))</f>
        <v/>
      </c>
      <c r="AI127" s="8">
        <f>IF(AI$3="","",IFERROR(LEFT(TRIM(INDEX(Forms貼り付け!$A:$AZ,126,AI$3)),1),""))</f>
        <v/>
      </c>
      <c r="AJ127" s="8">
        <f>IF(AJ$3="","",IFERROR(LEFT(TRIM(INDEX(Forms貼り付け!$A:$AZ,126,AJ$3)),1),""))</f>
        <v/>
      </c>
      <c r="AK127" s="8">
        <f>IF(AK$3="","",IFERROR(LEFT(TRIM(INDEX(Forms貼り付け!$A:$AZ,126,AK$3)),1),""))</f>
        <v/>
      </c>
      <c r="AL127" s="8">
        <f>IF(AL$3="","",IFERROR(LEFT(TRIM(INDEX(Forms貼り付け!$A:$AZ,126,AL$3)),1),""))</f>
        <v/>
      </c>
      <c r="AM127" s="8">
        <f>IF(AM$3="","",IFERROR(LEFT(TRIM(INDEX(Forms貼り付け!$A:$AZ,126,AM$3)),1),""))</f>
        <v/>
      </c>
      <c r="AN127" s="8">
        <f>IF(AN$3="","",IFERROR(LEFT(TRIM(INDEX(Forms貼り付け!$A:$AZ,126,AN$3)),1),""))</f>
        <v/>
      </c>
      <c r="AO127" s="8">
        <f>IF(AO$3="","",IFERROR(LEFT(TRIM(INDEX(Forms貼り付け!$A:$AZ,126,AO$3)),1),""))</f>
        <v/>
      </c>
      <c r="AP127" s="8">
        <f>IF(AP$3="","",IFERROR(LEFT(TRIM(INDEX(Forms貼り付け!$A:$AZ,126,AP$3)),1),""))</f>
        <v/>
      </c>
      <c r="AQ127" s="8">
        <f>IF(AQ$3="","",IFERROR(LEFT(TRIM(INDEX(Forms貼り付け!$A:$AZ,126,AQ$3)),1),""))</f>
        <v/>
      </c>
      <c r="AR127" s="8">
        <f>IF(AR$3="","",IFERROR(LEFT(TRIM(INDEX(Forms貼り付け!$A:$AZ,126,AR$3)),1),""))</f>
        <v/>
      </c>
      <c r="AS127" s="8">
        <f>IF(AS$3="","",IFERROR(LEFT(TRIM(INDEX(Forms貼り付け!$A:$AZ,126,AS$3)),1),""))</f>
        <v/>
      </c>
      <c r="AT127" s="8">
        <f>IF(AT$3="","",IFERROR(LEFT(TRIM(INDEX(Forms貼り付け!$A:$AZ,126,AT$3)),1),""))</f>
        <v/>
      </c>
      <c r="AU127" s="8">
        <f>IF(AU$3="","",IFERROR(LEFT(TRIM(INDEX(Forms貼り付け!$A:$AZ,126,AU$3)),1),""))</f>
        <v/>
      </c>
      <c r="AV127" s="8">
        <f>IF(AV$3="","",IFERROR(LEFT(TRIM(INDEX(Forms貼り付け!$A:$AZ,126,AV$3)),1),""))</f>
        <v/>
      </c>
      <c r="AW127" s="8">
        <f>IF(AW$3="","",IFERROR(LEFT(TRIM(INDEX(Forms貼り付け!$A:$AZ,126,AW$3)),1),""))</f>
        <v/>
      </c>
      <c r="AX127" s="8">
        <f>IF(AX$3="","",IFERROR(LEFT(TRIM(INDEX(Forms貼り付け!$A:$AZ,126,AX$3)),1),""))</f>
        <v/>
      </c>
      <c r="AY127" s="8">
        <f>IF(AY$3="","",IFERROR(LEFT(TRIM(INDEX(Forms貼り付け!$A:$AZ,126,AY$3)),1),""))</f>
        <v/>
      </c>
      <c r="AZ127" s="8">
        <f>IF(AZ$3="","",IFERROR(LEFT(TRIM(INDEX(Forms貼り付け!$A:$AZ,126,AZ$3)),1),""))</f>
        <v/>
      </c>
      <c r="BA127" s="8">
        <f>IF(BA$3="","",IFERROR(LEFT(TRIM(INDEX(Forms貼り付け!$A:$AZ,126,BA$3)),1),""))</f>
        <v/>
      </c>
      <c r="BB127" s="8">
        <f>IF(BB$3="","",IFERROR(LEFT(TRIM(INDEX(Forms貼り付け!$A:$AZ,126,BB$3)),1),""))</f>
        <v/>
      </c>
      <c r="BC127" s="8">
        <f>IF(BC$3="","",IFERROR(LEFT(TRIM(INDEX(Forms貼り付け!$A:$AZ,126,BC$3)),1),""))</f>
        <v/>
      </c>
    </row>
    <row r="128">
      <c r="A128" s="8" t="inlineStr">
        <is>
          <t>U124</t>
        </is>
      </c>
      <c r="B128" s="9">
        <f>IF($B$3="","",INDEX(Forms貼り付け!$A:$AZ,127,$B$3))</f>
        <v/>
      </c>
      <c r="C128" s="9">
        <f>IF($C$3="","",INDEX(Forms貼り付け!$A:$AZ,127,$C$3))</f>
        <v/>
      </c>
      <c r="D128" s="8">
        <f>IF($D$3="","",INDEX(Forms貼り付け!$A:$AZ,127,$D$3))</f>
        <v/>
      </c>
      <c r="E128" s="8">
        <f>IF($E$3="","",INDEX(Forms貼り付け!$A:$AZ,127,$E$3))</f>
        <v/>
      </c>
      <c r="F128" s="8">
        <f>IF(F$3="","",IFERROR(LEFT(TRIM(INDEX(Forms貼り付け!$A:$AZ,127,F$3)),1),""))</f>
        <v/>
      </c>
      <c r="G128" s="8">
        <f>IF(G$3="","",IFERROR(LEFT(TRIM(INDEX(Forms貼り付け!$A:$AZ,127,G$3)),1),""))</f>
        <v/>
      </c>
      <c r="H128" s="8">
        <f>IF(H$3="","",IFERROR(LEFT(TRIM(INDEX(Forms貼り付け!$A:$AZ,127,H$3)),1),""))</f>
        <v/>
      </c>
      <c r="I128" s="8">
        <f>IF(I$3="","",IFERROR(LEFT(TRIM(INDEX(Forms貼り付け!$A:$AZ,127,I$3)),1),""))</f>
        <v/>
      </c>
      <c r="J128" s="8">
        <f>IF(J$3="","",IFERROR(LEFT(TRIM(INDEX(Forms貼り付け!$A:$AZ,127,J$3)),1),""))</f>
        <v/>
      </c>
      <c r="K128" s="8">
        <f>IF(K$3="","",IFERROR(LEFT(TRIM(INDEX(Forms貼り付け!$A:$AZ,127,K$3)),1),""))</f>
        <v/>
      </c>
      <c r="L128" s="8">
        <f>IF(L$3="","",IFERROR(LEFT(TRIM(INDEX(Forms貼り付け!$A:$AZ,127,L$3)),1),""))</f>
        <v/>
      </c>
      <c r="M128" s="8">
        <f>IF(M$3="","",IFERROR(LEFT(TRIM(INDEX(Forms貼り付け!$A:$AZ,127,M$3)),1),""))</f>
        <v/>
      </c>
      <c r="N128" s="8">
        <f>IF(N$3="","",IFERROR(LEFT(TRIM(INDEX(Forms貼り付け!$A:$AZ,127,N$3)),1),""))</f>
        <v/>
      </c>
      <c r="O128" s="8">
        <f>IF(O$3="","",IFERROR(LEFT(TRIM(INDEX(Forms貼り付け!$A:$AZ,127,O$3)),1),""))</f>
        <v/>
      </c>
      <c r="P128" s="8">
        <f>IF(P$3="","",IFERROR(LEFT(TRIM(INDEX(Forms貼り付け!$A:$AZ,127,P$3)),1),""))</f>
        <v/>
      </c>
      <c r="Q128" s="8">
        <f>IF(Q$3="","",IFERROR(LEFT(TRIM(INDEX(Forms貼り付け!$A:$AZ,127,Q$3)),1),""))</f>
        <v/>
      </c>
      <c r="R128" s="8">
        <f>IF(R$3="","",IFERROR(LEFT(TRIM(INDEX(Forms貼り付け!$A:$AZ,127,R$3)),1),""))</f>
        <v/>
      </c>
      <c r="S128" s="8">
        <f>IF(S$3="","",IFERROR(LEFT(TRIM(INDEX(Forms貼り付け!$A:$AZ,127,S$3)),1),""))</f>
        <v/>
      </c>
      <c r="T128" s="8">
        <f>IF(T$3="","",IFERROR(LEFT(TRIM(INDEX(Forms貼り付け!$A:$AZ,127,T$3)),1),""))</f>
        <v/>
      </c>
      <c r="U128" s="8">
        <f>IF(U$3="","",IFERROR(LEFT(TRIM(INDEX(Forms貼り付け!$A:$AZ,127,U$3)),1),""))</f>
        <v/>
      </c>
      <c r="V128" s="8">
        <f>IF(V$3="","",IFERROR(LEFT(TRIM(INDEX(Forms貼り付け!$A:$AZ,127,V$3)),1),""))</f>
        <v/>
      </c>
      <c r="W128" s="8">
        <f>IF(W$3="","",IFERROR(LEFT(TRIM(INDEX(Forms貼り付け!$A:$AZ,127,W$3)),1),""))</f>
        <v/>
      </c>
      <c r="X128" s="8">
        <f>IF(X$3="","",IFERROR(LEFT(TRIM(INDEX(Forms貼り付け!$A:$AZ,127,X$3)),1),""))</f>
        <v/>
      </c>
      <c r="Y128" s="8">
        <f>IF(Y$3="","",IFERROR(LEFT(TRIM(INDEX(Forms貼り付け!$A:$AZ,127,Y$3)),1),""))</f>
        <v/>
      </c>
      <c r="Z128" s="8">
        <f>IF(Z$3="","",IFERROR(LEFT(TRIM(INDEX(Forms貼り付け!$A:$AZ,127,Z$3)),1),""))</f>
        <v/>
      </c>
      <c r="AA128" s="8">
        <f>IF(AA$3="","",IFERROR(LEFT(TRIM(INDEX(Forms貼り付け!$A:$AZ,127,AA$3)),1),""))</f>
        <v/>
      </c>
      <c r="AB128" s="8">
        <f>IF(AB$3="","",IFERROR(LEFT(TRIM(INDEX(Forms貼り付け!$A:$AZ,127,AB$3)),1),""))</f>
        <v/>
      </c>
      <c r="AC128" s="8">
        <f>IF(AC$3="","",IFERROR(LEFT(TRIM(INDEX(Forms貼り付け!$A:$AZ,127,AC$3)),1),""))</f>
        <v/>
      </c>
      <c r="AD128" s="8">
        <f>IF(AD$3="","",IFERROR(LEFT(TRIM(INDEX(Forms貼り付け!$A:$AZ,127,AD$3)),1),""))</f>
        <v/>
      </c>
      <c r="AE128" s="8">
        <f>IF(AE$3="","",IFERROR(LEFT(TRIM(INDEX(Forms貼り付け!$A:$AZ,127,AE$3)),1),""))</f>
        <v/>
      </c>
      <c r="AF128" s="8">
        <f>IF(AF$3="","",IFERROR(LEFT(TRIM(INDEX(Forms貼り付け!$A:$AZ,127,AF$3)),1),""))</f>
        <v/>
      </c>
      <c r="AG128" s="8">
        <f>IF(AG$3="","",IFERROR(LEFT(TRIM(INDEX(Forms貼り付け!$A:$AZ,127,AG$3)),1),""))</f>
        <v/>
      </c>
      <c r="AH128" s="8">
        <f>IF(AH$3="","",IFERROR(LEFT(TRIM(INDEX(Forms貼り付け!$A:$AZ,127,AH$3)),1),""))</f>
        <v/>
      </c>
      <c r="AI128" s="8">
        <f>IF(AI$3="","",IFERROR(LEFT(TRIM(INDEX(Forms貼り付け!$A:$AZ,127,AI$3)),1),""))</f>
        <v/>
      </c>
      <c r="AJ128" s="8">
        <f>IF(AJ$3="","",IFERROR(LEFT(TRIM(INDEX(Forms貼り付け!$A:$AZ,127,AJ$3)),1),""))</f>
        <v/>
      </c>
      <c r="AK128" s="8">
        <f>IF(AK$3="","",IFERROR(LEFT(TRIM(INDEX(Forms貼り付け!$A:$AZ,127,AK$3)),1),""))</f>
        <v/>
      </c>
      <c r="AL128" s="8">
        <f>IF(AL$3="","",IFERROR(LEFT(TRIM(INDEX(Forms貼り付け!$A:$AZ,127,AL$3)),1),""))</f>
        <v/>
      </c>
      <c r="AM128" s="8">
        <f>IF(AM$3="","",IFERROR(LEFT(TRIM(INDEX(Forms貼り付け!$A:$AZ,127,AM$3)),1),""))</f>
        <v/>
      </c>
      <c r="AN128" s="8">
        <f>IF(AN$3="","",IFERROR(LEFT(TRIM(INDEX(Forms貼り付け!$A:$AZ,127,AN$3)),1),""))</f>
        <v/>
      </c>
      <c r="AO128" s="8">
        <f>IF(AO$3="","",IFERROR(LEFT(TRIM(INDEX(Forms貼り付け!$A:$AZ,127,AO$3)),1),""))</f>
        <v/>
      </c>
      <c r="AP128" s="8">
        <f>IF(AP$3="","",IFERROR(LEFT(TRIM(INDEX(Forms貼り付け!$A:$AZ,127,AP$3)),1),""))</f>
        <v/>
      </c>
      <c r="AQ128" s="8">
        <f>IF(AQ$3="","",IFERROR(LEFT(TRIM(INDEX(Forms貼り付け!$A:$AZ,127,AQ$3)),1),""))</f>
        <v/>
      </c>
      <c r="AR128" s="8">
        <f>IF(AR$3="","",IFERROR(LEFT(TRIM(INDEX(Forms貼り付け!$A:$AZ,127,AR$3)),1),""))</f>
        <v/>
      </c>
      <c r="AS128" s="8">
        <f>IF(AS$3="","",IFERROR(LEFT(TRIM(INDEX(Forms貼り付け!$A:$AZ,127,AS$3)),1),""))</f>
        <v/>
      </c>
      <c r="AT128" s="8">
        <f>IF(AT$3="","",IFERROR(LEFT(TRIM(INDEX(Forms貼り付け!$A:$AZ,127,AT$3)),1),""))</f>
        <v/>
      </c>
      <c r="AU128" s="8">
        <f>IF(AU$3="","",IFERROR(LEFT(TRIM(INDEX(Forms貼り付け!$A:$AZ,127,AU$3)),1),""))</f>
        <v/>
      </c>
      <c r="AV128" s="8">
        <f>IF(AV$3="","",IFERROR(LEFT(TRIM(INDEX(Forms貼り付け!$A:$AZ,127,AV$3)),1),""))</f>
        <v/>
      </c>
      <c r="AW128" s="8">
        <f>IF(AW$3="","",IFERROR(LEFT(TRIM(INDEX(Forms貼り付け!$A:$AZ,127,AW$3)),1),""))</f>
        <v/>
      </c>
      <c r="AX128" s="8">
        <f>IF(AX$3="","",IFERROR(LEFT(TRIM(INDEX(Forms貼り付け!$A:$AZ,127,AX$3)),1),""))</f>
        <v/>
      </c>
      <c r="AY128" s="8">
        <f>IF(AY$3="","",IFERROR(LEFT(TRIM(INDEX(Forms貼り付け!$A:$AZ,127,AY$3)),1),""))</f>
        <v/>
      </c>
      <c r="AZ128" s="8">
        <f>IF(AZ$3="","",IFERROR(LEFT(TRIM(INDEX(Forms貼り付け!$A:$AZ,127,AZ$3)),1),""))</f>
        <v/>
      </c>
      <c r="BA128" s="8">
        <f>IF(BA$3="","",IFERROR(LEFT(TRIM(INDEX(Forms貼り付け!$A:$AZ,127,BA$3)),1),""))</f>
        <v/>
      </c>
      <c r="BB128" s="8">
        <f>IF(BB$3="","",IFERROR(LEFT(TRIM(INDEX(Forms貼り付け!$A:$AZ,127,BB$3)),1),""))</f>
        <v/>
      </c>
      <c r="BC128" s="8">
        <f>IF(BC$3="","",IFERROR(LEFT(TRIM(INDEX(Forms貼り付け!$A:$AZ,127,BC$3)),1),""))</f>
        <v/>
      </c>
    </row>
    <row r="129">
      <c r="A129" s="8" t="inlineStr">
        <is>
          <t>U125</t>
        </is>
      </c>
      <c r="B129" s="9">
        <f>IF($B$3="","",INDEX(Forms貼り付け!$A:$AZ,128,$B$3))</f>
        <v/>
      </c>
      <c r="C129" s="9">
        <f>IF($C$3="","",INDEX(Forms貼り付け!$A:$AZ,128,$C$3))</f>
        <v/>
      </c>
      <c r="D129" s="8">
        <f>IF($D$3="","",INDEX(Forms貼り付け!$A:$AZ,128,$D$3))</f>
        <v/>
      </c>
      <c r="E129" s="8">
        <f>IF($E$3="","",INDEX(Forms貼り付け!$A:$AZ,128,$E$3))</f>
        <v/>
      </c>
      <c r="F129" s="8">
        <f>IF(F$3="","",IFERROR(LEFT(TRIM(INDEX(Forms貼り付け!$A:$AZ,128,F$3)),1),""))</f>
        <v/>
      </c>
      <c r="G129" s="8">
        <f>IF(G$3="","",IFERROR(LEFT(TRIM(INDEX(Forms貼り付け!$A:$AZ,128,G$3)),1),""))</f>
        <v/>
      </c>
      <c r="H129" s="8">
        <f>IF(H$3="","",IFERROR(LEFT(TRIM(INDEX(Forms貼り付け!$A:$AZ,128,H$3)),1),""))</f>
        <v/>
      </c>
      <c r="I129" s="8">
        <f>IF(I$3="","",IFERROR(LEFT(TRIM(INDEX(Forms貼り付け!$A:$AZ,128,I$3)),1),""))</f>
        <v/>
      </c>
      <c r="J129" s="8">
        <f>IF(J$3="","",IFERROR(LEFT(TRIM(INDEX(Forms貼り付け!$A:$AZ,128,J$3)),1),""))</f>
        <v/>
      </c>
      <c r="K129" s="8">
        <f>IF(K$3="","",IFERROR(LEFT(TRIM(INDEX(Forms貼り付け!$A:$AZ,128,K$3)),1),""))</f>
        <v/>
      </c>
      <c r="L129" s="8">
        <f>IF(L$3="","",IFERROR(LEFT(TRIM(INDEX(Forms貼り付け!$A:$AZ,128,L$3)),1),""))</f>
        <v/>
      </c>
      <c r="M129" s="8">
        <f>IF(M$3="","",IFERROR(LEFT(TRIM(INDEX(Forms貼り付け!$A:$AZ,128,M$3)),1),""))</f>
        <v/>
      </c>
      <c r="N129" s="8">
        <f>IF(N$3="","",IFERROR(LEFT(TRIM(INDEX(Forms貼り付け!$A:$AZ,128,N$3)),1),""))</f>
        <v/>
      </c>
      <c r="O129" s="8">
        <f>IF(O$3="","",IFERROR(LEFT(TRIM(INDEX(Forms貼り付け!$A:$AZ,128,O$3)),1),""))</f>
        <v/>
      </c>
      <c r="P129" s="8">
        <f>IF(P$3="","",IFERROR(LEFT(TRIM(INDEX(Forms貼り付け!$A:$AZ,128,P$3)),1),""))</f>
        <v/>
      </c>
      <c r="Q129" s="8">
        <f>IF(Q$3="","",IFERROR(LEFT(TRIM(INDEX(Forms貼り付け!$A:$AZ,128,Q$3)),1),""))</f>
        <v/>
      </c>
      <c r="R129" s="8">
        <f>IF(R$3="","",IFERROR(LEFT(TRIM(INDEX(Forms貼り付け!$A:$AZ,128,R$3)),1),""))</f>
        <v/>
      </c>
      <c r="S129" s="8">
        <f>IF(S$3="","",IFERROR(LEFT(TRIM(INDEX(Forms貼り付け!$A:$AZ,128,S$3)),1),""))</f>
        <v/>
      </c>
      <c r="T129" s="8">
        <f>IF(T$3="","",IFERROR(LEFT(TRIM(INDEX(Forms貼り付け!$A:$AZ,128,T$3)),1),""))</f>
        <v/>
      </c>
      <c r="U129" s="8">
        <f>IF(U$3="","",IFERROR(LEFT(TRIM(INDEX(Forms貼り付け!$A:$AZ,128,U$3)),1),""))</f>
        <v/>
      </c>
      <c r="V129" s="8">
        <f>IF(V$3="","",IFERROR(LEFT(TRIM(INDEX(Forms貼り付け!$A:$AZ,128,V$3)),1),""))</f>
        <v/>
      </c>
      <c r="W129" s="8">
        <f>IF(W$3="","",IFERROR(LEFT(TRIM(INDEX(Forms貼り付け!$A:$AZ,128,W$3)),1),""))</f>
        <v/>
      </c>
      <c r="X129" s="8">
        <f>IF(X$3="","",IFERROR(LEFT(TRIM(INDEX(Forms貼り付け!$A:$AZ,128,X$3)),1),""))</f>
        <v/>
      </c>
      <c r="Y129" s="8">
        <f>IF(Y$3="","",IFERROR(LEFT(TRIM(INDEX(Forms貼り付け!$A:$AZ,128,Y$3)),1),""))</f>
        <v/>
      </c>
      <c r="Z129" s="8">
        <f>IF(Z$3="","",IFERROR(LEFT(TRIM(INDEX(Forms貼り付け!$A:$AZ,128,Z$3)),1),""))</f>
        <v/>
      </c>
      <c r="AA129" s="8">
        <f>IF(AA$3="","",IFERROR(LEFT(TRIM(INDEX(Forms貼り付け!$A:$AZ,128,AA$3)),1),""))</f>
        <v/>
      </c>
      <c r="AB129" s="8">
        <f>IF(AB$3="","",IFERROR(LEFT(TRIM(INDEX(Forms貼り付け!$A:$AZ,128,AB$3)),1),""))</f>
        <v/>
      </c>
      <c r="AC129" s="8">
        <f>IF(AC$3="","",IFERROR(LEFT(TRIM(INDEX(Forms貼り付け!$A:$AZ,128,AC$3)),1),""))</f>
        <v/>
      </c>
      <c r="AD129" s="8">
        <f>IF(AD$3="","",IFERROR(LEFT(TRIM(INDEX(Forms貼り付け!$A:$AZ,128,AD$3)),1),""))</f>
        <v/>
      </c>
      <c r="AE129" s="8">
        <f>IF(AE$3="","",IFERROR(LEFT(TRIM(INDEX(Forms貼り付け!$A:$AZ,128,AE$3)),1),""))</f>
        <v/>
      </c>
      <c r="AF129" s="8">
        <f>IF(AF$3="","",IFERROR(LEFT(TRIM(INDEX(Forms貼り付け!$A:$AZ,128,AF$3)),1),""))</f>
        <v/>
      </c>
      <c r="AG129" s="8">
        <f>IF(AG$3="","",IFERROR(LEFT(TRIM(INDEX(Forms貼り付け!$A:$AZ,128,AG$3)),1),""))</f>
        <v/>
      </c>
      <c r="AH129" s="8">
        <f>IF(AH$3="","",IFERROR(LEFT(TRIM(INDEX(Forms貼り付け!$A:$AZ,128,AH$3)),1),""))</f>
        <v/>
      </c>
      <c r="AI129" s="8">
        <f>IF(AI$3="","",IFERROR(LEFT(TRIM(INDEX(Forms貼り付け!$A:$AZ,128,AI$3)),1),""))</f>
        <v/>
      </c>
      <c r="AJ129" s="8">
        <f>IF(AJ$3="","",IFERROR(LEFT(TRIM(INDEX(Forms貼り付け!$A:$AZ,128,AJ$3)),1),""))</f>
        <v/>
      </c>
      <c r="AK129" s="8">
        <f>IF(AK$3="","",IFERROR(LEFT(TRIM(INDEX(Forms貼り付け!$A:$AZ,128,AK$3)),1),""))</f>
        <v/>
      </c>
      <c r="AL129" s="8">
        <f>IF(AL$3="","",IFERROR(LEFT(TRIM(INDEX(Forms貼り付け!$A:$AZ,128,AL$3)),1),""))</f>
        <v/>
      </c>
      <c r="AM129" s="8">
        <f>IF(AM$3="","",IFERROR(LEFT(TRIM(INDEX(Forms貼り付け!$A:$AZ,128,AM$3)),1),""))</f>
        <v/>
      </c>
      <c r="AN129" s="8">
        <f>IF(AN$3="","",IFERROR(LEFT(TRIM(INDEX(Forms貼り付け!$A:$AZ,128,AN$3)),1),""))</f>
        <v/>
      </c>
      <c r="AO129" s="8">
        <f>IF(AO$3="","",IFERROR(LEFT(TRIM(INDEX(Forms貼り付け!$A:$AZ,128,AO$3)),1),""))</f>
        <v/>
      </c>
      <c r="AP129" s="8">
        <f>IF(AP$3="","",IFERROR(LEFT(TRIM(INDEX(Forms貼り付け!$A:$AZ,128,AP$3)),1),""))</f>
        <v/>
      </c>
      <c r="AQ129" s="8">
        <f>IF(AQ$3="","",IFERROR(LEFT(TRIM(INDEX(Forms貼り付け!$A:$AZ,128,AQ$3)),1),""))</f>
        <v/>
      </c>
      <c r="AR129" s="8">
        <f>IF(AR$3="","",IFERROR(LEFT(TRIM(INDEX(Forms貼り付け!$A:$AZ,128,AR$3)),1),""))</f>
        <v/>
      </c>
      <c r="AS129" s="8">
        <f>IF(AS$3="","",IFERROR(LEFT(TRIM(INDEX(Forms貼り付け!$A:$AZ,128,AS$3)),1),""))</f>
        <v/>
      </c>
      <c r="AT129" s="8">
        <f>IF(AT$3="","",IFERROR(LEFT(TRIM(INDEX(Forms貼り付け!$A:$AZ,128,AT$3)),1),""))</f>
        <v/>
      </c>
      <c r="AU129" s="8">
        <f>IF(AU$3="","",IFERROR(LEFT(TRIM(INDEX(Forms貼り付け!$A:$AZ,128,AU$3)),1),""))</f>
        <v/>
      </c>
      <c r="AV129" s="8">
        <f>IF(AV$3="","",IFERROR(LEFT(TRIM(INDEX(Forms貼り付け!$A:$AZ,128,AV$3)),1),""))</f>
        <v/>
      </c>
      <c r="AW129" s="8">
        <f>IF(AW$3="","",IFERROR(LEFT(TRIM(INDEX(Forms貼り付け!$A:$AZ,128,AW$3)),1),""))</f>
        <v/>
      </c>
      <c r="AX129" s="8">
        <f>IF(AX$3="","",IFERROR(LEFT(TRIM(INDEX(Forms貼り付け!$A:$AZ,128,AX$3)),1),""))</f>
        <v/>
      </c>
      <c r="AY129" s="8">
        <f>IF(AY$3="","",IFERROR(LEFT(TRIM(INDEX(Forms貼り付け!$A:$AZ,128,AY$3)),1),""))</f>
        <v/>
      </c>
      <c r="AZ129" s="8">
        <f>IF(AZ$3="","",IFERROR(LEFT(TRIM(INDEX(Forms貼り付け!$A:$AZ,128,AZ$3)),1),""))</f>
        <v/>
      </c>
      <c r="BA129" s="8">
        <f>IF(BA$3="","",IFERROR(LEFT(TRIM(INDEX(Forms貼り付け!$A:$AZ,128,BA$3)),1),""))</f>
        <v/>
      </c>
      <c r="BB129" s="8">
        <f>IF(BB$3="","",IFERROR(LEFT(TRIM(INDEX(Forms貼り付け!$A:$AZ,128,BB$3)),1),""))</f>
        <v/>
      </c>
      <c r="BC129" s="8">
        <f>IF(BC$3="","",IFERROR(LEFT(TRIM(INDEX(Forms貼り付け!$A:$AZ,128,BC$3)),1),""))</f>
        <v/>
      </c>
    </row>
    <row r="130">
      <c r="A130" s="8" t="inlineStr">
        <is>
          <t>U126</t>
        </is>
      </c>
      <c r="B130" s="9">
        <f>IF($B$3="","",INDEX(Forms貼り付け!$A:$AZ,129,$B$3))</f>
        <v/>
      </c>
      <c r="C130" s="9">
        <f>IF($C$3="","",INDEX(Forms貼り付け!$A:$AZ,129,$C$3))</f>
        <v/>
      </c>
      <c r="D130" s="8">
        <f>IF($D$3="","",INDEX(Forms貼り付け!$A:$AZ,129,$D$3))</f>
        <v/>
      </c>
      <c r="E130" s="8">
        <f>IF($E$3="","",INDEX(Forms貼り付け!$A:$AZ,129,$E$3))</f>
        <v/>
      </c>
      <c r="F130" s="8">
        <f>IF(F$3="","",IFERROR(LEFT(TRIM(INDEX(Forms貼り付け!$A:$AZ,129,F$3)),1),""))</f>
        <v/>
      </c>
      <c r="G130" s="8">
        <f>IF(G$3="","",IFERROR(LEFT(TRIM(INDEX(Forms貼り付け!$A:$AZ,129,G$3)),1),""))</f>
        <v/>
      </c>
      <c r="H130" s="8">
        <f>IF(H$3="","",IFERROR(LEFT(TRIM(INDEX(Forms貼り付け!$A:$AZ,129,H$3)),1),""))</f>
        <v/>
      </c>
      <c r="I130" s="8">
        <f>IF(I$3="","",IFERROR(LEFT(TRIM(INDEX(Forms貼り付け!$A:$AZ,129,I$3)),1),""))</f>
        <v/>
      </c>
      <c r="J130" s="8">
        <f>IF(J$3="","",IFERROR(LEFT(TRIM(INDEX(Forms貼り付け!$A:$AZ,129,J$3)),1),""))</f>
        <v/>
      </c>
      <c r="K130" s="8">
        <f>IF(K$3="","",IFERROR(LEFT(TRIM(INDEX(Forms貼り付け!$A:$AZ,129,K$3)),1),""))</f>
        <v/>
      </c>
      <c r="L130" s="8">
        <f>IF(L$3="","",IFERROR(LEFT(TRIM(INDEX(Forms貼り付け!$A:$AZ,129,L$3)),1),""))</f>
        <v/>
      </c>
      <c r="M130" s="8">
        <f>IF(M$3="","",IFERROR(LEFT(TRIM(INDEX(Forms貼り付け!$A:$AZ,129,M$3)),1),""))</f>
        <v/>
      </c>
      <c r="N130" s="8">
        <f>IF(N$3="","",IFERROR(LEFT(TRIM(INDEX(Forms貼り付け!$A:$AZ,129,N$3)),1),""))</f>
        <v/>
      </c>
      <c r="O130" s="8">
        <f>IF(O$3="","",IFERROR(LEFT(TRIM(INDEX(Forms貼り付け!$A:$AZ,129,O$3)),1),""))</f>
        <v/>
      </c>
      <c r="P130" s="8">
        <f>IF(P$3="","",IFERROR(LEFT(TRIM(INDEX(Forms貼り付け!$A:$AZ,129,P$3)),1),""))</f>
        <v/>
      </c>
      <c r="Q130" s="8">
        <f>IF(Q$3="","",IFERROR(LEFT(TRIM(INDEX(Forms貼り付け!$A:$AZ,129,Q$3)),1),""))</f>
        <v/>
      </c>
      <c r="R130" s="8">
        <f>IF(R$3="","",IFERROR(LEFT(TRIM(INDEX(Forms貼り付け!$A:$AZ,129,R$3)),1),""))</f>
        <v/>
      </c>
      <c r="S130" s="8">
        <f>IF(S$3="","",IFERROR(LEFT(TRIM(INDEX(Forms貼り付け!$A:$AZ,129,S$3)),1),""))</f>
        <v/>
      </c>
      <c r="T130" s="8">
        <f>IF(T$3="","",IFERROR(LEFT(TRIM(INDEX(Forms貼り付け!$A:$AZ,129,T$3)),1),""))</f>
        <v/>
      </c>
      <c r="U130" s="8">
        <f>IF(U$3="","",IFERROR(LEFT(TRIM(INDEX(Forms貼り付け!$A:$AZ,129,U$3)),1),""))</f>
        <v/>
      </c>
      <c r="V130" s="8">
        <f>IF(V$3="","",IFERROR(LEFT(TRIM(INDEX(Forms貼り付け!$A:$AZ,129,V$3)),1),""))</f>
        <v/>
      </c>
      <c r="W130" s="8">
        <f>IF(W$3="","",IFERROR(LEFT(TRIM(INDEX(Forms貼り付け!$A:$AZ,129,W$3)),1),""))</f>
        <v/>
      </c>
      <c r="X130" s="8">
        <f>IF(X$3="","",IFERROR(LEFT(TRIM(INDEX(Forms貼り付け!$A:$AZ,129,X$3)),1),""))</f>
        <v/>
      </c>
      <c r="Y130" s="8">
        <f>IF(Y$3="","",IFERROR(LEFT(TRIM(INDEX(Forms貼り付け!$A:$AZ,129,Y$3)),1),""))</f>
        <v/>
      </c>
      <c r="Z130" s="8">
        <f>IF(Z$3="","",IFERROR(LEFT(TRIM(INDEX(Forms貼り付け!$A:$AZ,129,Z$3)),1),""))</f>
        <v/>
      </c>
      <c r="AA130" s="8">
        <f>IF(AA$3="","",IFERROR(LEFT(TRIM(INDEX(Forms貼り付け!$A:$AZ,129,AA$3)),1),""))</f>
        <v/>
      </c>
      <c r="AB130" s="8">
        <f>IF(AB$3="","",IFERROR(LEFT(TRIM(INDEX(Forms貼り付け!$A:$AZ,129,AB$3)),1),""))</f>
        <v/>
      </c>
      <c r="AC130" s="8">
        <f>IF(AC$3="","",IFERROR(LEFT(TRIM(INDEX(Forms貼り付け!$A:$AZ,129,AC$3)),1),""))</f>
        <v/>
      </c>
      <c r="AD130" s="8">
        <f>IF(AD$3="","",IFERROR(LEFT(TRIM(INDEX(Forms貼り付け!$A:$AZ,129,AD$3)),1),""))</f>
        <v/>
      </c>
      <c r="AE130" s="8">
        <f>IF(AE$3="","",IFERROR(LEFT(TRIM(INDEX(Forms貼り付け!$A:$AZ,129,AE$3)),1),""))</f>
        <v/>
      </c>
      <c r="AF130" s="8">
        <f>IF(AF$3="","",IFERROR(LEFT(TRIM(INDEX(Forms貼り付け!$A:$AZ,129,AF$3)),1),""))</f>
        <v/>
      </c>
      <c r="AG130" s="8">
        <f>IF(AG$3="","",IFERROR(LEFT(TRIM(INDEX(Forms貼り付け!$A:$AZ,129,AG$3)),1),""))</f>
        <v/>
      </c>
      <c r="AH130" s="8">
        <f>IF(AH$3="","",IFERROR(LEFT(TRIM(INDEX(Forms貼り付け!$A:$AZ,129,AH$3)),1),""))</f>
        <v/>
      </c>
      <c r="AI130" s="8">
        <f>IF(AI$3="","",IFERROR(LEFT(TRIM(INDEX(Forms貼り付け!$A:$AZ,129,AI$3)),1),""))</f>
        <v/>
      </c>
      <c r="AJ130" s="8">
        <f>IF(AJ$3="","",IFERROR(LEFT(TRIM(INDEX(Forms貼り付け!$A:$AZ,129,AJ$3)),1),""))</f>
        <v/>
      </c>
      <c r="AK130" s="8">
        <f>IF(AK$3="","",IFERROR(LEFT(TRIM(INDEX(Forms貼り付け!$A:$AZ,129,AK$3)),1),""))</f>
        <v/>
      </c>
      <c r="AL130" s="8">
        <f>IF(AL$3="","",IFERROR(LEFT(TRIM(INDEX(Forms貼り付け!$A:$AZ,129,AL$3)),1),""))</f>
        <v/>
      </c>
      <c r="AM130" s="8">
        <f>IF(AM$3="","",IFERROR(LEFT(TRIM(INDEX(Forms貼り付け!$A:$AZ,129,AM$3)),1),""))</f>
        <v/>
      </c>
      <c r="AN130" s="8">
        <f>IF(AN$3="","",IFERROR(LEFT(TRIM(INDEX(Forms貼り付け!$A:$AZ,129,AN$3)),1),""))</f>
        <v/>
      </c>
      <c r="AO130" s="8">
        <f>IF(AO$3="","",IFERROR(LEFT(TRIM(INDEX(Forms貼り付け!$A:$AZ,129,AO$3)),1),""))</f>
        <v/>
      </c>
      <c r="AP130" s="8">
        <f>IF(AP$3="","",IFERROR(LEFT(TRIM(INDEX(Forms貼り付け!$A:$AZ,129,AP$3)),1),""))</f>
        <v/>
      </c>
      <c r="AQ130" s="8">
        <f>IF(AQ$3="","",IFERROR(LEFT(TRIM(INDEX(Forms貼り付け!$A:$AZ,129,AQ$3)),1),""))</f>
        <v/>
      </c>
      <c r="AR130" s="8">
        <f>IF(AR$3="","",IFERROR(LEFT(TRIM(INDEX(Forms貼り付け!$A:$AZ,129,AR$3)),1),""))</f>
        <v/>
      </c>
      <c r="AS130" s="8">
        <f>IF(AS$3="","",IFERROR(LEFT(TRIM(INDEX(Forms貼り付け!$A:$AZ,129,AS$3)),1),""))</f>
        <v/>
      </c>
      <c r="AT130" s="8">
        <f>IF(AT$3="","",IFERROR(LEFT(TRIM(INDEX(Forms貼り付け!$A:$AZ,129,AT$3)),1),""))</f>
        <v/>
      </c>
      <c r="AU130" s="8">
        <f>IF(AU$3="","",IFERROR(LEFT(TRIM(INDEX(Forms貼り付け!$A:$AZ,129,AU$3)),1),""))</f>
        <v/>
      </c>
      <c r="AV130" s="8">
        <f>IF(AV$3="","",IFERROR(LEFT(TRIM(INDEX(Forms貼り付け!$A:$AZ,129,AV$3)),1),""))</f>
        <v/>
      </c>
      <c r="AW130" s="8">
        <f>IF(AW$3="","",IFERROR(LEFT(TRIM(INDEX(Forms貼り付け!$A:$AZ,129,AW$3)),1),""))</f>
        <v/>
      </c>
      <c r="AX130" s="8">
        <f>IF(AX$3="","",IFERROR(LEFT(TRIM(INDEX(Forms貼り付け!$A:$AZ,129,AX$3)),1),""))</f>
        <v/>
      </c>
      <c r="AY130" s="8">
        <f>IF(AY$3="","",IFERROR(LEFT(TRIM(INDEX(Forms貼り付け!$A:$AZ,129,AY$3)),1),""))</f>
        <v/>
      </c>
      <c r="AZ130" s="8">
        <f>IF(AZ$3="","",IFERROR(LEFT(TRIM(INDEX(Forms貼り付け!$A:$AZ,129,AZ$3)),1),""))</f>
        <v/>
      </c>
      <c r="BA130" s="8">
        <f>IF(BA$3="","",IFERROR(LEFT(TRIM(INDEX(Forms貼り付け!$A:$AZ,129,BA$3)),1),""))</f>
        <v/>
      </c>
      <c r="BB130" s="8">
        <f>IF(BB$3="","",IFERROR(LEFT(TRIM(INDEX(Forms貼り付け!$A:$AZ,129,BB$3)),1),""))</f>
        <v/>
      </c>
      <c r="BC130" s="8">
        <f>IF(BC$3="","",IFERROR(LEFT(TRIM(INDEX(Forms貼り付け!$A:$AZ,129,BC$3)),1),""))</f>
        <v/>
      </c>
    </row>
    <row r="131">
      <c r="A131" s="8" t="inlineStr">
        <is>
          <t>U127</t>
        </is>
      </c>
      <c r="B131" s="9">
        <f>IF($B$3="","",INDEX(Forms貼り付け!$A:$AZ,130,$B$3))</f>
        <v/>
      </c>
      <c r="C131" s="9">
        <f>IF($C$3="","",INDEX(Forms貼り付け!$A:$AZ,130,$C$3))</f>
        <v/>
      </c>
      <c r="D131" s="8">
        <f>IF($D$3="","",INDEX(Forms貼り付け!$A:$AZ,130,$D$3))</f>
        <v/>
      </c>
      <c r="E131" s="8">
        <f>IF($E$3="","",INDEX(Forms貼り付け!$A:$AZ,130,$E$3))</f>
        <v/>
      </c>
      <c r="F131" s="8">
        <f>IF(F$3="","",IFERROR(LEFT(TRIM(INDEX(Forms貼り付け!$A:$AZ,130,F$3)),1),""))</f>
        <v/>
      </c>
      <c r="G131" s="8">
        <f>IF(G$3="","",IFERROR(LEFT(TRIM(INDEX(Forms貼り付け!$A:$AZ,130,G$3)),1),""))</f>
        <v/>
      </c>
      <c r="H131" s="8">
        <f>IF(H$3="","",IFERROR(LEFT(TRIM(INDEX(Forms貼り付け!$A:$AZ,130,H$3)),1),""))</f>
        <v/>
      </c>
      <c r="I131" s="8">
        <f>IF(I$3="","",IFERROR(LEFT(TRIM(INDEX(Forms貼り付け!$A:$AZ,130,I$3)),1),""))</f>
        <v/>
      </c>
      <c r="J131" s="8">
        <f>IF(J$3="","",IFERROR(LEFT(TRIM(INDEX(Forms貼り付け!$A:$AZ,130,J$3)),1),""))</f>
        <v/>
      </c>
      <c r="K131" s="8">
        <f>IF(K$3="","",IFERROR(LEFT(TRIM(INDEX(Forms貼り付け!$A:$AZ,130,K$3)),1),""))</f>
        <v/>
      </c>
      <c r="L131" s="8">
        <f>IF(L$3="","",IFERROR(LEFT(TRIM(INDEX(Forms貼り付け!$A:$AZ,130,L$3)),1),""))</f>
        <v/>
      </c>
      <c r="M131" s="8">
        <f>IF(M$3="","",IFERROR(LEFT(TRIM(INDEX(Forms貼り付け!$A:$AZ,130,M$3)),1),""))</f>
        <v/>
      </c>
      <c r="N131" s="8">
        <f>IF(N$3="","",IFERROR(LEFT(TRIM(INDEX(Forms貼り付け!$A:$AZ,130,N$3)),1),""))</f>
        <v/>
      </c>
      <c r="O131" s="8">
        <f>IF(O$3="","",IFERROR(LEFT(TRIM(INDEX(Forms貼り付け!$A:$AZ,130,O$3)),1),""))</f>
        <v/>
      </c>
      <c r="P131" s="8">
        <f>IF(P$3="","",IFERROR(LEFT(TRIM(INDEX(Forms貼り付け!$A:$AZ,130,P$3)),1),""))</f>
        <v/>
      </c>
      <c r="Q131" s="8">
        <f>IF(Q$3="","",IFERROR(LEFT(TRIM(INDEX(Forms貼り付け!$A:$AZ,130,Q$3)),1),""))</f>
        <v/>
      </c>
      <c r="R131" s="8">
        <f>IF(R$3="","",IFERROR(LEFT(TRIM(INDEX(Forms貼り付け!$A:$AZ,130,R$3)),1),""))</f>
        <v/>
      </c>
      <c r="S131" s="8">
        <f>IF(S$3="","",IFERROR(LEFT(TRIM(INDEX(Forms貼り付け!$A:$AZ,130,S$3)),1),""))</f>
        <v/>
      </c>
      <c r="T131" s="8">
        <f>IF(T$3="","",IFERROR(LEFT(TRIM(INDEX(Forms貼り付け!$A:$AZ,130,T$3)),1),""))</f>
        <v/>
      </c>
      <c r="U131" s="8">
        <f>IF(U$3="","",IFERROR(LEFT(TRIM(INDEX(Forms貼り付け!$A:$AZ,130,U$3)),1),""))</f>
        <v/>
      </c>
      <c r="V131" s="8">
        <f>IF(V$3="","",IFERROR(LEFT(TRIM(INDEX(Forms貼り付け!$A:$AZ,130,V$3)),1),""))</f>
        <v/>
      </c>
      <c r="W131" s="8">
        <f>IF(W$3="","",IFERROR(LEFT(TRIM(INDEX(Forms貼り付け!$A:$AZ,130,W$3)),1),""))</f>
        <v/>
      </c>
      <c r="X131" s="8">
        <f>IF(X$3="","",IFERROR(LEFT(TRIM(INDEX(Forms貼り付け!$A:$AZ,130,X$3)),1),""))</f>
        <v/>
      </c>
      <c r="Y131" s="8">
        <f>IF(Y$3="","",IFERROR(LEFT(TRIM(INDEX(Forms貼り付け!$A:$AZ,130,Y$3)),1),""))</f>
        <v/>
      </c>
      <c r="Z131" s="8">
        <f>IF(Z$3="","",IFERROR(LEFT(TRIM(INDEX(Forms貼り付け!$A:$AZ,130,Z$3)),1),""))</f>
        <v/>
      </c>
      <c r="AA131" s="8">
        <f>IF(AA$3="","",IFERROR(LEFT(TRIM(INDEX(Forms貼り付け!$A:$AZ,130,AA$3)),1),""))</f>
        <v/>
      </c>
      <c r="AB131" s="8">
        <f>IF(AB$3="","",IFERROR(LEFT(TRIM(INDEX(Forms貼り付け!$A:$AZ,130,AB$3)),1),""))</f>
        <v/>
      </c>
      <c r="AC131" s="8">
        <f>IF(AC$3="","",IFERROR(LEFT(TRIM(INDEX(Forms貼り付け!$A:$AZ,130,AC$3)),1),""))</f>
        <v/>
      </c>
      <c r="AD131" s="8">
        <f>IF(AD$3="","",IFERROR(LEFT(TRIM(INDEX(Forms貼り付け!$A:$AZ,130,AD$3)),1),""))</f>
        <v/>
      </c>
      <c r="AE131" s="8">
        <f>IF(AE$3="","",IFERROR(LEFT(TRIM(INDEX(Forms貼り付け!$A:$AZ,130,AE$3)),1),""))</f>
        <v/>
      </c>
      <c r="AF131" s="8">
        <f>IF(AF$3="","",IFERROR(LEFT(TRIM(INDEX(Forms貼り付け!$A:$AZ,130,AF$3)),1),""))</f>
        <v/>
      </c>
      <c r="AG131" s="8">
        <f>IF(AG$3="","",IFERROR(LEFT(TRIM(INDEX(Forms貼り付け!$A:$AZ,130,AG$3)),1),""))</f>
        <v/>
      </c>
      <c r="AH131" s="8">
        <f>IF(AH$3="","",IFERROR(LEFT(TRIM(INDEX(Forms貼り付け!$A:$AZ,130,AH$3)),1),""))</f>
        <v/>
      </c>
      <c r="AI131" s="8">
        <f>IF(AI$3="","",IFERROR(LEFT(TRIM(INDEX(Forms貼り付け!$A:$AZ,130,AI$3)),1),""))</f>
        <v/>
      </c>
      <c r="AJ131" s="8">
        <f>IF(AJ$3="","",IFERROR(LEFT(TRIM(INDEX(Forms貼り付け!$A:$AZ,130,AJ$3)),1),""))</f>
        <v/>
      </c>
      <c r="AK131" s="8">
        <f>IF(AK$3="","",IFERROR(LEFT(TRIM(INDEX(Forms貼り付け!$A:$AZ,130,AK$3)),1),""))</f>
        <v/>
      </c>
      <c r="AL131" s="8">
        <f>IF(AL$3="","",IFERROR(LEFT(TRIM(INDEX(Forms貼り付け!$A:$AZ,130,AL$3)),1),""))</f>
        <v/>
      </c>
      <c r="AM131" s="8">
        <f>IF(AM$3="","",IFERROR(LEFT(TRIM(INDEX(Forms貼り付け!$A:$AZ,130,AM$3)),1),""))</f>
        <v/>
      </c>
      <c r="AN131" s="8">
        <f>IF(AN$3="","",IFERROR(LEFT(TRIM(INDEX(Forms貼り付け!$A:$AZ,130,AN$3)),1),""))</f>
        <v/>
      </c>
      <c r="AO131" s="8">
        <f>IF(AO$3="","",IFERROR(LEFT(TRIM(INDEX(Forms貼り付け!$A:$AZ,130,AO$3)),1),""))</f>
        <v/>
      </c>
      <c r="AP131" s="8">
        <f>IF(AP$3="","",IFERROR(LEFT(TRIM(INDEX(Forms貼り付け!$A:$AZ,130,AP$3)),1),""))</f>
        <v/>
      </c>
      <c r="AQ131" s="8">
        <f>IF(AQ$3="","",IFERROR(LEFT(TRIM(INDEX(Forms貼り付け!$A:$AZ,130,AQ$3)),1),""))</f>
        <v/>
      </c>
      <c r="AR131" s="8">
        <f>IF(AR$3="","",IFERROR(LEFT(TRIM(INDEX(Forms貼り付け!$A:$AZ,130,AR$3)),1),""))</f>
        <v/>
      </c>
      <c r="AS131" s="8">
        <f>IF(AS$3="","",IFERROR(LEFT(TRIM(INDEX(Forms貼り付け!$A:$AZ,130,AS$3)),1),""))</f>
        <v/>
      </c>
      <c r="AT131" s="8">
        <f>IF(AT$3="","",IFERROR(LEFT(TRIM(INDEX(Forms貼り付け!$A:$AZ,130,AT$3)),1),""))</f>
        <v/>
      </c>
      <c r="AU131" s="8">
        <f>IF(AU$3="","",IFERROR(LEFT(TRIM(INDEX(Forms貼り付け!$A:$AZ,130,AU$3)),1),""))</f>
        <v/>
      </c>
      <c r="AV131" s="8">
        <f>IF(AV$3="","",IFERROR(LEFT(TRIM(INDEX(Forms貼り付け!$A:$AZ,130,AV$3)),1),""))</f>
        <v/>
      </c>
      <c r="AW131" s="8">
        <f>IF(AW$3="","",IFERROR(LEFT(TRIM(INDEX(Forms貼り付け!$A:$AZ,130,AW$3)),1),""))</f>
        <v/>
      </c>
      <c r="AX131" s="8">
        <f>IF(AX$3="","",IFERROR(LEFT(TRIM(INDEX(Forms貼り付け!$A:$AZ,130,AX$3)),1),""))</f>
        <v/>
      </c>
      <c r="AY131" s="8">
        <f>IF(AY$3="","",IFERROR(LEFT(TRIM(INDEX(Forms貼り付け!$A:$AZ,130,AY$3)),1),""))</f>
        <v/>
      </c>
      <c r="AZ131" s="8">
        <f>IF(AZ$3="","",IFERROR(LEFT(TRIM(INDEX(Forms貼り付け!$A:$AZ,130,AZ$3)),1),""))</f>
        <v/>
      </c>
      <c r="BA131" s="8">
        <f>IF(BA$3="","",IFERROR(LEFT(TRIM(INDEX(Forms貼り付け!$A:$AZ,130,BA$3)),1),""))</f>
        <v/>
      </c>
      <c r="BB131" s="8">
        <f>IF(BB$3="","",IFERROR(LEFT(TRIM(INDEX(Forms貼り付け!$A:$AZ,130,BB$3)),1),""))</f>
        <v/>
      </c>
      <c r="BC131" s="8">
        <f>IF(BC$3="","",IFERROR(LEFT(TRIM(INDEX(Forms貼り付け!$A:$AZ,130,BC$3)),1),""))</f>
        <v/>
      </c>
    </row>
    <row r="132">
      <c r="A132" s="8" t="inlineStr">
        <is>
          <t>U128</t>
        </is>
      </c>
      <c r="B132" s="9">
        <f>IF($B$3="","",INDEX(Forms貼り付け!$A:$AZ,131,$B$3))</f>
        <v/>
      </c>
      <c r="C132" s="9">
        <f>IF($C$3="","",INDEX(Forms貼り付け!$A:$AZ,131,$C$3))</f>
        <v/>
      </c>
      <c r="D132" s="8">
        <f>IF($D$3="","",INDEX(Forms貼り付け!$A:$AZ,131,$D$3))</f>
        <v/>
      </c>
      <c r="E132" s="8">
        <f>IF($E$3="","",INDEX(Forms貼り付け!$A:$AZ,131,$E$3))</f>
        <v/>
      </c>
      <c r="F132" s="8">
        <f>IF(F$3="","",IFERROR(LEFT(TRIM(INDEX(Forms貼り付け!$A:$AZ,131,F$3)),1),""))</f>
        <v/>
      </c>
      <c r="G132" s="8">
        <f>IF(G$3="","",IFERROR(LEFT(TRIM(INDEX(Forms貼り付け!$A:$AZ,131,G$3)),1),""))</f>
        <v/>
      </c>
      <c r="H132" s="8">
        <f>IF(H$3="","",IFERROR(LEFT(TRIM(INDEX(Forms貼り付け!$A:$AZ,131,H$3)),1),""))</f>
        <v/>
      </c>
      <c r="I132" s="8">
        <f>IF(I$3="","",IFERROR(LEFT(TRIM(INDEX(Forms貼り付け!$A:$AZ,131,I$3)),1),""))</f>
        <v/>
      </c>
      <c r="J132" s="8">
        <f>IF(J$3="","",IFERROR(LEFT(TRIM(INDEX(Forms貼り付け!$A:$AZ,131,J$3)),1),""))</f>
        <v/>
      </c>
      <c r="K132" s="8">
        <f>IF(K$3="","",IFERROR(LEFT(TRIM(INDEX(Forms貼り付け!$A:$AZ,131,K$3)),1),""))</f>
        <v/>
      </c>
      <c r="L132" s="8">
        <f>IF(L$3="","",IFERROR(LEFT(TRIM(INDEX(Forms貼り付け!$A:$AZ,131,L$3)),1),""))</f>
        <v/>
      </c>
      <c r="M132" s="8">
        <f>IF(M$3="","",IFERROR(LEFT(TRIM(INDEX(Forms貼り付け!$A:$AZ,131,M$3)),1),""))</f>
        <v/>
      </c>
      <c r="N132" s="8">
        <f>IF(N$3="","",IFERROR(LEFT(TRIM(INDEX(Forms貼り付け!$A:$AZ,131,N$3)),1),""))</f>
        <v/>
      </c>
      <c r="O132" s="8">
        <f>IF(O$3="","",IFERROR(LEFT(TRIM(INDEX(Forms貼り付け!$A:$AZ,131,O$3)),1),""))</f>
        <v/>
      </c>
      <c r="P132" s="8">
        <f>IF(P$3="","",IFERROR(LEFT(TRIM(INDEX(Forms貼り付け!$A:$AZ,131,P$3)),1),""))</f>
        <v/>
      </c>
      <c r="Q132" s="8">
        <f>IF(Q$3="","",IFERROR(LEFT(TRIM(INDEX(Forms貼り付け!$A:$AZ,131,Q$3)),1),""))</f>
        <v/>
      </c>
      <c r="R132" s="8">
        <f>IF(R$3="","",IFERROR(LEFT(TRIM(INDEX(Forms貼り付け!$A:$AZ,131,R$3)),1),""))</f>
        <v/>
      </c>
      <c r="S132" s="8">
        <f>IF(S$3="","",IFERROR(LEFT(TRIM(INDEX(Forms貼り付け!$A:$AZ,131,S$3)),1),""))</f>
        <v/>
      </c>
      <c r="T132" s="8">
        <f>IF(T$3="","",IFERROR(LEFT(TRIM(INDEX(Forms貼り付け!$A:$AZ,131,T$3)),1),""))</f>
        <v/>
      </c>
      <c r="U132" s="8">
        <f>IF(U$3="","",IFERROR(LEFT(TRIM(INDEX(Forms貼り付け!$A:$AZ,131,U$3)),1),""))</f>
        <v/>
      </c>
      <c r="V132" s="8">
        <f>IF(V$3="","",IFERROR(LEFT(TRIM(INDEX(Forms貼り付け!$A:$AZ,131,V$3)),1),""))</f>
        <v/>
      </c>
      <c r="W132" s="8">
        <f>IF(W$3="","",IFERROR(LEFT(TRIM(INDEX(Forms貼り付け!$A:$AZ,131,W$3)),1),""))</f>
        <v/>
      </c>
      <c r="X132" s="8">
        <f>IF(X$3="","",IFERROR(LEFT(TRIM(INDEX(Forms貼り付け!$A:$AZ,131,X$3)),1),""))</f>
        <v/>
      </c>
      <c r="Y132" s="8">
        <f>IF(Y$3="","",IFERROR(LEFT(TRIM(INDEX(Forms貼り付け!$A:$AZ,131,Y$3)),1),""))</f>
        <v/>
      </c>
      <c r="Z132" s="8">
        <f>IF(Z$3="","",IFERROR(LEFT(TRIM(INDEX(Forms貼り付け!$A:$AZ,131,Z$3)),1),""))</f>
        <v/>
      </c>
      <c r="AA132" s="8">
        <f>IF(AA$3="","",IFERROR(LEFT(TRIM(INDEX(Forms貼り付け!$A:$AZ,131,AA$3)),1),""))</f>
        <v/>
      </c>
      <c r="AB132" s="8">
        <f>IF(AB$3="","",IFERROR(LEFT(TRIM(INDEX(Forms貼り付け!$A:$AZ,131,AB$3)),1),""))</f>
        <v/>
      </c>
      <c r="AC132" s="8">
        <f>IF(AC$3="","",IFERROR(LEFT(TRIM(INDEX(Forms貼り付け!$A:$AZ,131,AC$3)),1),""))</f>
        <v/>
      </c>
      <c r="AD132" s="8">
        <f>IF(AD$3="","",IFERROR(LEFT(TRIM(INDEX(Forms貼り付け!$A:$AZ,131,AD$3)),1),""))</f>
        <v/>
      </c>
      <c r="AE132" s="8">
        <f>IF(AE$3="","",IFERROR(LEFT(TRIM(INDEX(Forms貼り付け!$A:$AZ,131,AE$3)),1),""))</f>
        <v/>
      </c>
      <c r="AF132" s="8">
        <f>IF(AF$3="","",IFERROR(LEFT(TRIM(INDEX(Forms貼り付け!$A:$AZ,131,AF$3)),1),""))</f>
        <v/>
      </c>
      <c r="AG132" s="8">
        <f>IF(AG$3="","",IFERROR(LEFT(TRIM(INDEX(Forms貼り付け!$A:$AZ,131,AG$3)),1),""))</f>
        <v/>
      </c>
      <c r="AH132" s="8">
        <f>IF(AH$3="","",IFERROR(LEFT(TRIM(INDEX(Forms貼り付け!$A:$AZ,131,AH$3)),1),""))</f>
        <v/>
      </c>
      <c r="AI132" s="8">
        <f>IF(AI$3="","",IFERROR(LEFT(TRIM(INDEX(Forms貼り付け!$A:$AZ,131,AI$3)),1),""))</f>
        <v/>
      </c>
      <c r="AJ132" s="8">
        <f>IF(AJ$3="","",IFERROR(LEFT(TRIM(INDEX(Forms貼り付け!$A:$AZ,131,AJ$3)),1),""))</f>
        <v/>
      </c>
      <c r="AK132" s="8">
        <f>IF(AK$3="","",IFERROR(LEFT(TRIM(INDEX(Forms貼り付け!$A:$AZ,131,AK$3)),1),""))</f>
        <v/>
      </c>
      <c r="AL132" s="8">
        <f>IF(AL$3="","",IFERROR(LEFT(TRIM(INDEX(Forms貼り付け!$A:$AZ,131,AL$3)),1),""))</f>
        <v/>
      </c>
      <c r="AM132" s="8">
        <f>IF(AM$3="","",IFERROR(LEFT(TRIM(INDEX(Forms貼り付け!$A:$AZ,131,AM$3)),1),""))</f>
        <v/>
      </c>
      <c r="AN132" s="8">
        <f>IF(AN$3="","",IFERROR(LEFT(TRIM(INDEX(Forms貼り付け!$A:$AZ,131,AN$3)),1),""))</f>
        <v/>
      </c>
      <c r="AO132" s="8">
        <f>IF(AO$3="","",IFERROR(LEFT(TRIM(INDEX(Forms貼り付け!$A:$AZ,131,AO$3)),1),""))</f>
        <v/>
      </c>
      <c r="AP132" s="8">
        <f>IF(AP$3="","",IFERROR(LEFT(TRIM(INDEX(Forms貼り付け!$A:$AZ,131,AP$3)),1),""))</f>
        <v/>
      </c>
      <c r="AQ132" s="8">
        <f>IF(AQ$3="","",IFERROR(LEFT(TRIM(INDEX(Forms貼り付け!$A:$AZ,131,AQ$3)),1),""))</f>
        <v/>
      </c>
      <c r="AR132" s="8">
        <f>IF(AR$3="","",IFERROR(LEFT(TRIM(INDEX(Forms貼り付け!$A:$AZ,131,AR$3)),1),""))</f>
        <v/>
      </c>
      <c r="AS132" s="8">
        <f>IF(AS$3="","",IFERROR(LEFT(TRIM(INDEX(Forms貼り付け!$A:$AZ,131,AS$3)),1),""))</f>
        <v/>
      </c>
      <c r="AT132" s="8">
        <f>IF(AT$3="","",IFERROR(LEFT(TRIM(INDEX(Forms貼り付け!$A:$AZ,131,AT$3)),1),""))</f>
        <v/>
      </c>
      <c r="AU132" s="8">
        <f>IF(AU$3="","",IFERROR(LEFT(TRIM(INDEX(Forms貼り付け!$A:$AZ,131,AU$3)),1),""))</f>
        <v/>
      </c>
      <c r="AV132" s="8">
        <f>IF(AV$3="","",IFERROR(LEFT(TRIM(INDEX(Forms貼り付け!$A:$AZ,131,AV$3)),1),""))</f>
        <v/>
      </c>
      <c r="AW132" s="8">
        <f>IF(AW$3="","",IFERROR(LEFT(TRIM(INDEX(Forms貼り付け!$A:$AZ,131,AW$3)),1),""))</f>
        <v/>
      </c>
      <c r="AX132" s="8">
        <f>IF(AX$3="","",IFERROR(LEFT(TRIM(INDEX(Forms貼り付け!$A:$AZ,131,AX$3)),1),""))</f>
        <v/>
      </c>
      <c r="AY132" s="8">
        <f>IF(AY$3="","",IFERROR(LEFT(TRIM(INDEX(Forms貼り付け!$A:$AZ,131,AY$3)),1),""))</f>
        <v/>
      </c>
      <c r="AZ132" s="8">
        <f>IF(AZ$3="","",IFERROR(LEFT(TRIM(INDEX(Forms貼り付け!$A:$AZ,131,AZ$3)),1),""))</f>
        <v/>
      </c>
      <c r="BA132" s="8">
        <f>IF(BA$3="","",IFERROR(LEFT(TRIM(INDEX(Forms貼り付け!$A:$AZ,131,BA$3)),1),""))</f>
        <v/>
      </c>
      <c r="BB132" s="8">
        <f>IF(BB$3="","",IFERROR(LEFT(TRIM(INDEX(Forms貼り付け!$A:$AZ,131,BB$3)),1),""))</f>
        <v/>
      </c>
      <c r="BC132" s="8">
        <f>IF(BC$3="","",IFERROR(LEFT(TRIM(INDEX(Forms貼り付け!$A:$AZ,131,BC$3)),1),""))</f>
        <v/>
      </c>
    </row>
    <row r="133">
      <c r="A133" s="8" t="inlineStr">
        <is>
          <t>U129</t>
        </is>
      </c>
      <c r="B133" s="9">
        <f>IF($B$3="","",INDEX(Forms貼り付け!$A:$AZ,132,$B$3))</f>
        <v/>
      </c>
      <c r="C133" s="9">
        <f>IF($C$3="","",INDEX(Forms貼り付け!$A:$AZ,132,$C$3))</f>
        <v/>
      </c>
      <c r="D133" s="8">
        <f>IF($D$3="","",INDEX(Forms貼り付け!$A:$AZ,132,$D$3))</f>
        <v/>
      </c>
      <c r="E133" s="8">
        <f>IF($E$3="","",INDEX(Forms貼り付け!$A:$AZ,132,$E$3))</f>
        <v/>
      </c>
      <c r="F133" s="8">
        <f>IF(F$3="","",IFERROR(LEFT(TRIM(INDEX(Forms貼り付け!$A:$AZ,132,F$3)),1),""))</f>
        <v/>
      </c>
      <c r="G133" s="8">
        <f>IF(G$3="","",IFERROR(LEFT(TRIM(INDEX(Forms貼り付け!$A:$AZ,132,G$3)),1),""))</f>
        <v/>
      </c>
      <c r="H133" s="8">
        <f>IF(H$3="","",IFERROR(LEFT(TRIM(INDEX(Forms貼り付け!$A:$AZ,132,H$3)),1),""))</f>
        <v/>
      </c>
      <c r="I133" s="8">
        <f>IF(I$3="","",IFERROR(LEFT(TRIM(INDEX(Forms貼り付け!$A:$AZ,132,I$3)),1),""))</f>
        <v/>
      </c>
      <c r="J133" s="8">
        <f>IF(J$3="","",IFERROR(LEFT(TRIM(INDEX(Forms貼り付け!$A:$AZ,132,J$3)),1),""))</f>
        <v/>
      </c>
      <c r="K133" s="8">
        <f>IF(K$3="","",IFERROR(LEFT(TRIM(INDEX(Forms貼り付け!$A:$AZ,132,K$3)),1),""))</f>
        <v/>
      </c>
      <c r="L133" s="8">
        <f>IF(L$3="","",IFERROR(LEFT(TRIM(INDEX(Forms貼り付け!$A:$AZ,132,L$3)),1),""))</f>
        <v/>
      </c>
      <c r="M133" s="8">
        <f>IF(M$3="","",IFERROR(LEFT(TRIM(INDEX(Forms貼り付け!$A:$AZ,132,M$3)),1),""))</f>
        <v/>
      </c>
      <c r="N133" s="8">
        <f>IF(N$3="","",IFERROR(LEFT(TRIM(INDEX(Forms貼り付け!$A:$AZ,132,N$3)),1),""))</f>
        <v/>
      </c>
      <c r="O133" s="8">
        <f>IF(O$3="","",IFERROR(LEFT(TRIM(INDEX(Forms貼り付け!$A:$AZ,132,O$3)),1),""))</f>
        <v/>
      </c>
      <c r="P133" s="8">
        <f>IF(P$3="","",IFERROR(LEFT(TRIM(INDEX(Forms貼り付け!$A:$AZ,132,P$3)),1),""))</f>
        <v/>
      </c>
      <c r="Q133" s="8">
        <f>IF(Q$3="","",IFERROR(LEFT(TRIM(INDEX(Forms貼り付け!$A:$AZ,132,Q$3)),1),""))</f>
        <v/>
      </c>
      <c r="R133" s="8">
        <f>IF(R$3="","",IFERROR(LEFT(TRIM(INDEX(Forms貼り付け!$A:$AZ,132,R$3)),1),""))</f>
        <v/>
      </c>
      <c r="S133" s="8">
        <f>IF(S$3="","",IFERROR(LEFT(TRIM(INDEX(Forms貼り付け!$A:$AZ,132,S$3)),1),""))</f>
        <v/>
      </c>
      <c r="T133" s="8">
        <f>IF(T$3="","",IFERROR(LEFT(TRIM(INDEX(Forms貼り付け!$A:$AZ,132,T$3)),1),""))</f>
        <v/>
      </c>
      <c r="U133" s="8">
        <f>IF(U$3="","",IFERROR(LEFT(TRIM(INDEX(Forms貼り付け!$A:$AZ,132,U$3)),1),""))</f>
        <v/>
      </c>
      <c r="V133" s="8">
        <f>IF(V$3="","",IFERROR(LEFT(TRIM(INDEX(Forms貼り付け!$A:$AZ,132,V$3)),1),""))</f>
        <v/>
      </c>
      <c r="W133" s="8">
        <f>IF(W$3="","",IFERROR(LEFT(TRIM(INDEX(Forms貼り付け!$A:$AZ,132,W$3)),1),""))</f>
        <v/>
      </c>
      <c r="X133" s="8">
        <f>IF(X$3="","",IFERROR(LEFT(TRIM(INDEX(Forms貼り付け!$A:$AZ,132,X$3)),1),""))</f>
        <v/>
      </c>
      <c r="Y133" s="8">
        <f>IF(Y$3="","",IFERROR(LEFT(TRIM(INDEX(Forms貼り付け!$A:$AZ,132,Y$3)),1),""))</f>
        <v/>
      </c>
      <c r="Z133" s="8">
        <f>IF(Z$3="","",IFERROR(LEFT(TRIM(INDEX(Forms貼り付け!$A:$AZ,132,Z$3)),1),""))</f>
        <v/>
      </c>
      <c r="AA133" s="8">
        <f>IF(AA$3="","",IFERROR(LEFT(TRIM(INDEX(Forms貼り付け!$A:$AZ,132,AA$3)),1),""))</f>
        <v/>
      </c>
      <c r="AB133" s="8">
        <f>IF(AB$3="","",IFERROR(LEFT(TRIM(INDEX(Forms貼り付け!$A:$AZ,132,AB$3)),1),""))</f>
        <v/>
      </c>
      <c r="AC133" s="8">
        <f>IF(AC$3="","",IFERROR(LEFT(TRIM(INDEX(Forms貼り付け!$A:$AZ,132,AC$3)),1),""))</f>
        <v/>
      </c>
      <c r="AD133" s="8">
        <f>IF(AD$3="","",IFERROR(LEFT(TRIM(INDEX(Forms貼り付け!$A:$AZ,132,AD$3)),1),""))</f>
        <v/>
      </c>
      <c r="AE133" s="8">
        <f>IF(AE$3="","",IFERROR(LEFT(TRIM(INDEX(Forms貼り付け!$A:$AZ,132,AE$3)),1),""))</f>
        <v/>
      </c>
      <c r="AF133" s="8">
        <f>IF(AF$3="","",IFERROR(LEFT(TRIM(INDEX(Forms貼り付け!$A:$AZ,132,AF$3)),1),""))</f>
        <v/>
      </c>
      <c r="AG133" s="8">
        <f>IF(AG$3="","",IFERROR(LEFT(TRIM(INDEX(Forms貼り付け!$A:$AZ,132,AG$3)),1),""))</f>
        <v/>
      </c>
      <c r="AH133" s="8">
        <f>IF(AH$3="","",IFERROR(LEFT(TRIM(INDEX(Forms貼り付け!$A:$AZ,132,AH$3)),1),""))</f>
        <v/>
      </c>
      <c r="AI133" s="8">
        <f>IF(AI$3="","",IFERROR(LEFT(TRIM(INDEX(Forms貼り付け!$A:$AZ,132,AI$3)),1),""))</f>
        <v/>
      </c>
      <c r="AJ133" s="8">
        <f>IF(AJ$3="","",IFERROR(LEFT(TRIM(INDEX(Forms貼り付け!$A:$AZ,132,AJ$3)),1),""))</f>
        <v/>
      </c>
      <c r="AK133" s="8">
        <f>IF(AK$3="","",IFERROR(LEFT(TRIM(INDEX(Forms貼り付け!$A:$AZ,132,AK$3)),1),""))</f>
        <v/>
      </c>
      <c r="AL133" s="8">
        <f>IF(AL$3="","",IFERROR(LEFT(TRIM(INDEX(Forms貼り付け!$A:$AZ,132,AL$3)),1),""))</f>
        <v/>
      </c>
      <c r="AM133" s="8">
        <f>IF(AM$3="","",IFERROR(LEFT(TRIM(INDEX(Forms貼り付け!$A:$AZ,132,AM$3)),1),""))</f>
        <v/>
      </c>
      <c r="AN133" s="8">
        <f>IF(AN$3="","",IFERROR(LEFT(TRIM(INDEX(Forms貼り付け!$A:$AZ,132,AN$3)),1),""))</f>
        <v/>
      </c>
      <c r="AO133" s="8">
        <f>IF(AO$3="","",IFERROR(LEFT(TRIM(INDEX(Forms貼り付け!$A:$AZ,132,AO$3)),1),""))</f>
        <v/>
      </c>
      <c r="AP133" s="8">
        <f>IF(AP$3="","",IFERROR(LEFT(TRIM(INDEX(Forms貼り付け!$A:$AZ,132,AP$3)),1),""))</f>
        <v/>
      </c>
      <c r="AQ133" s="8">
        <f>IF(AQ$3="","",IFERROR(LEFT(TRIM(INDEX(Forms貼り付け!$A:$AZ,132,AQ$3)),1),""))</f>
        <v/>
      </c>
      <c r="AR133" s="8">
        <f>IF(AR$3="","",IFERROR(LEFT(TRIM(INDEX(Forms貼り付け!$A:$AZ,132,AR$3)),1),""))</f>
        <v/>
      </c>
      <c r="AS133" s="8">
        <f>IF(AS$3="","",IFERROR(LEFT(TRIM(INDEX(Forms貼り付け!$A:$AZ,132,AS$3)),1),""))</f>
        <v/>
      </c>
      <c r="AT133" s="8">
        <f>IF(AT$3="","",IFERROR(LEFT(TRIM(INDEX(Forms貼り付け!$A:$AZ,132,AT$3)),1),""))</f>
        <v/>
      </c>
      <c r="AU133" s="8">
        <f>IF(AU$3="","",IFERROR(LEFT(TRIM(INDEX(Forms貼り付け!$A:$AZ,132,AU$3)),1),""))</f>
        <v/>
      </c>
      <c r="AV133" s="8">
        <f>IF(AV$3="","",IFERROR(LEFT(TRIM(INDEX(Forms貼り付け!$A:$AZ,132,AV$3)),1),""))</f>
        <v/>
      </c>
      <c r="AW133" s="8">
        <f>IF(AW$3="","",IFERROR(LEFT(TRIM(INDEX(Forms貼り付け!$A:$AZ,132,AW$3)),1),""))</f>
        <v/>
      </c>
      <c r="AX133" s="8">
        <f>IF(AX$3="","",IFERROR(LEFT(TRIM(INDEX(Forms貼り付け!$A:$AZ,132,AX$3)),1),""))</f>
        <v/>
      </c>
      <c r="AY133" s="8">
        <f>IF(AY$3="","",IFERROR(LEFT(TRIM(INDEX(Forms貼り付け!$A:$AZ,132,AY$3)),1),""))</f>
        <v/>
      </c>
      <c r="AZ133" s="8">
        <f>IF(AZ$3="","",IFERROR(LEFT(TRIM(INDEX(Forms貼り付け!$A:$AZ,132,AZ$3)),1),""))</f>
        <v/>
      </c>
      <c r="BA133" s="8">
        <f>IF(BA$3="","",IFERROR(LEFT(TRIM(INDEX(Forms貼り付け!$A:$AZ,132,BA$3)),1),""))</f>
        <v/>
      </c>
      <c r="BB133" s="8">
        <f>IF(BB$3="","",IFERROR(LEFT(TRIM(INDEX(Forms貼り付け!$A:$AZ,132,BB$3)),1),""))</f>
        <v/>
      </c>
      <c r="BC133" s="8">
        <f>IF(BC$3="","",IFERROR(LEFT(TRIM(INDEX(Forms貼り付け!$A:$AZ,132,BC$3)),1),""))</f>
        <v/>
      </c>
    </row>
    <row r="134">
      <c r="A134" s="8" t="inlineStr">
        <is>
          <t>U130</t>
        </is>
      </c>
      <c r="B134" s="9">
        <f>IF($B$3="","",INDEX(Forms貼り付け!$A:$AZ,133,$B$3))</f>
        <v/>
      </c>
      <c r="C134" s="9">
        <f>IF($C$3="","",INDEX(Forms貼り付け!$A:$AZ,133,$C$3))</f>
        <v/>
      </c>
      <c r="D134" s="8">
        <f>IF($D$3="","",INDEX(Forms貼り付け!$A:$AZ,133,$D$3))</f>
        <v/>
      </c>
      <c r="E134" s="8">
        <f>IF($E$3="","",INDEX(Forms貼り付け!$A:$AZ,133,$E$3))</f>
        <v/>
      </c>
      <c r="F134" s="8">
        <f>IF(F$3="","",IFERROR(LEFT(TRIM(INDEX(Forms貼り付け!$A:$AZ,133,F$3)),1),""))</f>
        <v/>
      </c>
      <c r="G134" s="8">
        <f>IF(G$3="","",IFERROR(LEFT(TRIM(INDEX(Forms貼り付け!$A:$AZ,133,G$3)),1),""))</f>
        <v/>
      </c>
      <c r="H134" s="8">
        <f>IF(H$3="","",IFERROR(LEFT(TRIM(INDEX(Forms貼り付け!$A:$AZ,133,H$3)),1),""))</f>
        <v/>
      </c>
      <c r="I134" s="8">
        <f>IF(I$3="","",IFERROR(LEFT(TRIM(INDEX(Forms貼り付け!$A:$AZ,133,I$3)),1),""))</f>
        <v/>
      </c>
      <c r="J134" s="8">
        <f>IF(J$3="","",IFERROR(LEFT(TRIM(INDEX(Forms貼り付け!$A:$AZ,133,J$3)),1),""))</f>
        <v/>
      </c>
      <c r="K134" s="8">
        <f>IF(K$3="","",IFERROR(LEFT(TRIM(INDEX(Forms貼り付け!$A:$AZ,133,K$3)),1),""))</f>
        <v/>
      </c>
      <c r="L134" s="8">
        <f>IF(L$3="","",IFERROR(LEFT(TRIM(INDEX(Forms貼り付け!$A:$AZ,133,L$3)),1),""))</f>
        <v/>
      </c>
      <c r="M134" s="8">
        <f>IF(M$3="","",IFERROR(LEFT(TRIM(INDEX(Forms貼り付け!$A:$AZ,133,M$3)),1),""))</f>
        <v/>
      </c>
      <c r="N134" s="8">
        <f>IF(N$3="","",IFERROR(LEFT(TRIM(INDEX(Forms貼り付け!$A:$AZ,133,N$3)),1),""))</f>
        <v/>
      </c>
      <c r="O134" s="8">
        <f>IF(O$3="","",IFERROR(LEFT(TRIM(INDEX(Forms貼り付け!$A:$AZ,133,O$3)),1),""))</f>
        <v/>
      </c>
      <c r="P134" s="8">
        <f>IF(P$3="","",IFERROR(LEFT(TRIM(INDEX(Forms貼り付け!$A:$AZ,133,P$3)),1),""))</f>
        <v/>
      </c>
      <c r="Q134" s="8">
        <f>IF(Q$3="","",IFERROR(LEFT(TRIM(INDEX(Forms貼り付け!$A:$AZ,133,Q$3)),1),""))</f>
        <v/>
      </c>
      <c r="R134" s="8">
        <f>IF(R$3="","",IFERROR(LEFT(TRIM(INDEX(Forms貼り付け!$A:$AZ,133,R$3)),1),""))</f>
        <v/>
      </c>
      <c r="S134" s="8">
        <f>IF(S$3="","",IFERROR(LEFT(TRIM(INDEX(Forms貼り付け!$A:$AZ,133,S$3)),1),""))</f>
        <v/>
      </c>
      <c r="T134" s="8">
        <f>IF(T$3="","",IFERROR(LEFT(TRIM(INDEX(Forms貼り付け!$A:$AZ,133,T$3)),1),""))</f>
        <v/>
      </c>
      <c r="U134" s="8">
        <f>IF(U$3="","",IFERROR(LEFT(TRIM(INDEX(Forms貼り付け!$A:$AZ,133,U$3)),1),""))</f>
        <v/>
      </c>
      <c r="V134" s="8">
        <f>IF(V$3="","",IFERROR(LEFT(TRIM(INDEX(Forms貼り付け!$A:$AZ,133,V$3)),1),""))</f>
        <v/>
      </c>
      <c r="W134" s="8">
        <f>IF(W$3="","",IFERROR(LEFT(TRIM(INDEX(Forms貼り付け!$A:$AZ,133,W$3)),1),""))</f>
        <v/>
      </c>
      <c r="X134" s="8">
        <f>IF(X$3="","",IFERROR(LEFT(TRIM(INDEX(Forms貼り付け!$A:$AZ,133,X$3)),1),""))</f>
        <v/>
      </c>
      <c r="Y134" s="8">
        <f>IF(Y$3="","",IFERROR(LEFT(TRIM(INDEX(Forms貼り付け!$A:$AZ,133,Y$3)),1),""))</f>
        <v/>
      </c>
      <c r="Z134" s="8">
        <f>IF(Z$3="","",IFERROR(LEFT(TRIM(INDEX(Forms貼り付け!$A:$AZ,133,Z$3)),1),""))</f>
        <v/>
      </c>
      <c r="AA134" s="8">
        <f>IF(AA$3="","",IFERROR(LEFT(TRIM(INDEX(Forms貼り付け!$A:$AZ,133,AA$3)),1),""))</f>
        <v/>
      </c>
      <c r="AB134" s="8">
        <f>IF(AB$3="","",IFERROR(LEFT(TRIM(INDEX(Forms貼り付け!$A:$AZ,133,AB$3)),1),""))</f>
        <v/>
      </c>
      <c r="AC134" s="8">
        <f>IF(AC$3="","",IFERROR(LEFT(TRIM(INDEX(Forms貼り付け!$A:$AZ,133,AC$3)),1),""))</f>
        <v/>
      </c>
      <c r="AD134" s="8">
        <f>IF(AD$3="","",IFERROR(LEFT(TRIM(INDEX(Forms貼り付け!$A:$AZ,133,AD$3)),1),""))</f>
        <v/>
      </c>
      <c r="AE134" s="8">
        <f>IF(AE$3="","",IFERROR(LEFT(TRIM(INDEX(Forms貼り付け!$A:$AZ,133,AE$3)),1),""))</f>
        <v/>
      </c>
      <c r="AF134" s="8">
        <f>IF(AF$3="","",IFERROR(LEFT(TRIM(INDEX(Forms貼り付け!$A:$AZ,133,AF$3)),1),""))</f>
        <v/>
      </c>
      <c r="AG134" s="8">
        <f>IF(AG$3="","",IFERROR(LEFT(TRIM(INDEX(Forms貼り付け!$A:$AZ,133,AG$3)),1),""))</f>
        <v/>
      </c>
      <c r="AH134" s="8">
        <f>IF(AH$3="","",IFERROR(LEFT(TRIM(INDEX(Forms貼り付け!$A:$AZ,133,AH$3)),1),""))</f>
        <v/>
      </c>
      <c r="AI134" s="8">
        <f>IF(AI$3="","",IFERROR(LEFT(TRIM(INDEX(Forms貼り付け!$A:$AZ,133,AI$3)),1),""))</f>
        <v/>
      </c>
      <c r="AJ134" s="8">
        <f>IF(AJ$3="","",IFERROR(LEFT(TRIM(INDEX(Forms貼り付け!$A:$AZ,133,AJ$3)),1),""))</f>
        <v/>
      </c>
      <c r="AK134" s="8">
        <f>IF(AK$3="","",IFERROR(LEFT(TRIM(INDEX(Forms貼り付け!$A:$AZ,133,AK$3)),1),""))</f>
        <v/>
      </c>
      <c r="AL134" s="8">
        <f>IF(AL$3="","",IFERROR(LEFT(TRIM(INDEX(Forms貼り付け!$A:$AZ,133,AL$3)),1),""))</f>
        <v/>
      </c>
      <c r="AM134" s="8">
        <f>IF(AM$3="","",IFERROR(LEFT(TRIM(INDEX(Forms貼り付け!$A:$AZ,133,AM$3)),1),""))</f>
        <v/>
      </c>
      <c r="AN134" s="8">
        <f>IF(AN$3="","",IFERROR(LEFT(TRIM(INDEX(Forms貼り付け!$A:$AZ,133,AN$3)),1),""))</f>
        <v/>
      </c>
      <c r="AO134" s="8">
        <f>IF(AO$3="","",IFERROR(LEFT(TRIM(INDEX(Forms貼り付け!$A:$AZ,133,AO$3)),1),""))</f>
        <v/>
      </c>
      <c r="AP134" s="8">
        <f>IF(AP$3="","",IFERROR(LEFT(TRIM(INDEX(Forms貼り付け!$A:$AZ,133,AP$3)),1),""))</f>
        <v/>
      </c>
      <c r="AQ134" s="8">
        <f>IF(AQ$3="","",IFERROR(LEFT(TRIM(INDEX(Forms貼り付け!$A:$AZ,133,AQ$3)),1),""))</f>
        <v/>
      </c>
      <c r="AR134" s="8">
        <f>IF(AR$3="","",IFERROR(LEFT(TRIM(INDEX(Forms貼り付け!$A:$AZ,133,AR$3)),1),""))</f>
        <v/>
      </c>
      <c r="AS134" s="8">
        <f>IF(AS$3="","",IFERROR(LEFT(TRIM(INDEX(Forms貼り付け!$A:$AZ,133,AS$3)),1),""))</f>
        <v/>
      </c>
      <c r="AT134" s="8">
        <f>IF(AT$3="","",IFERROR(LEFT(TRIM(INDEX(Forms貼り付け!$A:$AZ,133,AT$3)),1),""))</f>
        <v/>
      </c>
      <c r="AU134" s="8">
        <f>IF(AU$3="","",IFERROR(LEFT(TRIM(INDEX(Forms貼り付け!$A:$AZ,133,AU$3)),1),""))</f>
        <v/>
      </c>
      <c r="AV134" s="8">
        <f>IF(AV$3="","",IFERROR(LEFT(TRIM(INDEX(Forms貼り付け!$A:$AZ,133,AV$3)),1),""))</f>
        <v/>
      </c>
      <c r="AW134" s="8">
        <f>IF(AW$3="","",IFERROR(LEFT(TRIM(INDEX(Forms貼り付け!$A:$AZ,133,AW$3)),1),""))</f>
        <v/>
      </c>
      <c r="AX134" s="8">
        <f>IF(AX$3="","",IFERROR(LEFT(TRIM(INDEX(Forms貼り付け!$A:$AZ,133,AX$3)),1),""))</f>
        <v/>
      </c>
      <c r="AY134" s="8">
        <f>IF(AY$3="","",IFERROR(LEFT(TRIM(INDEX(Forms貼り付け!$A:$AZ,133,AY$3)),1),""))</f>
        <v/>
      </c>
      <c r="AZ134" s="8">
        <f>IF(AZ$3="","",IFERROR(LEFT(TRIM(INDEX(Forms貼り付け!$A:$AZ,133,AZ$3)),1),""))</f>
        <v/>
      </c>
      <c r="BA134" s="8">
        <f>IF(BA$3="","",IFERROR(LEFT(TRIM(INDEX(Forms貼り付け!$A:$AZ,133,BA$3)),1),""))</f>
        <v/>
      </c>
      <c r="BB134" s="8">
        <f>IF(BB$3="","",IFERROR(LEFT(TRIM(INDEX(Forms貼り付け!$A:$AZ,133,BB$3)),1),""))</f>
        <v/>
      </c>
      <c r="BC134" s="8">
        <f>IF(BC$3="","",IFERROR(LEFT(TRIM(INDEX(Forms貼り付け!$A:$AZ,133,BC$3)),1),""))</f>
        <v/>
      </c>
    </row>
    <row r="135">
      <c r="A135" s="8" t="inlineStr">
        <is>
          <t>U131</t>
        </is>
      </c>
      <c r="B135" s="9">
        <f>IF($B$3="","",INDEX(Forms貼り付け!$A:$AZ,134,$B$3))</f>
        <v/>
      </c>
      <c r="C135" s="9">
        <f>IF($C$3="","",INDEX(Forms貼り付け!$A:$AZ,134,$C$3))</f>
        <v/>
      </c>
      <c r="D135" s="8">
        <f>IF($D$3="","",INDEX(Forms貼り付け!$A:$AZ,134,$D$3))</f>
        <v/>
      </c>
      <c r="E135" s="8">
        <f>IF($E$3="","",INDEX(Forms貼り付け!$A:$AZ,134,$E$3))</f>
        <v/>
      </c>
      <c r="F135" s="8">
        <f>IF(F$3="","",IFERROR(LEFT(TRIM(INDEX(Forms貼り付け!$A:$AZ,134,F$3)),1),""))</f>
        <v/>
      </c>
      <c r="G135" s="8">
        <f>IF(G$3="","",IFERROR(LEFT(TRIM(INDEX(Forms貼り付け!$A:$AZ,134,G$3)),1),""))</f>
        <v/>
      </c>
      <c r="H135" s="8">
        <f>IF(H$3="","",IFERROR(LEFT(TRIM(INDEX(Forms貼り付け!$A:$AZ,134,H$3)),1),""))</f>
        <v/>
      </c>
      <c r="I135" s="8">
        <f>IF(I$3="","",IFERROR(LEFT(TRIM(INDEX(Forms貼り付け!$A:$AZ,134,I$3)),1),""))</f>
        <v/>
      </c>
      <c r="J135" s="8">
        <f>IF(J$3="","",IFERROR(LEFT(TRIM(INDEX(Forms貼り付け!$A:$AZ,134,J$3)),1),""))</f>
        <v/>
      </c>
      <c r="K135" s="8">
        <f>IF(K$3="","",IFERROR(LEFT(TRIM(INDEX(Forms貼り付け!$A:$AZ,134,K$3)),1),""))</f>
        <v/>
      </c>
      <c r="L135" s="8">
        <f>IF(L$3="","",IFERROR(LEFT(TRIM(INDEX(Forms貼り付け!$A:$AZ,134,L$3)),1),""))</f>
        <v/>
      </c>
      <c r="M135" s="8">
        <f>IF(M$3="","",IFERROR(LEFT(TRIM(INDEX(Forms貼り付け!$A:$AZ,134,M$3)),1),""))</f>
        <v/>
      </c>
      <c r="N135" s="8">
        <f>IF(N$3="","",IFERROR(LEFT(TRIM(INDEX(Forms貼り付け!$A:$AZ,134,N$3)),1),""))</f>
        <v/>
      </c>
      <c r="O135" s="8">
        <f>IF(O$3="","",IFERROR(LEFT(TRIM(INDEX(Forms貼り付け!$A:$AZ,134,O$3)),1),""))</f>
        <v/>
      </c>
      <c r="P135" s="8">
        <f>IF(P$3="","",IFERROR(LEFT(TRIM(INDEX(Forms貼り付け!$A:$AZ,134,P$3)),1),""))</f>
        <v/>
      </c>
      <c r="Q135" s="8">
        <f>IF(Q$3="","",IFERROR(LEFT(TRIM(INDEX(Forms貼り付け!$A:$AZ,134,Q$3)),1),""))</f>
        <v/>
      </c>
      <c r="R135" s="8">
        <f>IF(R$3="","",IFERROR(LEFT(TRIM(INDEX(Forms貼り付け!$A:$AZ,134,R$3)),1),""))</f>
        <v/>
      </c>
      <c r="S135" s="8">
        <f>IF(S$3="","",IFERROR(LEFT(TRIM(INDEX(Forms貼り付け!$A:$AZ,134,S$3)),1),""))</f>
        <v/>
      </c>
      <c r="T135" s="8">
        <f>IF(T$3="","",IFERROR(LEFT(TRIM(INDEX(Forms貼り付け!$A:$AZ,134,T$3)),1),""))</f>
        <v/>
      </c>
      <c r="U135" s="8">
        <f>IF(U$3="","",IFERROR(LEFT(TRIM(INDEX(Forms貼り付け!$A:$AZ,134,U$3)),1),""))</f>
        <v/>
      </c>
      <c r="V135" s="8">
        <f>IF(V$3="","",IFERROR(LEFT(TRIM(INDEX(Forms貼り付け!$A:$AZ,134,V$3)),1),""))</f>
        <v/>
      </c>
      <c r="W135" s="8">
        <f>IF(W$3="","",IFERROR(LEFT(TRIM(INDEX(Forms貼り付け!$A:$AZ,134,W$3)),1),""))</f>
        <v/>
      </c>
      <c r="X135" s="8">
        <f>IF(X$3="","",IFERROR(LEFT(TRIM(INDEX(Forms貼り付け!$A:$AZ,134,X$3)),1),""))</f>
        <v/>
      </c>
      <c r="Y135" s="8">
        <f>IF(Y$3="","",IFERROR(LEFT(TRIM(INDEX(Forms貼り付け!$A:$AZ,134,Y$3)),1),""))</f>
        <v/>
      </c>
      <c r="Z135" s="8">
        <f>IF(Z$3="","",IFERROR(LEFT(TRIM(INDEX(Forms貼り付け!$A:$AZ,134,Z$3)),1),""))</f>
        <v/>
      </c>
      <c r="AA135" s="8">
        <f>IF(AA$3="","",IFERROR(LEFT(TRIM(INDEX(Forms貼り付け!$A:$AZ,134,AA$3)),1),""))</f>
        <v/>
      </c>
      <c r="AB135" s="8">
        <f>IF(AB$3="","",IFERROR(LEFT(TRIM(INDEX(Forms貼り付け!$A:$AZ,134,AB$3)),1),""))</f>
        <v/>
      </c>
      <c r="AC135" s="8">
        <f>IF(AC$3="","",IFERROR(LEFT(TRIM(INDEX(Forms貼り付け!$A:$AZ,134,AC$3)),1),""))</f>
        <v/>
      </c>
      <c r="AD135" s="8">
        <f>IF(AD$3="","",IFERROR(LEFT(TRIM(INDEX(Forms貼り付け!$A:$AZ,134,AD$3)),1),""))</f>
        <v/>
      </c>
      <c r="AE135" s="8">
        <f>IF(AE$3="","",IFERROR(LEFT(TRIM(INDEX(Forms貼り付け!$A:$AZ,134,AE$3)),1),""))</f>
        <v/>
      </c>
      <c r="AF135" s="8">
        <f>IF(AF$3="","",IFERROR(LEFT(TRIM(INDEX(Forms貼り付け!$A:$AZ,134,AF$3)),1),""))</f>
        <v/>
      </c>
      <c r="AG135" s="8">
        <f>IF(AG$3="","",IFERROR(LEFT(TRIM(INDEX(Forms貼り付け!$A:$AZ,134,AG$3)),1),""))</f>
        <v/>
      </c>
      <c r="AH135" s="8">
        <f>IF(AH$3="","",IFERROR(LEFT(TRIM(INDEX(Forms貼り付け!$A:$AZ,134,AH$3)),1),""))</f>
        <v/>
      </c>
      <c r="AI135" s="8">
        <f>IF(AI$3="","",IFERROR(LEFT(TRIM(INDEX(Forms貼り付け!$A:$AZ,134,AI$3)),1),""))</f>
        <v/>
      </c>
      <c r="AJ135" s="8">
        <f>IF(AJ$3="","",IFERROR(LEFT(TRIM(INDEX(Forms貼り付け!$A:$AZ,134,AJ$3)),1),""))</f>
        <v/>
      </c>
      <c r="AK135" s="8">
        <f>IF(AK$3="","",IFERROR(LEFT(TRIM(INDEX(Forms貼り付け!$A:$AZ,134,AK$3)),1),""))</f>
        <v/>
      </c>
      <c r="AL135" s="8">
        <f>IF(AL$3="","",IFERROR(LEFT(TRIM(INDEX(Forms貼り付け!$A:$AZ,134,AL$3)),1),""))</f>
        <v/>
      </c>
      <c r="AM135" s="8">
        <f>IF(AM$3="","",IFERROR(LEFT(TRIM(INDEX(Forms貼り付け!$A:$AZ,134,AM$3)),1),""))</f>
        <v/>
      </c>
      <c r="AN135" s="8">
        <f>IF(AN$3="","",IFERROR(LEFT(TRIM(INDEX(Forms貼り付け!$A:$AZ,134,AN$3)),1),""))</f>
        <v/>
      </c>
      <c r="AO135" s="8">
        <f>IF(AO$3="","",IFERROR(LEFT(TRIM(INDEX(Forms貼り付け!$A:$AZ,134,AO$3)),1),""))</f>
        <v/>
      </c>
      <c r="AP135" s="8">
        <f>IF(AP$3="","",IFERROR(LEFT(TRIM(INDEX(Forms貼り付け!$A:$AZ,134,AP$3)),1),""))</f>
        <v/>
      </c>
      <c r="AQ135" s="8">
        <f>IF(AQ$3="","",IFERROR(LEFT(TRIM(INDEX(Forms貼り付け!$A:$AZ,134,AQ$3)),1),""))</f>
        <v/>
      </c>
      <c r="AR135" s="8">
        <f>IF(AR$3="","",IFERROR(LEFT(TRIM(INDEX(Forms貼り付け!$A:$AZ,134,AR$3)),1),""))</f>
        <v/>
      </c>
      <c r="AS135" s="8">
        <f>IF(AS$3="","",IFERROR(LEFT(TRIM(INDEX(Forms貼り付け!$A:$AZ,134,AS$3)),1),""))</f>
        <v/>
      </c>
      <c r="AT135" s="8">
        <f>IF(AT$3="","",IFERROR(LEFT(TRIM(INDEX(Forms貼り付け!$A:$AZ,134,AT$3)),1),""))</f>
        <v/>
      </c>
      <c r="AU135" s="8">
        <f>IF(AU$3="","",IFERROR(LEFT(TRIM(INDEX(Forms貼り付け!$A:$AZ,134,AU$3)),1),""))</f>
        <v/>
      </c>
      <c r="AV135" s="8">
        <f>IF(AV$3="","",IFERROR(LEFT(TRIM(INDEX(Forms貼り付け!$A:$AZ,134,AV$3)),1),""))</f>
        <v/>
      </c>
      <c r="AW135" s="8">
        <f>IF(AW$3="","",IFERROR(LEFT(TRIM(INDEX(Forms貼り付け!$A:$AZ,134,AW$3)),1),""))</f>
        <v/>
      </c>
      <c r="AX135" s="8">
        <f>IF(AX$3="","",IFERROR(LEFT(TRIM(INDEX(Forms貼り付け!$A:$AZ,134,AX$3)),1),""))</f>
        <v/>
      </c>
      <c r="AY135" s="8">
        <f>IF(AY$3="","",IFERROR(LEFT(TRIM(INDEX(Forms貼り付け!$A:$AZ,134,AY$3)),1),""))</f>
        <v/>
      </c>
      <c r="AZ135" s="8">
        <f>IF(AZ$3="","",IFERROR(LEFT(TRIM(INDEX(Forms貼り付け!$A:$AZ,134,AZ$3)),1),""))</f>
        <v/>
      </c>
      <c r="BA135" s="8">
        <f>IF(BA$3="","",IFERROR(LEFT(TRIM(INDEX(Forms貼り付け!$A:$AZ,134,BA$3)),1),""))</f>
        <v/>
      </c>
      <c r="BB135" s="8">
        <f>IF(BB$3="","",IFERROR(LEFT(TRIM(INDEX(Forms貼り付け!$A:$AZ,134,BB$3)),1),""))</f>
        <v/>
      </c>
      <c r="BC135" s="8">
        <f>IF(BC$3="","",IFERROR(LEFT(TRIM(INDEX(Forms貼り付け!$A:$AZ,134,BC$3)),1),""))</f>
        <v/>
      </c>
    </row>
    <row r="136">
      <c r="A136" s="8" t="inlineStr">
        <is>
          <t>U132</t>
        </is>
      </c>
      <c r="B136" s="9">
        <f>IF($B$3="","",INDEX(Forms貼り付け!$A:$AZ,135,$B$3))</f>
        <v/>
      </c>
      <c r="C136" s="9">
        <f>IF($C$3="","",INDEX(Forms貼り付け!$A:$AZ,135,$C$3))</f>
        <v/>
      </c>
      <c r="D136" s="8">
        <f>IF($D$3="","",INDEX(Forms貼り付け!$A:$AZ,135,$D$3))</f>
        <v/>
      </c>
      <c r="E136" s="8">
        <f>IF($E$3="","",INDEX(Forms貼り付け!$A:$AZ,135,$E$3))</f>
        <v/>
      </c>
      <c r="F136" s="8">
        <f>IF(F$3="","",IFERROR(LEFT(TRIM(INDEX(Forms貼り付け!$A:$AZ,135,F$3)),1),""))</f>
        <v/>
      </c>
      <c r="G136" s="8">
        <f>IF(G$3="","",IFERROR(LEFT(TRIM(INDEX(Forms貼り付け!$A:$AZ,135,G$3)),1),""))</f>
        <v/>
      </c>
      <c r="H136" s="8">
        <f>IF(H$3="","",IFERROR(LEFT(TRIM(INDEX(Forms貼り付け!$A:$AZ,135,H$3)),1),""))</f>
        <v/>
      </c>
      <c r="I136" s="8">
        <f>IF(I$3="","",IFERROR(LEFT(TRIM(INDEX(Forms貼り付け!$A:$AZ,135,I$3)),1),""))</f>
        <v/>
      </c>
      <c r="J136" s="8">
        <f>IF(J$3="","",IFERROR(LEFT(TRIM(INDEX(Forms貼り付け!$A:$AZ,135,J$3)),1),""))</f>
        <v/>
      </c>
      <c r="K136" s="8">
        <f>IF(K$3="","",IFERROR(LEFT(TRIM(INDEX(Forms貼り付け!$A:$AZ,135,K$3)),1),""))</f>
        <v/>
      </c>
      <c r="L136" s="8">
        <f>IF(L$3="","",IFERROR(LEFT(TRIM(INDEX(Forms貼り付け!$A:$AZ,135,L$3)),1),""))</f>
        <v/>
      </c>
      <c r="M136" s="8">
        <f>IF(M$3="","",IFERROR(LEFT(TRIM(INDEX(Forms貼り付け!$A:$AZ,135,M$3)),1),""))</f>
        <v/>
      </c>
      <c r="N136" s="8">
        <f>IF(N$3="","",IFERROR(LEFT(TRIM(INDEX(Forms貼り付け!$A:$AZ,135,N$3)),1),""))</f>
        <v/>
      </c>
      <c r="O136" s="8">
        <f>IF(O$3="","",IFERROR(LEFT(TRIM(INDEX(Forms貼り付け!$A:$AZ,135,O$3)),1),""))</f>
        <v/>
      </c>
      <c r="P136" s="8">
        <f>IF(P$3="","",IFERROR(LEFT(TRIM(INDEX(Forms貼り付け!$A:$AZ,135,P$3)),1),""))</f>
        <v/>
      </c>
      <c r="Q136" s="8">
        <f>IF(Q$3="","",IFERROR(LEFT(TRIM(INDEX(Forms貼り付け!$A:$AZ,135,Q$3)),1),""))</f>
        <v/>
      </c>
      <c r="R136" s="8">
        <f>IF(R$3="","",IFERROR(LEFT(TRIM(INDEX(Forms貼り付け!$A:$AZ,135,R$3)),1),""))</f>
        <v/>
      </c>
      <c r="S136" s="8">
        <f>IF(S$3="","",IFERROR(LEFT(TRIM(INDEX(Forms貼り付け!$A:$AZ,135,S$3)),1),""))</f>
        <v/>
      </c>
      <c r="T136" s="8">
        <f>IF(T$3="","",IFERROR(LEFT(TRIM(INDEX(Forms貼り付け!$A:$AZ,135,T$3)),1),""))</f>
        <v/>
      </c>
      <c r="U136" s="8">
        <f>IF(U$3="","",IFERROR(LEFT(TRIM(INDEX(Forms貼り付け!$A:$AZ,135,U$3)),1),""))</f>
        <v/>
      </c>
      <c r="V136" s="8">
        <f>IF(V$3="","",IFERROR(LEFT(TRIM(INDEX(Forms貼り付け!$A:$AZ,135,V$3)),1),""))</f>
        <v/>
      </c>
      <c r="W136" s="8">
        <f>IF(W$3="","",IFERROR(LEFT(TRIM(INDEX(Forms貼り付け!$A:$AZ,135,W$3)),1),""))</f>
        <v/>
      </c>
      <c r="X136" s="8">
        <f>IF(X$3="","",IFERROR(LEFT(TRIM(INDEX(Forms貼り付け!$A:$AZ,135,X$3)),1),""))</f>
        <v/>
      </c>
      <c r="Y136" s="8">
        <f>IF(Y$3="","",IFERROR(LEFT(TRIM(INDEX(Forms貼り付け!$A:$AZ,135,Y$3)),1),""))</f>
        <v/>
      </c>
      <c r="Z136" s="8">
        <f>IF(Z$3="","",IFERROR(LEFT(TRIM(INDEX(Forms貼り付け!$A:$AZ,135,Z$3)),1),""))</f>
        <v/>
      </c>
      <c r="AA136" s="8">
        <f>IF(AA$3="","",IFERROR(LEFT(TRIM(INDEX(Forms貼り付け!$A:$AZ,135,AA$3)),1),""))</f>
        <v/>
      </c>
      <c r="AB136" s="8">
        <f>IF(AB$3="","",IFERROR(LEFT(TRIM(INDEX(Forms貼り付け!$A:$AZ,135,AB$3)),1),""))</f>
        <v/>
      </c>
      <c r="AC136" s="8">
        <f>IF(AC$3="","",IFERROR(LEFT(TRIM(INDEX(Forms貼り付け!$A:$AZ,135,AC$3)),1),""))</f>
        <v/>
      </c>
      <c r="AD136" s="8">
        <f>IF(AD$3="","",IFERROR(LEFT(TRIM(INDEX(Forms貼り付け!$A:$AZ,135,AD$3)),1),""))</f>
        <v/>
      </c>
      <c r="AE136" s="8">
        <f>IF(AE$3="","",IFERROR(LEFT(TRIM(INDEX(Forms貼り付け!$A:$AZ,135,AE$3)),1),""))</f>
        <v/>
      </c>
      <c r="AF136" s="8">
        <f>IF(AF$3="","",IFERROR(LEFT(TRIM(INDEX(Forms貼り付け!$A:$AZ,135,AF$3)),1),""))</f>
        <v/>
      </c>
      <c r="AG136" s="8">
        <f>IF(AG$3="","",IFERROR(LEFT(TRIM(INDEX(Forms貼り付け!$A:$AZ,135,AG$3)),1),""))</f>
        <v/>
      </c>
      <c r="AH136" s="8">
        <f>IF(AH$3="","",IFERROR(LEFT(TRIM(INDEX(Forms貼り付け!$A:$AZ,135,AH$3)),1),""))</f>
        <v/>
      </c>
      <c r="AI136" s="8">
        <f>IF(AI$3="","",IFERROR(LEFT(TRIM(INDEX(Forms貼り付け!$A:$AZ,135,AI$3)),1),""))</f>
        <v/>
      </c>
      <c r="AJ136" s="8">
        <f>IF(AJ$3="","",IFERROR(LEFT(TRIM(INDEX(Forms貼り付け!$A:$AZ,135,AJ$3)),1),""))</f>
        <v/>
      </c>
      <c r="AK136" s="8">
        <f>IF(AK$3="","",IFERROR(LEFT(TRIM(INDEX(Forms貼り付け!$A:$AZ,135,AK$3)),1),""))</f>
        <v/>
      </c>
      <c r="AL136" s="8">
        <f>IF(AL$3="","",IFERROR(LEFT(TRIM(INDEX(Forms貼り付け!$A:$AZ,135,AL$3)),1),""))</f>
        <v/>
      </c>
      <c r="AM136" s="8">
        <f>IF(AM$3="","",IFERROR(LEFT(TRIM(INDEX(Forms貼り付け!$A:$AZ,135,AM$3)),1),""))</f>
        <v/>
      </c>
      <c r="AN136" s="8">
        <f>IF(AN$3="","",IFERROR(LEFT(TRIM(INDEX(Forms貼り付け!$A:$AZ,135,AN$3)),1),""))</f>
        <v/>
      </c>
      <c r="AO136" s="8">
        <f>IF(AO$3="","",IFERROR(LEFT(TRIM(INDEX(Forms貼り付け!$A:$AZ,135,AO$3)),1),""))</f>
        <v/>
      </c>
      <c r="AP136" s="8">
        <f>IF(AP$3="","",IFERROR(LEFT(TRIM(INDEX(Forms貼り付け!$A:$AZ,135,AP$3)),1),""))</f>
        <v/>
      </c>
      <c r="AQ136" s="8">
        <f>IF(AQ$3="","",IFERROR(LEFT(TRIM(INDEX(Forms貼り付け!$A:$AZ,135,AQ$3)),1),""))</f>
        <v/>
      </c>
      <c r="AR136" s="8">
        <f>IF(AR$3="","",IFERROR(LEFT(TRIM(INDEX(Forms貼り付け!$A:$AZ,135,AR$3)),1),""))</f>
        <v/>
      </c>
      <c r="AS136" s="8">
        <f>IF(AS$3="","",IFERROR(LEFT(TRIM(INDEX(Forms貼り付け!$A:$AZ,135,AS$3)),1),""))</f>
        <v/>
      </c>
      <c r="AT136" s="8">
        <f>IF(AT$3="","",IFERROR(LEFT(TRIM(INDEX(Forms貼り付け!$A:$AZ,135,AT$3)),1),""))</f>
        <v/>
      </c>
      <c r="AU136" s="8">
        <f>IF(AU$3="","",IFERROR(LEFT(TRIM(INDEX(Forms貼り付け!$A:$AZ,135,AU$3)),1),""))</f>
        <v/>
      </c>
      <c r="AV136" s="8">
        <f>IF(AV$3="","",IFERROR(LEFT(TRIM(INDEX(Forms貼り付け!$A:$AZ,135,AV$3)),1),""))</f>
        <v/>
      </c>
      <c r="AW136" s="8">
        <f>IF(AW$3="","",IFERROR(LEFT(TRIM(INDEX(Forms貼り付け!$A:$AZ,135,AW$3)),1),""))</f>
        <v/>
      </c>
      <c r="AX136" s="8">
        <f>IF(AX$3="","",IFERROR(LEFT(TRIM(INDEX(Forms貼り付け!$A:$AZ,135,AX$3)),1),""))</f>
        <v/>
      </c>
      <c r="AY136" s="8">
        <f>IF(AY$3="","",IFERROR(LEFT(TRIM(INDEX(Forms貼り付け!$A:$AZ,135,AY$3)),1),""))</f>
        <v/>
      </c>
      <c r="AZ136" s="8">
        <f>IF(AZ$3="","",IFERROR(LEFT(TRIM(INDEX(Forms貼り付け!$A:$AZ,135,AZ$3)),1),""))</f>
        <v/>
      </c>
      <c r="BA136" s="8">
        <f>IF(BA$3="","",IFERROR(LEFT(TRIM(INDEX(Forms貼り付け!$A:$AZ,135,BA$3)),1),""))</f>
        <v/>
      </c>
      <c r="BB136" s="8">
        <f>IF(BB$3="","",IFERROR(LEFT(TRIM(INDEX(Forms貼り付け!$A:$AZ,135,BB$3)),1),""))</f>
        <v/>
      </c>
      <c r="BC136" s="8">
        <f>IF(BC$3="","",IFERROR(LEFT(TRIM(INDEX(Forms貼り付け!$A:$AZ,135,BC$3)),1),""))</f>
        <v/>
      </c>
    </row>
    <row r="137">
      <c r="A137" s="8" t="inlineStr">
        <is>
          <t>U133</t>
        </is>
      </c>
      <c r="B137" s="9">
        <f>IF($B$3="","",INDEX(Forms貼り付け!$A:$AZ,136,$B$3))</f>
        <v/>
      </c>
      <c r="C137" s="9">
        <f>IF($C$3="","",INDEX(Forms貼り付け!$A:$AZ,136,$C$3))</f>
        <v/>
      </c>
      <c r="D137" s="8">
        <f>IF($D$3="","",INDEX(Forms貼り付け!$A:$AZ,136,$D$3))</f>
        <v/>
      </c>
      <c r="E137" s="8">
        <f>IF($E$3="","",INDEX(Forms貼り付け!$A:$AZ,136,$E$3))</f>
        <v/>
      </c>
      <c r="F137" s="8">
        <f>IF(F$3="","",IFERROR(LEFT(TRIM(INDEX(Forms貼り付け!$A:$AZ,136,F$3)),1),""))</f>
        <v/>
      </c>
      <c r="G137" s="8">
        <f>IF(G$3="","",IFERROR(LEFT(TRIM(INDEX(Forms貼り付け!$A:$AZ,136,G$3)),1),""))</f>
        <v/>
      </c>
      <c r="H137" s="8">
        <f>IF(H$3="","",IFERROR(LEFT(TRIM(INDEX(Forms貼り付け!$A:$AZ,136,H$3)),1),""))</f>
        <v/>
      </c>
      <c r="I137" s="8">
        <f>IF(I$3="","",IFERROR(LEFT(TRIM(INDEX(Forms貼り付け!$A:$AZ,136,I$3)),1),""))</f>
        <v/>
      </c>
      <c r="J137" s="8">
        <f>IF(J$3="","",IFERROR(LEFT(TRIM(INDEX(Forms貼り付け!$A:$AZ,136,J$3)),1),""))</f>
        <v/>
      </c>
      <c r="K137" s="8">
        <f>IF(K$3="","",IFERROR(LEFT(TRIM(INDEX(Forms貼り付け!$A:$AZ,136,K$3)),1),""))</f>
        <v/>
      </c>
      <c r="L137" s="8">
        <f>IF(L$3="","",IFERROR(LEFT(TRIM(INDEX(Forms貼り付け!$A:$AZ,136,L$3)),1),""))</f>
        <v/>
      </c>
      <c r="M137" s="8">
        <f>IF(M$3="","",IFERROR(LEFT(TRIM(INDEX(Forms貼り付け!$A:$AZ,136,M$3)),1),""))</f>
        <v/>
      </c>
      <c r="N137" s="8">
        <f>IF(N$3="","",IFERROR(LEFT(TRIM(INDEX(Forms貼り付け!$A:$AZ,136,N$3)),1),""))</f>
        <v/>
      </c>
      <c r="O137" s="8">
        <f>IF(O$3="","",IFERROR(LEFT(TRIM(INDEX(Forms貼り付け!$A:$AZ,136,O$3)),1),""))</f>
        <v/>
      </c>
      <c r="P137" s="8">
        <f>IF(P$3="","",IFERROR(LEFT(TRIM(INDEX(Forms貼り付け!$A:$AZ,136,P$3)),1),""))</f>
        <v/>
      </c>
      <c r="Q137" s="8">
        <f>IF(Q$3="","",IFERROR(LEFT(TRIM(INDEX(Forms貼り付け!$A:$AZ,136,Q$3)),1),""))</f>
        <v/>
      </c>
      <c r="R137" s="8">
        <f>IF(R$3="","",IFERROR(LEFT(TRIM(INDEX(Forms貼り付け!$A:$AZ,136,R$3)),1),""))</f>
        <v/>
      </c>
      <c r="S137" s="8">
        <f>IF(S$3="","",IFERROR(LEFT(TRIM(INDEX(Forms貼り付け!$A:$AZ,136,S$3)),1),""))</f>
        <v/>
      </c>
      <c r="T137" s="8">
        <f>IF(T$3="","",IFERROR(LEFT(TRIM(INDEX(Forms貼り付け!$A:$AZ,136,T$3)),1),""))</f>
        <v/>
      </c>
      <c r="U137" s="8">
        <f>IF(U$3="","",IFERROR(LEFT(TRIM(INDEX(Forms貼り付け!$A:$AZ,136,U$3)),1),""))</f>
        <v/>
      </c>
      <c r="V137" s="8">
        <f>IF(V$3="","",IFERROR(LEFT(TRIM(INDEX(Forms貼り付け!$A:$AZ,136,V$3)),1),""))</f>
        <v/>
      </c>
      <c r="W137" s="8">
        <f>IF(W$3="","",IFERROR(LEFT(TRIM(INDEX(Forms貼り付け!$A:$AZ,136,W$3)),1),""))</f>
        <v/>
      </c>
      <c r="X137" s="8">
        <f>IF(X$3="","",IFERROR(LEFT(TRIM(INDEX(Forms貼り付け!$A:$AZ,136,X$3)),1),""))</f>
        <v/>
      </c>
      <c r="Y137" s="8">
        <f>IF(Y$3="","",IFERROR(LEFT(TRIM(INDEX(Forms貼り付け!$A:$AZ,136,Y$3)),1),""))</f>
        <v/>
      </c>
      <c r="Z137" s="8">
        <f>IF(Z$3="","",IFERROR(LEFT(TRIM(INDEX(Forms貼り付け!$A:$AZ,136,Z$3)),1),""))</f>
        <v/>
      </c>
      <c r="AA137" s="8">
        <f>IF(AA$3="","",IFERROR(LEFT(TRIM(INDEX(Forms貼り付け!$A:$AZ,136,AA$3)),1),""))</f>
        <v/>
      </c>
      <c r="AB137" s="8">
        <f>IF(AB$3="","",IFERROR(LEFT(TRIM(INDEX(Forms貼り付け!$A:$AZ,136,AB$3)),1),""))</f>
        <v/>
      </c>
      <c r="AC137" s="8">
        <f>IF(AC$3="","",IFERROR(LEFT(TRIM(INDEX(Forms貼り付け!$A:$AZ,136,AC$3)),1),""))</f>
        <v/>
      </c>
      <c r="AD137" s="8">
        <f>IF(AD$3="","",IFERROR(LEFT(TRIM(INDEX(Forms貼り付け!$A:$AZ,136,AD$3)),1),""))</f>
        <v/>
      </c>
      <c r="AE137" s="8">
        <f>IF(AE$3="","",IFERROR(LEFT(TRIM(INDEX(Forms貼り付け!$A:$AZ,136,AE$3)),1),""))</f>
        <v/>
      </c>
      <c r="AF137" s="8">
        <f>IF(AF$3="","",IFERROR(LEFT(TRIM(INDEX(Forms貼り付け!$A:$AZ,136,AF$3)),1),""))</f>
        <v/>
      </c>
      <c r="AG137" s="8">
        <f>IF(AG$3="","",IFERROR(LEFT(TRIM(INDEX(Forms貼り付け!$A:$AZ,136,AG$3)),1),""))</f>
        <v/>
      </c>
      <c r="AH137" s="8">
        <f>IF(AH$3="","",IFERROR(LEFT(TRIM(INDEX(Forms貼り付け!$A:$AZ,136,AH$3)),1),""))</f>
        <v/>
      </c>
      <c r="AI137" s="8">
        <f>IF(AI$3="","",IFERROR(LEFT(TRIM(INDEX(Forms貼り付け!$A:$AZ,136,AI$3)),1),""))</f>
        <v/>
      </c>
      <c r="AJ137" s="8">
        <f>IF(AJ$3="","",IFERROR(LEFT(TRIM(INDEX(Forms貼り付け!$A:$AZ,136,AJ$3)),1),""))</f>
        <v/>
      </c>
      <c r="AK137" s="8">
        <f>IF(AK$3="","",IFERROR(LEFT(TRIM(INDEX(Forms貼り付け!$A:$AZ,136,AK$3)),1),""))</f>
        <v/>
      </c>
      <c r="AL137" s="8">
        <f>IF(AL$3="","",IFERROR(LEFT(TRIM(INDEX(Forms貼り付け!$A:$AZ,136,AL$3)),1),""))</f>
        <v/>
      </c>
      <c r="AM137" s="8">
        <f>IF(AM$3="","",IFERROR(LEFT(TRIM(INDEX(Forms貼り付け!$A:$AZ,136,AM$3)),1),""))</f>
        <v/>
      </c>
      <c r="AN137" s="8">
        <f>IF(AN$3="","",IFERROR(LEFT(TRIM(INDEX(Forms貼り付け!$A:$AZ,136,AN$3)),1),""))</f>
        <v/>
      </c>
      <c r="AO137" s="8">
        <f>IF(AO$3="","",IFERROR(LEFT(TRIM(INDEX(Forms貼り付け!$A:$AZ,136,AO$3)),1),""))</f>
        <v/>
      </c>
      <c r="AP137" s="8">
        <f>IF(AP$3="","",IFERROR(LEFT(TRIM(INDEX(Forms貼り付け!$A:$AZ,136,AP$3)),1),""))</f>
        <v/>
      </c>
      <c r="AQ137" s="8">
        <f>IF(AQ$3="","",IFERROR(LEFT(TRIM(INDEX(Forms貼り付け!$A:$AZ,136,AQ$3)),1),""))</f>
        <v/>
      </c>
      <c r="AR137" s="8">
        <f>IF(AR$3="","",IFERROR(LEFT(TRIM(INDEX(Forms貼り付け!$A:$AZ,136,AR$3)),1),""))</f>
        <v/>
      </c>
      <c r="AS137" s="8">
        <f>IF(AS$3="","",IFERROR(LEFT(TRIM(INDEX(Forms貼り付け!$A:$AZ,136,AS$3)),1),""))</f>
        <v/>
      </c>
      <c r="AT137" s="8">
        <f>IF(AT$3="","",IFERROR(LEFT(TRIM(INDEX(Forms貼り付け!$A:$AZ,136,AT$3)),1),""))</f>
        <v/>
      </c>
      <c r="AU137" s="8">
        <f>IF(AU$3="","",IFERROR(LEFT(TRIM(INDEX(Forms貼り付け!$A:$AZ,136,AU$3)),1),""))</f>
        <v/>
      </c>
      <c r="AV137" s="8">
        <f>IF(AV$3="","",IFERROR(LEFT(TRIM(INDEX(Forms貼り付け!$A:$AZ,136,AV$3)),1),""))</f>
        <v/>
      </c>
      <c r="AW137" s="8">
        <f>IF(AW$3="","",IFERROR(LEFT(TRIM(INDEX(Forms貼り付け!$A:$AZ,136,AW$3)),1),""))</f>
        <v/>
      </c>
      <c r="AX137" s="8">
        <f>IF(AX$3="","",IFERROR(LEFT(TRIM(INDEX(Forms貼り付け!$A:$AZ,136,AX$3)),1),""))</f>
        <v/>
      </c>
      <c r="AY137" s="8">
        <f>IF(AY$3="","",IFERROR(LEFT(TRIM(INDEX(Forms貼り付け!$A:$AZ,136,AY$3)),1),""))</f>
        <v/>
      </c>
      <c r="AZ137" s="8">
        <f>IF(AZ$3="","",IFERROR(LEFT(TRIM(INDEX(Forms貼り付け!$A:$AZ,136,AZ$3)),1),""))</f>
        <v/>
      </c>
      <c r="BA137" s="8">
        <f>IF(BA$3="","",IFERROR(LEFT(TRIM(INDEX(Forms貼り付け!$A:$AZ,136,BA$3)),1),""))</f>
        <v/>
      </c>
      <c r="BB137" s="8">
        <f>IF(BB$3="","",IFERROR(LEFT(TRIM(INDEX(Forms貼り付け!$A:$AZ,136,BB$3)),1),""))</f>
        <v/>
      </c>
      <c r="BC137" s="8">
        <f>IF(BC$3="","",IFERROR(LEFT(TRIM(INDEX(Forms貼り付け!$A:$AZ,136,BC$3)),1),""))</f>
        <v/>
      </c>
    </row>
    <row r="138">
      <c r="A138" s="8" t="inlineStr">
        <is>
          <t>U134</t>
        </is>
      </c>
      <c r="B138" s="9">
        <f>IF($B$3="","",INDEX(Forms貼り付け!$A:$AZ,137,$B$3))</f>
        <v/>
      </c>
      <c r="C138" s="9">
        <f>IF($C$3="","",INDEX(Forms貼り付け!$A:$AZ,137,$C$3))</f>
        <v/>
      </c>
      <c r="D138" s="8">
        <f>IF($D$3="","",INDEX(Forms貼り付け!$A:$AZ,137,$D$3))</f>
        <v/>
      </c>
      <c r="E138" s="8">
        <f>IF($E$3="","",INDEX(Forms貼り付け!$A:$AZ,137,$E$3))</f>
        <v/>
      </c>
      <c r="F138" s="8">
        <f>IF(F$3="","",IFERROR(LEFT(TRIM(INDEX(Forms貼り付け!$A:$AZ,137,F$3)),1),""))</f>
        <v/>
      </c>
      <c r="G138" s="8">
        <f>IF(G$3="","",IFERROR(LEFT(TRIM(INDEX(Forms貼り付け!$A:$AZ,137,G$3)),1),""))</f>
        <v/>
      </c>
      <c r="H138" s="8">
        <f>IF(H$3="","",IFERROR(LEFT(TRIM(INDEX(Forms貼り付け!$A:$AZ,137,H$3)),1),""))</f>
        <v/>
      </c>
      <c r="I138" s="8">
        <f>IF(I$3="","",IFERROR(LEFT(TRIM(INDEX(Forms貼り付け!$A:$AZ,137,I$3)),1),""))</f>
        <v/>
      </c>
      <c r="J138" s="8">
        <f>IF(J$3="","",IFERROR(LEFT(TRIM(INDEX(Forms貼り付け!$A:$AZ,137,J$3)),1),""))</f>
        <v/>
      </c>
      <c r="K138" s="8">
        <f>IF(K$3="","",IFERROR(LEFT(TRIM(INDEX(Forms貼り付け!$A:$AZ,137,K$3)),1),""))</f>
        <v/>
      </c>
      <c r="L138" s="8">
        <f>IF(L$3="","",IFERROR(LEFT(TRIM(INDEX(Forms貼り付け!$A:$AZ,137,L$3)),1),""))</f>
        <v/>
      </c>
      <c r="M138" s="8">
        <f>IF(M$3="","",IFERROR(LEFT(TRIM(INDEX(Forms貼り付け!$A:$AZ,137,M$3)),1),""))</f>
        <v/>
      </c>
      <c r="N138" s="8">
        <f>IF(N$3="","",IFERROR(LEFT(TRIM(INDEX(Forms貼り付け!$A:$AZ,137,N$3)),1),""))</f>
        <v/>
      </c>
      <c r="O138" s="8">
        <f>IF(O$3="","",IFERROR(LEFT(TRIM(INDEX(Forms貼り付け!$A:$AZ,137,O$3)),1),""))</f>
        <v/>
      </c>
      <c r="P138" s="8">
        <f>IF(P$3="","",IFERROR(LEFT(TRIM(INDEX(Forms貼り付け!$A:$AZ,137,P$3)),1),""))</f>
        <v/>
      </c>
      <c r="Q138" s="8">
        <f>IF(Q$3="","",IFERROR(LEFT(TRIM(INDEX(Forms貼り付け!$A:$AZ,137,Q$3)),1),""))</f>
        <v/>
      </c>
      <c r="R138" s="8">
        <f>IF(R$3="","",IFERROR(LEFT(TRIM(INDEX(Forms貼り付け!$A:$AZ,137,R$3)),1),""))</f>
        <v/>
      </c>
      <c r="S138" s="8">
        <f>IF(S$3="","",IFERROR(LEFT(TRIM(INDEX(Forms貼り付け!$A:$AZ,137,S$3)),1),""))</f>
        <v/>
      </c>
      <c r="T138" s="8">
        <f>IF(T$3="","",IFERROR(LEFT(TRIM(INDEX(Forms貼り付け!$A:$AZ,137,T$3)),1),""))</f>
        <v/>
      </c>
      <c r="U138" s="8">
        <f>IF(U$3="","",IFERROR(LEFT(TRIM(INDEX(Forms貼り付け!$A:$AZ,137,U$3)),1),""))</f>
        <v/>
      </c>
      <c r="V138" s="8">
        <f>IF(V$3="","",IFERROR(LEFT(TRIM(INDEX(Forms貼り付け!$A:$AZ,137,V$3)),1),""))</f>
        <v/>
      </c>
      <c r="W138" s="8">
        <f>IF(W$3="","",IFERROR(LEFT(TRIM(INDEX(Forms貼り付け!$A:$AZ,137,W$3)),1),""))</f>
        <v/>
      </c>
      <c r="X138" s="8">
        <f>IF(X$3="","",IFERROR(LEFT(TRIM(INDEX(Forms貼り付け!$A:$AZ,137,X$3)),1),""))</f>
        <v/>
      </c>
      <c r="Y138" s="8">
        <f>IF(Y$3="","",IFERROR(LEFT(TRIM(INDEX(Forms貼り付け!$A:$AZ,137,Y$3)),1),""))</f>
        <v/>
      </c>
      <c r="Z138" s="8">
        <f>IF(Z$3="","",IFERROR(LEFT(TRIM(INDEX(Forms貼り付け!$A:$AZ,137,Z$3)),1),""))</f>
        <v/>
      </c>
      <c r="AA138" s="8">
        <f>IF(AA$3="","",IFERROR(LEFT(TRIM(INDEX(Forms貼り付け!$A:$AZ,137,AA$3)),1),""))</f>
        <v/>
      </c>
      <c r="AB138" s="8">
        <f>IF(AB$3="","",IFERROR(LEFT(TRIM(INDEX(Forms貼り付け!$A:$AZ,137,AB$3)),1),""))</f>
        <v/>
      </c>
      <c r="AC138" s="8">
        <f>IF(AC$3="","",IFERROR(LEFT(TRIM(INDEX(Forms貼り付け!$A:$AZ,137,AC$3)),1),""))</f>
        <v/>
      </c>
      <c r="AD138" s="8">
        <f>IF(AD$3="","",IFERROR(LEFT(TRIM(INDEX(Forms貼り付け!$A:$AZ,137,AD$3)),1),""))</f>
        <v/>
      </c>
      <c r="AE138" s="8">
        <f>IF(AE$3="","",IFERROR(LEFT(TRIM(INDEX(Forms貼り付け!$A:$AZ,137,AE$3)),1),""))</f>
        <v/>
      </c>
      <c r="AF138" s="8">
        <f>IF(AF$3="","",IFERROR(LEFT(TRIM(INDEX(Forms貼り付け!$A:$AZ,137,AF$3)),1),""))</f>
        <v/>
      </c>
      <c r="AG138" s="8">
        <f>IF(AG$3="","",IFERROR(LEFT(TRIM(INDEX(Forms貼り付け!$A:$AZ,137,AG$3)),1),""))</f>
        <v/>
      </c>
      <c r="AH138" s="8">
        <f>IF(AH$3="","",IFERROR(LEFT(TRIM(INDEX(Forms貼り付け!$A:$AZ,137,AH$3)),1),""))</f>
        <v/>
      </c>
      <c r="AI138" s="8">
        <f>IF(AI$3="","",IFERROR(LEFT(TRIM(INDEX(Forms貼り付け!$A:$AZ,137,AI$3)),1),""))</f>
        <v/>
      </c>
      <c r="AJ138" s="8">
        <f>IF(AJ$3="","",IFERROR(LEFT(TRIM(INDEX(Forms貼り付け!$A:$AZ,137,AJ$3)),1),""))</f>
        <v/>
      </c>
      <c r="AK138" s="8">
        <f>IF(AK$3="","",IFERROR(LEFT(TRIM(INDEX(Forms貼り付け!$A:$AZ,137,AK$3)),1),""))</f>
        <v/>
      </c>
      <c r="AL138" s="8">
        <f>IF(AL$3="","",IFERROR(LEFT(TRIM(INDEX(Forms貼り付け!$A:$AZ,137,AL$3)),1),""))</f>
        <v/>
      </c>
      <c r="AM138" s="8">
        <f>IF(AM$3="","",IFERROR(LEFT(TRIM(INDEX(Forms貼り付け!$A:$AZ,137,AM$3)),1),""))</f>
        <v/>
      </c>
      <c r="AN138" s="8">
        <f>IF(AN$3="","",IFERROR(LEFT(TRIM(INDEX(Forms貼り付け!$A:$AZ,137,AN$3)),1),""))</f>
        <v/>
      </c>
      <c r="AO138" s="8">
        <f>IF(AO$3="","",IFERROR(LEFT(TRIM(INDEX(Forms貼り付け!$A:$AZ,137,AO$3)),1),""))</f>
        <v/>
      </c>
      <c r="AP138" s="8">
        <f>IF(AP$3="","",IFERROR(LEFT(TRIM(INDEX(Forms貼り付け!$A:$AZ,137,AP$3)),1),""))</f>
        <v/>
      </c>
      <c r="AQ138" s="8">
        <f>IF(AQ$3="","",IFERROR(LEFT(TRIM(INDEX(Forms貼り付け!$A:$AZ,137,AQ$3)),1),""))</f>
        <v/>
      </c>
      <c r="AR138" s="8">
        <f>IF(AR$3="","",IFERROR(LEFT(TRIM(INDEX(Forms貼り付け!$A:$AZ,137,AR$3)),1),""))</f>
        <v/>
      </c>
      <c r="AS138" s="8">
        <f>IF(AS$3="","",IFERROR(LEFT(TRIM(INDEX(Forms貼り付け!$A:$AZ,137,AS$3)),1),""))</f>
        <v/>
      </c>
      <c r="AT138" s="8">
        <f>IF(AT$3="","",IFERROR(LEFT(TRIM(INDEX(Forms貼り付け!$A:$AZ,137,AT$3)),1),""))</f>
        <v/>
      </c>
      <c r="AU138" s="8">
        <f>IF(AU$3="","",IFERROR(LEFT(TRIM(INDEX(Forms貼り付け!$A:$AZ,137,AU$3)),1),""))</f>
        <v/>
      </c>
      <c r="AV138" s="8">
        <f>IF(AV$3="","",IFERROR(LEFT(TRIM(INDEX(Forms貼り付け!$A:$AZ,137,AV$3)),1),""))</f>
        <v/>
      </c>
      <c r="AW138" s="8">
        <f>IF(AW$3="","",IFERROR(LEFT(TRIM(INDEX(Forms貼り付け!$A:$AZ,137,AW$3)),1),""))</f>
        <v/>
      </c>
      <c r="AX138" s="8">
        <f>IF(AX$3="","",IFERROR(LEFT(TRIM(INDEX(Forms貼り付け!$A:$AZ,137,AX$3)),1),""))</f>
        <v/>
      </c>
      <c r="AY138" s="8">
        <f>IF(AY$3="","",IFERROR(LEFT(TRIM(INDEX(Forms貼り付け!$A:$AZ,137,AY$3)),1),""))</f>
        <v/>
      </c>
      <c r="AZ138" s="8">
        <f>IF(AZ$3="","",IFERROR(LEFT(TRIM(INDEX(Forms貼り付け!$A:$AZ,137,AZ$3)),1),""))</f>
        <v/>
      </c>
      <c r="BA138" s="8">
        <f>IF(BA$3="","",IFERROR(LEFT(TRIM(INDEX(Forms貼り付け!$A:$AZ,137,BA$3)),1),""))</f>
        <v/>
      </c>
      <c r="BB138" s="8">
        <f>IF(BB$3="","",IFERROR(LEFT(TRIM(INDEX(Forms貼り付け!$A:$AZ,137,BB$3)),1),""))</f>
        <v/>
      </c>
      <c r="BC138" s="8">
        <f>IF(BC$3="","",IFERROR(LEFT(TRIM(INDEX(Forms貼り付け!$A:$AZ,137,BC$3)),1),""))</f>
        <v/>
      </c>
    </row>
    <row r="139">
      <c r="A139" s="8" t="inlineStr">
        <is>
          <t>U135</t>
        </is>
      </c>
      <c r="B139" s="9">
        <f>IF($B$3="","",INDEX(Forms貼り付け!$A:$AZ,138,$B$3))</f>
        <v/>
      </c>
      <c r="C139" s="9">
        <f>IF($C$3="","",INDEX(Forms貼り付け!$A:$AZ,138,$C$3))</f>
        <v/>
      </c>
      <c r="D139" s="8">
        <f>IF($D$3="","",INDEX(Forms貼り付け!$A:$AZ,138,$D$3))</f>
        <v/>
      </c>
      <c r="E139" s="8">
        <f>IF($E$3="","",INDEX(Forms貼り付け!$A:$AZ,138,$E$3))</f>
        <v/>
      </c>
      <c r="F139" s="8">
        <f>IF(F$3="","",IFERROR(LEFT(TRIM(INDEX(Forms貼り付け!$A:$AZ,138,F$3)),1),""))</f>
        <v/>
      </c>
      <c r="G139" s="8">
        <f>IF(G$3="","",IFERROR(LEFT(TRIM(INDEX(Forms貼り付け!$A:$AZ,138,G$3)),1),""))</f>
        <v/>
      </c>
      <c r="H139" s="8">
        <f>IF(H$3="","",IFERROR(LEFT(TRIM(INDEX(Forms貼り付け!$A:$AZ,138,H$3)),1),""))</f>
        <v/>
      </c>
      <c r="I139" s="8">
        <f>IF(I$3="","",IFERROR(LEFT(TRIM(INDEX(Forms貼り付け!$A:$AZ,138,I$3)),1),""))</f>
        <v/>
      </c>
      <c r="J139" s="8">
        <f>IF(J$3="","",IFERROR(LEFT(TRIM(INDEX(Forms貼り付け!$A:$AZ,138,J$3)),1),""))</f>
        <v/>
      </c>
      <c r="K139" s="8">
        <f>IF(K$3="","",IFERROR(LEFT(TRIM(INDEX(Forms貼り付け!$A:$AZ,138,K$3)),1),""))</f>
        <v/>
      </c>
      <c r="L139" s="8">
        <f>IF(L$3="","",IFERROR(LEFT(TRIM(INDEX(Forms貼り付け!$A:$AZ,138,L$3)),1),""))</f>
        <v/>
      </c>
      <c r="M139" s="8">
        <f>IF(M$3="","",IFERROR(LEFT(TRIM(INDEX(Forms貼り付け!$A:$AZ,138,M$3)),1),""))</f>
        <v/>
      </c>
      <c r="N139" s="8">
        <f>IF(N$3="","",IFERROR(LEFT(TRIM(INDEX(Forms貼り付け!$A:$AZ,138,N$3)),1),""))</f>
        <v/>
      </c>
      <c r="O139" s="8">
        <f>IF(O$3="","",IFERROR(LEFT(TRIM(INDEX(Forms貼り付け!$A:$AZ,138,O$3)),1),""))</f>
        <v/>
      </c>
      <c r="P139" s="8">
        <f>IF(P$3="","",IFERROR(LEFT(TRIM(INDEX(Forms貼り付け!$A:$AZ,138,P$3)),1),""))</f>
        <v/>
      </c>
      <c r="Q139" s="8">
        <f>IF(Q$3="","",IFERROR(LEFT(TRIM(INDEX(Forms貼り付け!$A:$AZ,138,Q$3)),1),""))</f>
        <v/>
      </c>
      <c r="R139" s="8">
        <f>IF(R$3="","",IFERROR(LEFT(TRIM(INDEX(Forms貼り付け!$A:$AZ,138,R$3)),1),""))</f>
        <v/>
      </c>
      <c r="S139" s="8">
        <f>IF(S$3="","",IFERROR(LEFT(TRIM(INDEX(Forms貼り付け!$A:$AZ,138,S$3)),1),""))</f>
        <v/>
      </c>
      <c r="T139" s="8">
        <f>IF(T$3="","",IFERROR(LEFT(TRIM(INDEX(Forms貼り付け!$A:$AZ,138,T$3)),1),""))</f>
        <v/>
      </c>
      <c r="U139" s="8">
        <f>IF(U$3="","",IFERROR(LEFT(TRIM(INDEX(Forms貼り付け!$A:$AZ,138,U$3)),1),""))</f>
        <v/>
      </c>
      <c r="V139" s="8">
        <f>IF(V$3="","",IFERROR(LEFT(TRIM(INDEX(Forms貼り付け!$A:$AZ,138,V$3)),1),""))</f>
        <v/>
      </c>
      <c r="W139" s="8">
        <f>IF(W$3="","",IFERROR(LEFT(TRIM(INDEX(Forms貼り付け!$A:$AZ,138,W$3)),1),""))</f>
        <v/>
      </c>
      <c r="X139" s="8">
        <f>IF(X$3="","",IFERROR(LEFT(TRIM(INDEX(Forms貼り付け!$A:$AZ,138,X$3)),1),""))</f>
        <v/>
      </c>
      <c r="Y139" s="8">
        <f>IF(Y$3="","",IFERROR(LEFT(TRIM(INDEX(Forms貼り付け!$A:$AZ,138,Y$3)),1),""))</f>
        <v/>
      </c>
      <c r="Z139" s="8">
        <f>IF(Z$3="","",IFERROR(LEFT(TRIM(INDEX(Forms貼り付け!$A:$AZ,138,Z$3)),1),""))</f>
        <v/>
      </c>
      <c r="AA139" s="8">
        <f>IF(AA$3="","",IFERROR(LEFT(TRIM(INDEX(Forms貼り付け!$A:$AZ,138,AA$3)),1),""))</f>
        <v/>
      </c>
      <c r="AB139" s="8">
        <f>IF(AB$3="","",IFERROR(LEFT(TRIM(INDEX(Forms貼り付け!$A:$AZ,138,AB$3)),1),""))</f>
        <v/>
      </c>
      <c r="AC139" s="8">
        <f>IF(AC$3="","",IFERROR(LEFT(TRIM(INDEX(Forms貼り付け!$A:$AZ,138,AC$3)),1),""))</f>
        <v/>
      </c>
      <c r="AD139" s="8">
        <f>IF(AD$3="","",IFERROR(LEFT(TRIM(INDEX(Forms貼り付け!$A:$AZ,138,AD$3)),1),""))</f>
        <v/>
      </c>
      <c r="AE139" s="8">
        <f>IF(AE$3="","",IFERROR(LEFT(TRIM(INDEX(Forms貼り付け!$A:$AZ,138,AE$3)),1),""))</f>
        <v/>
      </c>
      <c r="AF139" s="8">
        <f>IF(AF$3="","",IFERROR(LEFT(TRIM(INDEX(Forms貼り付け!$A:$AZ,138,AF$3)),1),""))</f>
        <v/>
      </c>
      <c r="AG139" s="8">
        <f>IF(AG$3="","",IFERROR(LEFT(TRIM(INDEX(Forms貼り付け!$A:$AZ,138,AG$3)),1),""))</f>
        <v/>
      </c>
      <c r="AH139" s="8">
        <f>IF(AH$3="","",IFERROR(LEFT(TRIM(INDEX(Forms貼り付け!$A:$AZ,138,AH$3)),1),""))</f>
        <v/>
      </c>
      <c r="AI139" s="8">
        <f>IF(AI$3="","",IFERROR(LEFT(TRIM(INDEX(Forms貼り付け!$A:$AZ,138,AI$3)),1),""))</f>
        <v/>
      </c>
      <c r="AJ139" s="8">
        <f>IF(AJ$3="","",IFERROR(LEFT(TRIM(INDEX(Forms貼り付け!$A:$AZ,138,AJ$3)),1),""))</f>
        <v/>
      </c>
      <c r="AK139" s="8">
        <f>IF(AK$3="","",IFERROR(LEFT(TRIM(INDEX(Forms貼り付け!$A:$AZ,138,AK$3)),1),""))</f>
        <v/>
      </c>
      <c r="AL139" s="8">
        <f>IF(AL$3="","",IFERROR(LEFT(TRIM(INDEX(Forms貼り付け!$A:$AZ,138,AL$3)),1),""))</f>
        <v/>
      </c>
      <c r="AM139" s="8">
        <f>IF(AM$3="","",IFERROR(LEFT(TRIM(INDEX(Forms貼り付け!$A:$AZ,138,AM$3)),1),""))</f>
        <v/>
      </c>
      <c r="AN139" s="8">
        <f>IF(AN$3="","",IFERROR(LEFT(TRIM(INDEX(Forms貼り付け!$A:$AZ,138,AN$3)),1),""))</f>
        <v/>
      </c>
      <c r="AO139" s="8">
        <f>IF(AO$3="","",IFERROR(LEFT(TRIM(INDEX(Forms貼り付け!$A:$AZ,138,AO$3)),1),""))</f>
        <v/>
      </c>
      <c r="AP139" s="8">
        <f>IF(AP$3="","",IFERROR(LEFT(TRIM(INDEX(Forms貼り付け!$A:$AZ,138,AP$3)),1),""))</f>
        <v/>
      </c>
      <c r="AQ139" s="8">
        <f>IF(AQ$3="","",IFERROR(LEFT(TRIM(INDEX(Forms貼り付け!$A:$AZ,138,AQ$3)),1),""))</f>
        <v/>
      </c>
      <c r="AR139" s="8">
        <f>IF(AR$3="","",IFERROR(LEFT(TRIM(INDEX(Forms貼り付け!$A:$AZ,138,AR$3)),1),""))</f>
        <v/>
      </c>
      <c r="AS139" s="8">
        <f>IF(AS$3="","",IFERROR(LEFT(TRIM(INDEX(Forms貼り付け!$A:$AZ,138,AS$3)),1),""))</f>
        <v/>
      </c>
      <c r="AT139" s="8">
        <f>IF(AT$3="","",IFERROR(LEFT(TRIM(INDEX(Forms貼り付け!$A:$AZ,138,AT$3)),1),""))</f>
        <v/>
      </c>
      <c r="AU139" s="8">
        <f>IF(AU$3="","",IFERROR(LEFT(TRIM(INDEX(Forms貼り付け!$A:$AZ,138,AU$3)),1),""))</f>
        <v/>
      </c>
      <c r="AV139" s="8">
        <f>IF(AV$3="","",IFERROR(LEFT(TRIM(INDEX(Forms貼り付け!$A:$AZ,138,AV$3)),1),""))</f>
        <v/>
      </c>
      <c r="AW139" s="8">
        <f>IF(AW$3="","",IFERROR(LEFT(TRIM(INDEX(Forms貼り付け!$A:$AZ,138,AW$3)),1),""))</f>
        <v/>
      </c>
      <c r="AX139" s="8">
        <f>IF(AX$3="","",IFERROR(LEFT(TRIM(INDEX(Forms貼り付け!$A:$AZ,138,AX$3)),1),""))</f>
        <v/>
      </c>
      <c r="AY139" s="8">
        <f>IF(AY$3="","",IFERROR(LEFT(TRIM(INDEX(Forms貼り付け!$A:$AZ,138,AY$3)),1),""))</f>
        <v/>
      </c>
      <c r="AZ139" s="8">
        <f>IF(AZ$3="","",IFERROR(LEFT(TRIM(INDEX(Forms貼り付け!$A:$AZ,138,AZ$3)),1),""))</f>
        <v/>
      </c>
      <c r="BA139" s="8">
        <f>IF(BA$3="","",IFERROR(LEFT(TRIM(INDEX(Forms貼り付け!$A:$AZ,138,BA$3)),1),""))</f>
        <v/>
      </c>
      <c r="BB139" s="8">
        <f>IF(BB$3="","",IFERROR(LEFT(TRIM(INDEX(Forms貼り付け!$A:$AZ,138,BB$3)),1),""))</f>
        <v/>
      </c>
      <c r="BC139" s="8">
        <f>IF(BC$3="","",IFERROR(LEFT(TRIM(INDEX(Forms貼り付け!$A:$AZ,138,BC$3)),1),""))</f>
        <v/>
      </c>
    </row>
    <row r="140">
      <c r="A140" s="8" t="inlineStr">
        <is>
          <t>U136</t>
        </is>
      </c>
      <c r="B140" s="9">
        <f>IF($B$3="","",INDEX(Forms貼り付け!$A:$AZ,139,$B$3))</f>
        <v/>
      </c>
      <c r="C140" s="9">
        <f>IF($C$3="","",INDEX(Forms貼り付け!$A:$AZ,139,$C$3))</f>
        <v/>
      </c>
      <c r="D140" s="8">
        <f>IF($D$3="","",INDEX(Forms貼り付け!$A:$AZ,139,$D$3))</f>
        <v/>
      </c>
      <c r="E140" s="8">
        <f>IF($E$3="","",INDEX(Forms貼り付け!$A:$AZ,139,$E$3))</f>
        <v/>
      </c>
      <c r="F140" s="8">
        <f>IF(F$3="","",IFERROR(LEFT(TRIM(INDEX(Forms貼り付け!$A:$AZ,139,F$3)),1),""))</f>
        <v/>
      </c>
      <c r="G140" s="8">
        <f>IF(G$3="","",IFERROR(LEFT(TRIM(INDEX(Forms貼り付け!$A:$AZ,139,G$3)),1),""))</f>
        <v/>
      </c>
      <c r="H140" s="8">
        <f>IF(H$3="","",IFERROR(LEFT(TRIM(INDEX(Forms貼り付け!$A:$AZ,139,H$3)),1),""))</f>
        <v/>
      </c>
      <c r="I140" s="8">
        <f>IF(I$3="","",IFERROR(LEFT(TRIM(INDEX(Forms貼り付け!$A:$AZ,139,I$3)),1),""))</f>
        <v/>
      </c>
      <c r="J140" s="8">
        <f>IF(J$3="","",IFERROR(LEFT(TRIM(INDEX(Forms貼り付け!$A:$AZ,139,J$3)),1),""))</f>
        <v/>
      </c>
      <c r="K140" s="8">
        <f>IF(K$3="","",IFERROR(LEFT(TRIM(INDEX(Forms貼り付け!$A:$AZ,139,K$3)),1),""))</f>
        <v/>
      </c>
      <c r="L140" s="8">
        <f>IF(L$3="","",IFERROR(LEFT(TRIM(INDEX(Forms貼り付け!$A:$AZ,139,L$3)),1),""))</f>
        <v/>
      </c>
      <c r="M140" s="8">
        <f>IF(M$3="","",IFERROR(LEFT(TRIM(INDEX(Forms貼り付け!$A:$AZ,139,M$3)),1),""))</f>
        <v/>
      </c>
      <c r="N140" s="8">
        <f>IF(N$3="","",IFERROR(LEFT(TRIM(INDEX(Forms貼り付け!$A:$AZ,139,N$3)),1),""))</f>
        <v/>
      </c>
      <c r="O140" s="8">
        <f>IF(O$3="","",IFERROR(LEFT(TRIM(INDEX(Forms貼り付け!$A:$AZ,139,O$3)),1),""))</f>
        <v/>
      </c>
      <c r="P140" s="8">
        <f>IF(P$3="","",IFERROR(LEFT(TRIM(INDEX(Forms貼り付け!$A:$AZ,139,P$3)),1),""))</f>
        <v/>
      </c>
      <c r="Q140" s="8">
        <f>IF(Q$3="","",IFERROR(LEFT(TRIM(INDEX(Forms貼り付け!$A:$AZ,139,Q$3)),1),""))</f>
        <v/>
      </c>
      <c r="R140" s="8">
        <f>IF(R$3="","",IFERROR(LEFT(TRIM(INDEX(Forms貼り付け!$A:$AZ,139,R$3)),1),""))</f>
        <v/>
      </c>
      <c r="S140" s="8">
        <f>IF(S$3="","",IFERROR(LEFT(TRIM(INDEX(Forms貼り付け!$A:$AZ,139,S$3)),1),""))</f>
        <v/>
      </c>
      <c r="T140" s="8">
        <f>IF(T$3="","",IFERROR(LEFT(TRIM(INDEX(Forms貼り付け!$A:$AZ,139,T$3)),1),""))</f>
        <v/>
      </c>
      <c r="U140" s="8">
        <f>IF(U$3="","",IFERROR(LEFT(TRIM(INDEX(Forms貼り付け!$A:$AZ,139,U$3)),1),""))</f>
        <v/>
      </c>
      <c r="V140" s="8">
        <f>IF(V$3="","",IFERROR(LEFT(TRIM(INDEX(Forms貼り付け!$A:$AZ,139,V$3)),1),""))</f>
        <v/>
      </c>
      <c r="W140" s="8">
        <f>IF(W$3="","",IFERROR(LEFT(TRIM(INDEX(Forms貼り付け!$A:$AZ,139,W$3)),1),""))</f>
        <v/>
      </c>
      <c r="X140" s="8">
        <f>IF(X$3="","",IFERROR(LEFT(TRIM(INDEX(Forms貼り付け!$A:$AZ,139,X$3)),1),""))</f>
        <v/>
      </c>
      <c r="Y140" s="8">
        <f>IF(Y$3="","",IFERROR(LEFT(TRIM(INDEX(Forms貼り付け!$A:$AZ,139,Y$3)),1),""))</f>
        <v/>
      </c>
      <c r="Z140" s="8">
        <f>IF(Z$3="","",IFERROR(LEFT(TRIM(INDEX(Forms貼り付け!$A:$AZ,139,Z$3)),1),""))</f>
        <v/>
      </c>
      <c r="AA140" s="8">
        <f>IF(AA$3="","",IFERROR(LEFT(TRIM(INDEX(Forms貼り付け!$A:$AZ,139,AA$3)),1),""))</f>
        <v/>
      </c>
      <c r="AB140" s="8">
        <f>IF(AB$3="","",IFERROR(LEFT(TRIM(INDEX(Forms貼り付け!$A:$AZ,139,AB$3)),1),""))</f>
        <v/>
      </c>
      <c r="AC140" s="8">
        <f>IF(AC$3="","",IFERROR(LEFT(TRIM(INDEX(Forms貼り付け!$A:$AZ,139,AC$3)),1),""))</f>
        <v/>
      </c>
      <c r="AD140" s="8">
        <f>IF(AD$3="","",IFERROR(LEFT(TRIM(INDEX(Forms貼り付け!$A:$AZ,139,AD$3)),1),""))</f>
        <v/>
      </c>
      <c r="AE140" s="8">
        <f>IF(AE$3="","",IFERROR(LEFT(TRIM(INDEX(Forms貼り付け!$A:$AZ,139,AE$3)),1),""))</f>
        <v/>
      </c>
      <c r="AF140" s="8">
        <f>IF(AF$3="","",IFERROR(LEFT(TRIM(INDEX(Forms貼り付け!$A:$AZ,139,AF$3)),1),""))</f>
        <v/>
      </c>
      <c r="AG140" s="8">
        <f>IF(AG$3="","",IFERROR(LEFT(TRIM(INDEX(Forms貼り付け!$A:$AZ,139,AG$3)),1),""))</f>
        <v/>
      </c>
      <c r="AH140" s="8">
        <f>IF(AH$3="","",IFERROR(LEFT(TRIM(INDEX(Forms貼り付け!$A:$AZ,139,AH$3)),1),""))</f>
        <v/>
      </c>
      <c r="AI140" s="8">
        <f>IF(AI$3="","",IFERROR(LEFT(TRIM(INDEX(Forms貼り付け!$A:$AZ,139,AI$3)),1),""))</f>
        <v/>
      </c>
      <c r="AJ140" s="8">
        <f>IF(AJ$3="","",IFERROR(LEFT(TRIM(INDEX(Forms貼り付け!$A:$AZ,139,AJ$3)),1),""))</f>
        <v/>
      </c>
      <c r="AK140" s="8">
        <f>IF(AK$3="","",IFERROR(LEFT(TRIM(INDEX(Forms貼り付け!$A:$AZ,139,AK$3)),1),""))</f>
        <v/>
      </c>
      <c r="AL140" s="8">
        <f>IF(AL$3="","",IFERROR(LEFT(TRIM(INDEX(Forms貼り付け!$A:$AZ,139,AL$3)),1),""))</f>
        <v/>
      </c>
      <c r="AM140" s="8">
        <f>IF(AM$3="","",IFERROR(LEFT(TRIM(INDEX(Forms貼り付け!$A:$AZ,139,AM$3)),1),""))</f>
        <v/>
      </c>
      <c r="AN140" s="8">
        <f>IF(AN$3="","",IFERROR(LEFT(TRIM(INDEX(Forms貼り付け!$A:$AZ,139,AN$3)),1),""))</f>
        <v/>
      </c>
      <c r="AO140" s="8">
        <f>IF(AO$3="","",IFERROR(LEFT(TRIM(INDEX(Forms貼り付け!$A:$AZ,139,AO$3)),1),""))</f>
        <v/>
      </c>
      <c r="AP140" s="8">
        <f>IF(AP$3="","",IFERROR(LEFT(TRIM(INDEX(Forms貼り付け!$A:$AZ,139,AP$3)),1),""))</f>
        <v/>
      </c>
      <c r="AQ140" s="8">
        <f>IF(AQ$3="","",IFERROR(LEFT(TRIM(INDEX(Forms貼り付け!$A:$AZ,139,AQ$3)),1),""))</f>
        <v/>
      </c>
      <c r="AR140" s="8">
        <f>IF(AR$3="","",IFERROR(LEFT(TRIM(INDEX(Forms貼り付け!$A:$AZ,139,AR$3)),1),""))</f>
        <v/>
      </c>
      <c r="AS140" s="8">
        <f>IF(AS$3="","",IFERROR(LEFT(TRIM(INDEX(Forms貼り付け!$A:$AZ,139,AS$3)),1),""))</f>
        <v/>
      </c>
      <c r="AT140" s="8">
        <f>IF(AT$3="","",IFERROR(LEFT(TRIM(INDEX(Forms貼り付け!$A:$AZ,139,AT$3)),1),""))</f>
        <v/>
      </c>
      <c r="AU140" s="8">
        <f>IF(AU$3="","",IFERROR(LEFT(TRIM(INDEX(Forms貼り付け!$A:$AZ,139,AU$3)),1),""))</f>
        <v/>
      </c>
      <c r="AV140" s="8">
        <f>IF(AV$3="","",IFERROR(LEFT(TRIM(INDEX(Forms貼り付け!$A:$AZ,139,AV$3)),1),""))</f>
        <v/>
      </c>
      <c r="AW140" s="8">
        <f>IF(AW$3="","",IFERROR(LEFT(TRIM(INDEX(Forms貼り付け!$A:$AZ,139,AW$3)),1),""))</f>
        <v/>
      </c>
      <c r="AX140" s="8">
        <f>IF(AX$3="","",IFERROR(LEFT(TRIM(INDEX(Forms貼り付け!$A:$AZ,139,AX$3)),1),""))</f>
        <v/>
      </c>
      <c r="AY140" s="8">
        <f>IF(AY$3="","",IFERROR(LEFT(TRIM(INDEX(Forms貼り付け!$A:$AZ,139,AY$3)),1),""))</f>
        <v/>
      </c>
      <c r="AZ140" s="8">
        <f>IF(AZ$3="","",IFERROR(LEFT(TRIM(INDEX(Forms貼り付け!$A:$AZ,139,AZ$3)),1),""))</f>
        <v/>
      </c>
      <c r="BA140" s="8">
        <f>IF(BA$3="","",IFERROR(LEFT(TRIM(INDEX(Forms貼り付け!$A:$AZ,139,BA$3)),1),""))</f>
        <v/>
      </c>
      <c r="BB140" s="8">
        <f>IF(BB$3="","",IFERROR(LEFT(TRIM(INDEX(Forms貼り付け!$A:$AZ,139,BB$3)),1),""))</f>
        <v/>
      </c>
      <c r="BC140" s="8">
        <f>IF(BC$3="","",IFERROR(LEFT(TRIM(INDEX(Forms貼り付け!$A:$AZ,139,BC$3)),1),""))</f>
        <v/>
      </c>
    </row>
    <row r="141">
      <c r="A141" s="8" t="inlineStr">
        <is>
          <t>U137</t>
        </is>
      </c>
      <c r="B141" s="9">
        <f>IF($B$3="","",INDEX(Forms貼り付け!$A:$AZ,140,$B$3))</f>
        <v/>
      </c>
      <c r="C141" s="9">
        <f>IF($C$3="","",INDEX(Forms貼り付け!$A:$AZ,140,$C$3))</f>
        <v/>
      </c>
      <c r="D141" s="8">
        <f>IF($D$3="","",INDEX(Forms貼り付け!$A:$AZ,140,$D$3))</f>
        <v/>
      </c>
      <c r="E141" s="8">
        <f>IF($E$3="","",INDEX(Forms貼り付け!$A:$AZ,140,$E$3))</f>
        <v/>
      </c>
      <c r="F141" s="8">
        <f>IF(F$3="","",IFERROR(LEFT(TRIM(INDEX(Forms貼り付け!$A:$AZ,140,F$3)),1),""))</f>
        <v/>
      </c>
      <c r="G141" s="8">
        <f>IF(G$3="","",IFERROR(LEFT(TRIM(INDEX(Forms貼り付け!$A:$AZ,140,G$3)),1),""))</f>
        <v/>
      </c>
      <c r="H141" s="8">
        <f>IF(H$3="","",IFERROR(LEFT(TRIM(INDEX(Forms貼り付け!$A:$AZ,140,H$3)),1),""))</f>
        <v/>
      </c>
      <c r="I141" s="8">
        <f>IF(I$3="","",IFERROR(LEFT(TRIM(INDEX(Forms貼り付け!$A:$AZ,140,I$3)),1),""))</f>
        <v/>
      </c>
      <c r="J141" s="8">
        <f>IF(J$3="","",IFERROR(LEFT(TRIM(INDEX(Forms貼り付け!$A:$AZ,140,J$3)),1),""))</f>
        <v/>
      </c>
      <c r="K141" s="8">
        <f>IF(K$3="","",IFERROR(LEFT(TRIM(INDEX(Forms貼り付け!$A:$AZ,140,K$3)),1),""))</f>
        <v/>
      </c>
      <c r="L141" s="8">
        <f>IF(L$3="","",IFERROR(LEFT(TRIM(INDEX(Forms貼り付け!$A:$AZ,140,L$3)),1),""))</f>
        <v/>
      </c>
      <c r="M141" s="8">
        <f>IF(M$3="","",IFERROR(LEFT(TRIM(INDEX(Forms貼り付け!$A:$AZ,140,M$3)),1),""))</f>
        <v/>
      </c>
      <c r="N141" s="8">
        <f>IF(N$3="","",IFERROR(LEFT(TRIM(INDEX(Forms貼り付け!$A:$AZ,140,N$3)),1),""))</f>
        <v/>
      </c>
      <c r="O141" s="8">
        <f>IF(O$3="","",IFERROR(LEFT(TRIM(INDEX(Forms貼り付け!$A:$AZ,140,O$3)),1),""))</f>
        <v/>
      </c>
      <c r="P141" s="8">
        <f>IF(P$3="","",IFERROR(LEFT(TRIM(INDEX(Forms貼り付け!$A:$AZ,140,P$3)),1),""))</f>
        <v/>
      </c>
      <c r="Q141" s="8">
        <f>IF(Q$3="","",IFERROR(LEFT(TRIM(INDEX(Forms貼り付け!$A:$AZ,140,Q$3)),1),""))</f>
        <v/>
      </c>
      <c r="R141" s="8">
        <f>IF(R$3="","",IFERROR(LEFT(TRIM(INDEX(Forms貼り付け!$A:$AZ,140,R$3)),1),""))</f>
        <v/>
      </c>
      <c r="S141" s="8">
        <f>IF(S$3="","",IFERROR(LEFT(TRIM(INDEX(Forms貼り付け!$A:$AZ,140,S$3)),1),""))</f>
        <v/>
      </c>
      <c r="T141" s="8">
        <f>IF(T$3="","",IFERROR(LEFT(TRIM(INDEX(Forms貼り付け!$A:$AZ,140,T$3)),1),""))</f>
        <v/>
      </c>
      <c r="U141" s="8">
        <f>IF(U$3="","",IFERROR(LEFT(TRIM(INDEX(Forms貼り付け!$A:$AZ,140,U$3)),1),""))</f>
        <v/>
      </c>
      <c r="V141" s="8">
        <f>IF(V$3="","",IFERROR(LEFT(TRIM(INDEX(Forms貼り付け!$A:$AZ,140,V$3)),1),""))</f>
        <v/>
      </c>
      <c r="W141" s="8">
        <f>IF(W$3="","",IFERROR(LEFT(TRIM(INDEX(Forms貼り付け!$A:$AZ,140,W$3)),1),""))</f>
        <v/>
      </c>
      <c r="X141" s="8">
        <f>IF(X$3="","",IFERROR(LEFT(TRIM(INDEX(Forms貼り付け!$A:$AZ,140,X$3)),1),""))</f>
        <v/>
      </c>
      <c r="Y141" s="8">
        <f>IF(Y$3="","",IFERROR(LEFT(TRIM(INDEX(Forms貼り付け!$A:$AZ,140,Y$3)),1),""))</f>
        <v/>
      </c>
      <c r="Z141" s="8">
        <f>IF(Z$3="","",IFERROR(LEFT(TRIM(INDEX(Forms貼り付け!$A:$AZ,140,Z$3)),1),""))</f>
        <v/>
      </c>
      <c r="AA141" s="8">
        <f>IF(AA$3="","",IFERROR(LEFT(TRIM(INDEX(Forms貼り付け!$A:$AZ,140,AA$3)),1),""))</f>
        <v/>
      </c>
      <c r="AB141" s="8">
        <f>IF(AB$3="","",IFERROR(LEFT(TRIM(INDEX(Forms貼り付け!$A:$AZ,140,AB$3)),1),""))</f>
        <v/>
      </c>
      <c r="AC141" s="8">
        <f>IF(AC$3="","",IFERROR(LEFT(TRIM(INDEX(Forms貼り付け!$A:$AZ,140,AC$3)),1),""))</f>
        <v/>
      </c>
      <c r="AD141" s="8">
        <f>IF(AD$3="","",IFERROR(LEFT(TRIM(INDEX(Forms貼り付け!$A:$AZ,140,AD$3)),1),""))</f>
        <v/>
      </c>
      <c r="AE141" s="8">
        <f>IF(AE$3="","",IFERROR(LEFT(TRIM(INDEX(Forms貼り付け!$A:$AZ,140,AE$3)),1),""))</f>
        <v/>
      </c>
      <c r="AF141" s="8">
        <f>IF(AF$3="","",IFERROR(LEFT(TRIM(INDEX(Forms貼り付け!$A:$AZ,140,AF$3)),1),""))</f>
        <v/>
      </c>
      <c r="AG141" s="8">
        <f>IF(AG$3="","",IFERROR(LEFT(TRIM(INDEX(Forms貼り付け!$A:$AZ,140,AG$3)),1),""))</f>
        <v/>
      </c>
      <c r="AH141" s="8">
        <f>IF(AH$3="","",IFERROR(LEFT(TRIM(INDEX(Forms貼り付け!$A:$AZ,140,AH$3)),1),""))</f>
        <v/>
      </c>
      <c r="AI141" s="8">
        <f>IF(AI$3="","",IFERROR(LEFT(TRIM(INDEX(Forms貼り付け!$A:$AZ,140,AI$3)),1),""))</f>
        <v/>
      </c>
      <c r="AJ141" s="8">
        <f>IF(AJ$3="","",IFERROR(LEFT(TRIM(INDEX(Forms貼り付け!$A:$AZ,140,AJ$3)),1),""))</f>
        <v/>
      </c>
      <c r="AK141" s="8">
        <f>IF(AK$3="","",IFERROR(LEFT(TRIM(INDEX(Forms貼り付け!$A:$AZ,140,AK$3)),1),""))</f>
        <v/>
      </c>
      <c r="AL141" s="8">
        <f>IF(AL$3="","",IFERROR(LEFT(TRIM(INDEX(Forms貼り付け!$A:$AZ,140,AL$3)),1),""))</f>
        <v/>
      </c>
      <c r="AM141" s="8">
        <f>IF(AM$3="","",IFERROR(LEFT(TRIM(INDEX(Forms貼り付け!$A:$AZ,140,AM$3)),1),""))</f>
        <v/>
      </c>
      <c r="AN141" s="8">
        <f>IF(AN$3="","",IFERROR(LEFT(TRIM(INDEX(Forms貼り付け!$A:$AZ,140,AN$3)),1),""))</f>
        <v/>
      </c>
      <c r="AO141" s="8">
        <f>IF(AO$3="","",IFERROR(LEFT(TRIM(INDEX(Forms貼り付け!$A:$AZ,140,AO$3)),1),""))</f>
        <v/>
      </c>
      <c r="AP141" s="8">
        <f>IF(AP$3="","",IFERROR(LEFT(TRIM(INDEX(Forms貼り付け!$A:$AZ,140,AP$3)),1),""))</f>
        <v/>
      </c>
      <c r="AQ141" s="8">
        <f>IF(AQ$3="","",IFERROR(LEFT(TRIM(INDEX(Forms貼り付け!$A:$AZ,140,AQ$3)),1),""))</f>
        <v/>
      </c>
      <c r="AR141" s="8">
        <f>IF(AR$3="","",IFERROR(LEFT(TRIM(INDEX(Forms貼り付け!$A:$AZ,140,AR$3)),1),""))</f>
        <v/>
      </c>
      <c r="AS141" s="8">
        <f>IF(AS$3="","",IFERROR(LEFT(TRIM(INDEX(Forms貼り付け!$A:$AZ,140,AS$3)),1),""))</f>
        <v/>
      </c>
      <c r="AT141" s="8">
        <f>IF(AT$3="","",IFERROR(LEFT(TRIM(INDEX(Forms貼り付け!$A:$AZ,140,AT$3)),1),""))</f>
        <v/>
      </c>
      <c r="AU141" s="8">
        <f>IF(AU$3="","",IFERROR(LEFT(TRIM(INDEX(Forms貼り付け!$A:$AZ,140,AU$3)),1),""))</f>
        <v/>
      </c>
      <c r="AV141" s="8">
        <f>IF(AV$3="","",IFERROR(LEFT(TRIM(INDEX(Forms貼り付け!$A:$AZ,140,AV$3)),1),""))</f>
        <v/>
      </c>
      <c r="AW141" s="8">
        <f>IF(AW$3="","",IFERROR(LEFT(TRIM(INDEX(Forms貼り付け!$A:$AZ,140,AW$3)),1),""))</f>
        <v/>
      </c>
      <c r="AX141" s="8">
        <f>IF(AX$3="","",IFERROR(LEFT(TRIM(INDEX(Forms貼り付け!$A:$AZ,140,AX$3)),1),""))</f>
        <v/>
      </c>
      <c r="AY141" s="8">
        <f>IF(AY$3="","",IFERROR(LEFT(TRIM(INDEX(Forms貼り付け!$A:$AZ,140,AY$3)),1),""))</f>
        <v/>
      </c>
      <c r="AZ141" s="8">
        <f>IF(AZ$3="","",IFERROR(LEFT(TRIM(INDEX(Forms貼り付け!$A:$AZ,140,AZ$3)),1),""))</f>
        <v/>
      </c>
      <c r="BA141" s="8">
        <f>IF(BA$3="","",IFERROR(LEFT(TRIM(INDEX(Forms貼り付け!$A:$AZ,140,BA$3)),1),""))</f>
        <v/>
      </c>
      <c r="BB141" s="8">
        <f>IF(BB$3="","",IFERROR(LEFT(TRIM(INDEX(Forms貼り付け!$A:$AZ,140,BB$3)),1),""))</f>
        <v/>
      </c>
      <c r="BC141" s="8">
        <f>IF(BC$3="","",IFERROR(LEFT(TRIM(INDEX(Forms貼り付け!$A:$AZ,140,BC$3)),1),""))</f>
        <v/>
      </c>
    </row>
    <row r="142">
      <c r="A142" s="8" t="inlineStr">
        <is>
          <t>U138</t>
        </is>
      </c>
      <c r="B142" s="9">
        <f>IF($B$3="","",INDEX(Forms貼り付け!$A:$AZ,141,$B$3))</f>
        <v/>
      </c>
      <c r="C142" s="9">
        <f>IF($C$3="","",INDEX(Forms貼り付け!$A:$AZ,141,$C$3))</f>
        <v/>
      </c>
      <c r="D142" s="8">
        <f>IF($D$3="","",INDEX(Forms貼り付け!$A:$AZ,141,$D$3))</f>
        <v/>
      </c>
      <c r="E142" s="8">
        <f>IF($E$3="","",INDEX(Forms貼り付け!$A:$AZ,141,$E$3))</f>
        <v/>
      </c>
      <c r="F142" s="8">
        <f>IF(F$3="","",IFERROR(LEFT(TRIM(INDEX(Forms貼り付け!$A:$AZ,141,F$3)),1),""))</f>
        <v/>
      </c>
      <c r="G142" s="8">
        <f>IF(G$3="","",IFERROR(LEFT(TRIM(INDEX(Forms貼り付け!$A:$AZ,141,G$3)),1),""))</f>
        <v/>
      </c>
      <c r="H142" s="8">
        <f>IF(H$3="","",IFERROR(LEFT(TRIM(INDEX(Forms貼り付け!$A:$AZ,141,H$3)),1),""))</f>
        <v/>
      </c>
      <c r="I142" s="8">
        <f>IF(I$3="","",IFERROR(LEFT(TRIM(INDEX(Forms貼り付け!$A:$AZ,141,I$3)),1),""))</f>
        <v/>
      </c>
      <c r="J142" s="8">
        <f>IF(J$3="","",IFERROR(LEFT(TRIM(INDEX(Forms貼り付け!$A:$AZ,141,J$3)),1),""))</f>
        <v/>
      </c>
      <c r="K142" s="8">
        <f>IF(K$3="","",IFERROR(LEFT(TRIM(INDEX(Forms貼り付け!$A:$AZ,141,K$3)),1),""))</f>
        <v/>
      </c>
      <c r="L142" s="8">
        <f>IF(L$3="","",IFERROR(LEFT(TRIM(INDEX(Forms貼り付け!$A:$AZ,141,L$3)),1),""))</f>
        <v/>
      </c>
      <c r="M142" s="8">
        <f>IF(M$3="","",IFERROR(LEFT(TRIM(INDEX(Forms貼り付け!$A:$AZ,141,M$3)),1),""))</f>
        <v/>
      </c>
      <c r="N142" s="8">
        <f>IF(N$3="","",IFERROR(LEFT(TRIM(INDEX(Forms貼り付け!$A:$AZ,141,N$3)),1),""))</f>
        <v/>
      </c>
      <c r="O142" s="8">
        <f>IF(O$3="","",IFERROR(LEFT(TRIM(INDEX(Forms貼り付け!$A:$AZ,141,O$3)),1),""))</f>
        <v/>
      </c>
      <c r="P142" s="8">
        <f>IF(P$3="","",IFERROR(LEFT(TRIM(INDEX(Forms貼り付け!$A:$AZ,141,P$3)),1),""))</f>
        <v/>
      </c>
      <c r="Q142" s="8">
        <f>IF(Q$3="","",IFERROR(LEFT(TRIM(INDEX(Forms貼り付け!$A:$AZ,141,Q$3)),1),""))</f>
        <v/>
      </c>
      <c r="R142" s="8">
        <f>IF(R$3="","",IFERROR(LEFT(TRIM(INDEX(Forms貼り付け!$A:$AZ,141,R$3)),1),""))</f>
        <v/>
      </c>
      <c r="S142" s="8">
        <f>IF(S$3="","",IFERROR(LEFT(TRIM(INDEX(Forms貼り付け!$A:$AZ,141,S$3)),1),""))</f>
        <v/>
      </c>
      <c r="T142" s="8">
        <f>IF(T$3="","",IFERROR(LEFT(TRIM(INDEX(Forms貼り付け!$A:$AZ,141,T$3)),1),""))</f>
        <v/>
      </c>
      <c r="U142" s="8">
        <f>IF(U$3="","",IFERROR(LEFT(TRIM(INDEX(Forms貼り付け!$A:$AZ,141,U$3)),1),""))</f>
        <v/>
      </c>
      <c r="V142" s="8">
        <f>IF(V$3="","",IFERROR(LEFT(TRIM(INDEX(Forms貼り付け!$A:$AZ,141,V$3)),1),""))</f>
        <v/>
      </c>
      <c r="W142" s="8">
        <f>IF(W$3="","",IFERROR(LEFT(TRIM(INDEX(Forms貼り付け!$A:$AZ,141,W$3)),1),""))</f>
        <v/>
      </c>
      <c r="X142" s="8">
        <f>IF(X$3="","",IFERROR(LEFT(TRIM(INDEX(Forms貼り付け!$A:$AZ,141,X$3)),1),""))</f>
        <v/>
      </c>
      <c r="Y142" s="8">
        <f>IF(Y$3="","",IFERROR(LEFT(TRIM(INDEX(Forms貼り付け!$A:$AZ,141,Y$3)),1),""))</f>
        <v/>
      </c>
      <c r="Z142" s="8">
        <f>IF(Z$3="","",IFERROR(LEFT(TRIM(INDEX(Forms貼り付け!$A:$AZ,141,Z$3)),1),""))</f>
        <v/>
      </c>
      <c r="AA142" s="8">
        <f>IF(AA$3="","",IFERROR(LEFT(TRIM(INDEX(Forms貼り付け!$A:$AZ,141,AA$3)),1),""))</f>
        <v/>
      </c>
      <c r="AB142" s="8">
        <f>IF(AB$3="","",IFERROR(LEFT(TRIM(INDEX(Forms貼り付け!$A:$AZ,141,AB$3)),1),""))</f>
        <v/>
      </c>
      <c r="AC142" s="8">
        <f>IF(AC$3="","",IFERROR(LEFT(TRIM(INDEX(Forms貼り付け!$A:$AZ,141,AC$3)),1),""))</f>
        <v/>
      </c>
      <c r="AD142" s="8">
        <f>IF(AD$3="","",IFERROR(LEFT(TRIM(INDEX(Forms貼り付け!$A:$AZ,141,AD$3)),1),""))</f>
        <v/>
      </c>
      <c r="AE142" s="8">
        <f>IF(AE$3="","",IFERROR(LEFT(TRIM(INDEX(Forms貼り付け!$A:$AZ,141,AE$3)),1),""))</f>
        <v/>
      </c>
      <c r="AF142" s="8">
        <f>IF(AF$3="","",IFERROR(LEFT(TRIM(INDEX(Forms貼り付け!$A:$AZ,141,AF$3)),1),""))</f>
        <v/>
      </c>
      <c r="AG142" s="8">
        <f>IF(AG$3="","",IFERROR(LEFT(TRIM(INDEX(Forms貼り付け!$A:$AZ,141,AG$3)),1),""))</f>
        <v/>
      </c>
      <c r="AH142" s="8">
        <f>IF(AH$3="","",IFERROR(LEFT(TRIM(INDEX(Forms貼り付け!$A:$AZ,141,AH$3)),1),""))</f>
        <v/>
      </c>
      <c r="AI142" s="8">
        <f>IF(AI$3="","",IFERROR(LEFT(TRIM(INDEX(Forms貼り付け!$A:$AZ,141,AI$3)),1),""))</f>
        <v/>
      </c>
      <c r="AJ142" s="8">
        <f>IF(AJ$3="","",IFERROR(LEFT(TRIM(INDEX(Forms貼り付け!$A:$AZ,141,AJ$3)),1),""))</f>
        <v/>
      </c>
      <c r="AK142" s="8">
        <f>IF(AK$3="","",IFERROR(LEFT(TRIM(INDEX(Forms貼り付け!$A:$AZ,141,AK$3)),1),""))</f>
        <v/>
      </c>
      <c r="AL142" s="8">
        <f>IF(AL$3="","",IFERROR(LEFT(TRIM(INDEX(Forms貼り付け!$A:$AZ,141,AL$3)),1),""))</f>
        <v/>
      </c>
      <c r="AM142" s="8">
        <f>IF(AM$3="","",IFERROR(LEFT(TRIM(INDEX(Forms貼り付け!$A:$AZ,141,AM$3)),1),""))</f>
        <v/>
      </c>
      <c r="AN142" s="8">
        <f>IF(AN$3="","",IFERROR(LEFT(TRIM(INDEX(Forms貼り付け!$A:$AZ,141,AN$3)),1),""))</f>
        <v/>
      </c>
      <c r="AO142" s="8">
        <f>IF(AO$3="","",IFERROR(LEFT(TRIM(INDEX(Forms貼り付け!$A:$AZ,141,AO$3)),1),""))</f>
        <v/>
      </c>
      <c r="AP142" s="8">
        <f>IF(AP$3="","",IFERROR(LEFT(TRIM(INDEX(Forms貼り付け!$A:$AZ,141,AP$3)),1),""))</f>
        <v/>
      </c>
      <c r="AQ142" s="8">
        <f>IF(AQ$3="","",IFERROR(LEFT(TRIM(INDEX(Forms貼り付け!$A:$AZ,141,AQ$3)),1),""))</f>
        <v/>
      </c>
      <c r="AR142" s="8">
        <f>IF(AR$3="","",IFERROR(LEFT(TRIM(INDEX(Forms貼り付け!$A:$AZ,141,AR$3)),1),""))</f>
        <v/>
      </c>
      <c r="AS142" s="8">
        <f>IF(AS$3="","",IFERROR(LEFT(TRIM(INDEX(Forms貼り付け!$A:$AZ,141,AS$3)),1),""))</f>
        <v/>
      </c>
      <c r="AT142" s="8">
        <f>IF(AT$3="","",IFERROR(LEFT(TRIM(INDEX(Forms貼り付け!$A:$AZ,141,AT$3)),1),""))</f>
        <v/>
      </c>
      <c r="AU142" s="8">
        <f>IF(AU$3="","",IFERROR(LEFT(TRIM(INDEX(Forms貼り付け!$A:$AZ,141,AU$3)),1),""))</f>
        <v/>
      </c>
      <c r="AV142" s="8">
        <f>IF(AV$3="","",IFERROR(LEFT(TRIM(INDEX(Forms貼り付け!$A:$AZ,141,AV$3)),1),""))</f>
        <v/>
      </c>
      <c r="AW142" s="8">
        <f>IF(AW$3="","",IFERROR(LEFT(TRIM(INDEX(Forms貼り付け!$A:$AZ,141,AW$3)),1),""))</f>
        <v/>
      </c>
      <c r="AX142" s="8">
        <f>IF(AX$3="","",IFERROR(LEFT(TRIM(INDEX(Forms貼り付け!$A:$AZ,141,AX$3)),1),""))</f>
        <v/>
      </c>
      <c r="AY142" s="8">
        <f>IF(AY$3="","",IFERROR(LEFT(TRIM(INDEX(Forms貼り付け!$A:$AZ,141,AY$3)),1),""))</f>
        <v/>
      </c>
      <c r="AZ142" s="8">
        <f>IF(AZ$3="","",IFERROR(LEFT(TRIM(INDEX(Forms貼り付け!$A:$AZ,141,AZ$3)),1),""))</f>
        <v/>
      </c>
      <c r="BA142" s="8">
        <f>IF(BA$3="","",IFERROR(LEFT(TRIM(INDEX(Forms貼り付け!$A:$AZ,141,BA$3)),1),""))</f>
        <v/>
      </c>
      <c r="BB142" s="8">
        <f>IF(BB$3="","",IFERROR(LEFT(TRIM(INDEX(Forms貼り付け!$A:$AZ,141,BB$3)),1),""))</f>
        <v/>
      </c>
      <c r="BC142" s="8">
        <f>IF(BC$3="","",IFERROR(LEFT(TRIM(INDEX(Forms貼り付け!$A:$AZ,141,BC$3)),1),""))</f>
        <v/>
      </c>
    </row>
    <row r="143">
      <c r="A143" s="8" t="inlineStr">
        <is>
          <t>U139</t>
        </is>
      </c>
      <c r="B143" s="9">
        <f>IF($B$3="","",INDEX(Forms貼り付け!$A:$AZ,142,$B$3))</f>
        <v/>
      </c>
      <c r="C143" s="9">
        <f>IF($C$3="","",INDEX(Forms貼り付け!$A:$AZ,142,$C$3))</f>
        <v/>
      </c>
      <c r="D143" s="8">
        <f>IF($D$3="","",INDEX(Forms貼り付け!$A:$AZ,142,$D$3))</f>
        <v/>
      </c>
      <c r="E143" s="8">
        <f>IF($E$3="","",INDEX(Forms貼り付け!$A:$AZ,142,$E$3))</f>
        <v/>
      </c>
      <c r="F143" s="8">
        <f>IF(F$3="","",IFERROR(LEFT(TRIM(INDEX(Forms貼り付け!$A:$AZ,142,F$3)),1),""))</f>
        <v/>
      </c>
      <c r="G143" s="8">
        <f>IF(G$3="","",IFERROR(LEFT(TRIM(INDEX(Forms貼り付け!$A:$AZ,142,G$3)),1),""))</f>
        <v/>
      </c>
      <c r="H143" s="8">
        <f>IF(H$3="","",IFERROR(LEFT(TRIM(INDEX(Forms貼り付け!$A:$AZ,142,H$3)),1),""))</f>
        <v/>
      </c>
      <c r="I143" s="8">
        <f>IF(I$3="","",IFERROR(LEFT(TRIM(INDEX(Forms貼り付け!$A:$AZ,142,I$3)),1),""))</f>
        <v/>
      </c>
      <c r="J143" s="8">
        <f>IF(J$3="","",IFERROR(LEFT(TRIM(INDEX(Forms貼り付け!$A:$AZ,142,J$3)),1),""))</f>
        <v/>
      </c>
      <c r="K143" s="8">
        <f>IF(K$3="","",IFERROR(LEFT(TRIM(INDEX(Forms貼り付け!$A:$AZ,142,K$3)),1),""))</f>
        <v/>
      </c>
      <c r="L143" s="8">
        <f>IF(L$3="","",IFERROR(LEFT(TRIM(INDEX(Forms貼り付け!$A:$AZ,142,L$3)),1),""))</f>
        <v/>
      </c>
      <c r="M143" s="8">
        <f>IF(M$3="","",IFERROR(LEFT(TRIM(INDEX(Forms貼り付け!$A:$AZ,142,M$3)),1),""))</f>
        <v/>
      </c>
      <c r="N143" s="8">
        <f>IF(N$3="","",IFERROR(LEFT(TRIM(INDEX(Forms貼り付け!$A:$AZ,142,N$3)),1),""))</f>
        <v/>
      </c>
      <c r="O143" s="8">
        <f>IF(O$3="","",IFERROR(LEFT(TRIM(INDEX(Forms貼り付け!$A:$AZ,142,O$3)),1),""))</f>
        <v/>
      </c>
      <c r="P143" s="8">
        <f>IF(P$3="","",IFERROR(LEFT(TRIM(INDEX(Forms貼り付け!$A:$AZ,142,P$3)),1),""))</f>
        <v/>
      </c>
      <c r="Q143" s="8">
        <f>IF(Q$3="","",IFERROR(LEFT(TRIM(INDEX(Forms貼り付け!$A:$AZ,142,Q$3)),1),""))</f>
        <v/>
      </c>
      <c r="R143" s="8">
        <f>IF(R$3="","",IFERROR(LEFT(TRIM(INDEX(Forms貼り付け!$A:$AZ,142,R$3)),1),""))</f>
        <v/>
      </c>
      <c r="S143" s="8">
        <f>IF(S$3="","",IFERROR(LEFT(TRIM(INDEX(Forms貼り付け!$A:$AZ,142,S$3)),1),""))</f>
        <v/>
      </c>
      <c r="T143" s="8">
        <f>IF(T$3="","",IFERROR(LEFT(TRIM(INDEX(Forms貼り付け!$A:$AZ,142,T$3)),1),""))</f>
        <v/>
      </c>
      <c r="U143" s="8">
        <f>IF(U$3="","",IFERROR(LEFT(TRIM(INDEX(Forms貼り付け!$A:$AZ,142,U$3)),1),""))</f>
        <v/>
      </c>
      <c r="V143" s="8">
        <f>IF(V$3="","",IFERROR(LEFT(TRIM(INDEX(Forms貼り付け!$A:$AZ,142,V$3)),1),""))</f>
        <v/>
      </c>
      <c r="W143" s="8">
        <f>IF(W$3="","",IFERROR(LEFT(TRIM(INDEX(Forms貼り付け!$A:$AZ,142,W$3)),1),""))</f>
        <v/>
      </c>
      <c r="X143" s="8">
        <f>IF(X$3="","",IFERROR(LEFT(TRIM(INDEX(Forms貼り付け!$A:$AZ,142,X$3)),1),""))</f>
        <v/>
      </c>
      <c r="Y143" s="8">
        <f>IF(Y$3="","",IFERROR(LEFT(TRIM(INDEX(Forms貼り付け!$A:$AZ,142,Y$3)),1),""))</f>
        <v/>
      </c>
      <c r="Z143" s="8">
        <f>IF(Z$3="","",IFERROR(LEFT(TRIM(INDEX(Forms貼り付け!$A:$AZ,142,Z$3)),1),""))</f>
        <v/>
      </c>
      <c r="AA143" s="8">
        <f>IF(AA$3="","",IFERROR(LEFT(TRIM(INDEX(Forms貼り付け!$A:$AZ,142,AA$3)),1),""))</f>
        <v/>
      </c>
      <c r="AB143" s="8">
        <f>IF(AB$3="","",IFERROR(LEFT(TRIM(INDEX(Forms貼り付け!$A:$AZ,142,AB$3)),1),""))</f>
        <v/>
      </c>
      <c r="AC143" s="8">
        <f>IF(AC$3="","",IFERROR(LEFT(TRIM(INDEX(Forms貼り付け!$A:$AZ,142,AC$3)),1),""))</f>
        <v/>
      </c>
      <c r="AD143" s="8">
        <f>IF(AD$3="","",IFERROR(LEFT(TRIM(INDEX(Forms貼り付け!$A:$AZ,142,AD$3)),1),""))</f>
        <v/>
      </c>
      <c r="AE143" s="8">
        <f>IF(AE$3="","",IFERROR(LEFT(TRIM(INDEX(Forms貼り付け!$A:$AZ,142,AE$3)),1),""))</f>
        <v/>
      </c>
      <c r="AF143" s="8">
        <f>IF(AF$3="","",IFERROR(LEFT(TRIM(INDEX(Forms貼り付け!$A:$AZ,142,AF$3)),1),""))</f>
        <v/>
      </c>
      <c r="AG143" s="8">
        <f>IF(AG$3="","",IFERROR(LEFT(TRIM(INDEX(Forms貼り付け!$A:$AZ,142,AG$3)),1),""))</f>
        <v/>
      </c>
      <c r="AH143" s="8">
        <f>IF(AH$3="","",IFERROR(LEFT(TRIM(INDEX(Forms貼り付け!$A:$AZ,142,AH$3)),1),""))</f>
        <v/>
      </c>
      <c r="AI143" s="8">
        <f>IF(AI$3="","",IFERROR(LEFT(TRIM(INDEX(Forms貼り付け!$A:$AZ,142,AI$3)),1),""))</f>
        <v/>
      </c>
      <c r="AJ143" s="8">
        <f>IF(AJ$3="","",IFERROR(LEFT(TRIM(INDEX(Forms貼り付け!$A:$AZ,142,AJ$3)),1),""))</f>
        <v/>
      </c>
      <c r="AK143" s="8">
        <f>IF(AK$3="","",IFERROR(LEFT(TRIM(INDEX(Forms貼り付け!$A:$AZ,142,AK$3)),1),""))</f>
        <v/>
      </c>
      <c r="AL143" s="8">
        <f>IF(AL$3="","",IFERROR(LEFT(TRIM(INDEX(Forms貼り付け!$A:$AZ,142,AL$3)),1),""))</f>
        <v/>
      </c>
      <c r="AM143" s="8">
        <f>IF(AM$3="","",IFERROR(LEFT(TRIM(INDEX(Forms貼り付け!$A:$AZ,142,AM$3)),1),""))</f>
        <v/>
      </c>
      <c r="AN143" s="8">
        <f>IF(AN$3="","",IFERROR(LEFT(TRIM(INDEX(Forms貼り付け!$A:$AZ,142,AN$3)),1),""))</f>
        <v/>
      </c>
      <c r="AO143" s="8">
        <f>IF(AO$3="","",IFERROR(LEFT(TRIM(INDEX(Forms貼り付け!$A:$AZ,142,AO$3)),1),""))</f>
        <v/>
      </c>
      <c r="AP143" s="8">
        <f>IF(AP$3="","",IFERROR(LEFT(TRIM(INDEX(Forms貼り付け!$A:$AZ,142,AP$3)),1),""))</f>
        <v/>
      </c>
      <c r="AQ143" s="8">
        <f>IF(AQ$3="","",IFERROR(LEFT(TRIM(INDEX(Forms貼り付け!$A:$AZ,142,AQ$3)),1),""))</f>
        <v/>
      </c>
      <c r="AR143" s="8">
        <f>IF(AR$3="","",IFERROR(LEFT(TRIM(INDEX(Forms貼り付け!$A:$AZ,142,AR$3)),1),""))</f>
        <v/>
      </c>
      <c r="AS143" s="8">
        <f>IF(AS$3="","",IFERROR(LEFT(TRIM(INDEX(Forms貼り付け!$A:$AZ,142,AS$3)),1),""))</f>
        <v/>
      </c>
      <c r="AT143" s="8">
        <f>IF(AT$3="","",IFERROR(LEFT(TRIM(INDEX(Forms貼り付け!$A:$AZ,142,AT$3)),1),""))</f>
        <v/>
      </c>
      <c r="AU143" s="8">
        <f>IF(AU$3="","",IFERROR(LEFT(TRIM(INDEX(Forms貼り付け!$A:$AZ,142,AU$3)),1),""))</f>
        <v/>
      </c>
      <c r="AV143" s="8">
        <f>IF(AV$3="","",IFERROR(LEFT(TRIM(INDEX(Forms貼り付け!$A:$AZ,142,AV$3)),1),""))</f>
        <v/>
      </c>
      <c r="AW143" s="8">
        <f>IF(AW$3="","",IFERROR(LEFT(TRIM(INDEX(Forms貼り付け!$A:$AZ,142,AW$3)),1),""))</f>
        <v/>
      </c>
      <c r="AX143" s="8">
        <f>IF(AX$3="","",IFERROR(LEFT(TRIM(INDEX(Forms貼り付け!$A:$AZ,142,AX$3)),1),""))</f>
        <v/>
      </c>
      <c r="AY143" s="8">
        <f>IF(AY$3="","",IFERROR(LEFT(TRIM(INDEX(Forms貼り付け!$A:$AZ,142,AY$3)),1),""))</f>
        <v/>
      </c>
      <c r="AZ143" s="8">
        <f>IF(AZ$3="","",IFERROR(LEFT(TRIM(INDEX(Forms貼り付け!$A:$AZ,142,AZ$3)),1),""))</f>
        <v/>
      </c>
      <c r="BA143" s="8">
        <f>IF(BA$3="","",IFERROR(LEFT(TRIM(INDEX(Forms貼り付け!$A:$AZ,142,BA$3)),1),""))</f>
        <v/>
      </c>
      <c r="BB143" s="8">
        <f>IF(BB$3="","",IFERROR(LEFT(TRIM(INDEX(Forms貼り付け!$A:$AZ,142,BB$3)),1),""))</f>
        <v/>
      </c>
      <c r="BC143" s="8">
        <f>IF(BC$3="","",IFERROR(LEFT(TRIM(INDEX(Forms貼り付け!$A:$AZ,142,BC$3)),1),""))</f>
        <v/>
      </c>
    </row>
    <row r="144">
      <c r="A144" s="8" t="inlineStr">
        <is>
          <t>U140</t>
        </is>
      </c>
      <c r="B144" s="9">
        <f>IF($B$3="","",INDEX(Forms貼り付け!$A:$AZ,143,$B$3))</f>
        <v/>
      </c>
      <c r="C144" s="9">
        <f>IF($C$3="","",INDEX(Forms貼り付け!$A:$AZ,143,$C$3))</f>
        <v/>
      </c>
      <c r="D144" s="8">
        <f>IF($D$3="","",INDEX(Forms貼り付け!$A:$AZ,143,$D$3))</f>
        <v/>
      </c>
      <c r="E144" s="8">
        <f>IF($E$3="","",INDEX(Forms貼り付け!$A:$AZ,143,$E$3))</f>
        <v/>
      </c>
      <c r="F144" s="8">
        <f>IF(F$3="","",IFERROR(LEFT(TRIM(INDEX(Forms貼り付け!$A:$AZ,143,F$3)),1),""))</f>
        <v/>
      </c>
      <c r="G144" s="8">
        <f>IF(G$3="","",IFERROR(LEFT(TRIM(INDEX(Forms貼り付け!$A:$AZ,143,G$3)),1),""))</f>
        <v/>
      </c>
      <c r="H144" s="8">
        <f>IF(H$3="","",IFERROR(LEFT(TRIM(INDEX(Forms貼り付け!$A:$AZ,143,H$3)),1),""))</f>
        <v/>
      </c>
      <c r="I144" s="8">
        <f>IF(I$3="","",IFERROR(LEFT(TRIM(INDEX(Forms貼り付け!$A:$AZ,143,I$3)),1),""))</f>
        <v/>
      </c>
      <c r="J144" s="8">
        <f>IF(J$3="","",IFERROR(LEFT(TRIM(INDEX(Forms貼り付け!$A:$AZ,143,J$3)),1),""))</f>
        <v/>
      </c>
      <c r="K144" s="8">
        <f>IF(K$3="","",IFERROR(LEFT(TRIM(INDEX(Forms貼り付け!$A:$AZ,143,K$3)),1),""))</f>
        <v/>
      </c>
      <c r="L144" s="8">
        <f>IF(L$3="","",IFERROR(LEFT(TRIM(INDEX(Forms貼り付け!$A:$AZ,143,L$3)),1),""))</f>
        <v/>
      </c>
      <c r="M144" s="8">
        <f>IF(M$3="","",IFERROR(LEFT(TRIM(INDEX(Forms貼り付け!$A:$AZ,143,M$3)),1),""))</f>
        <v/>
      </c>
      <c r="N144" s="8">
        <f>IF(N$3="","",IFERROR(LEFT(TRIM(INDEX(Forms貼り付け!$A:$AZ,143,N$3)),1),""))</f>
        <v/>
      </c>
      <c r="O144" s="8">
        <f>IF(O$3="","",IFERROR(LEFT(TRIM(INDEX(Forms貼り付け!$A:$AZ,143,O$3)),1),""))</f>
        <v/>
      </c>
      <c r="P144" s="8">
        <f>IF(P$3="","",IFERROR(LEFT(TRIM(INDEX(Forms貼り付け!$A:$AZ,143,P$3)),1),""))</f>
        <v/>
      </c>
      <c r="Q144" s="8">
        <f>IF(Q$3="","",IFERROR(LEFT(TRIM(INDEX(Forms貼り付け!$A:$AZ,143,Q$3)),1),""))</f>
        <v/>
      </c>
      <c r="R144" s="8">
        <f>IF(R$3="","",IFERROR(LEFT(TRIM(INDEX(Forms貼り付け!$A:$AZ,143,R$3)),1),""))</f>
        <v/>
      </c>
      <c r="S144" s="8">
        <f>IF(S$3="","",IFERROR(LEFT(TRIM(INDEX(Forms貼り付け!$A:$AZ,143,S$3)),1),""))</f>
        <v/>
      </c>
      <c r="T144" s="8">
        <f>IF(T$3="","",IFERROR(LEFT(TRIM(INDEX(Forms貼り付け!$A:$AZ,143,T$3)),1),""))</f>
        <v/>
      </c>
      <c r="U144" s="8">
        <f>IF(U$3="","",IFERROR(LEFT(TRIM(INDEX(Forms貼り付け!$A:$AZ,143,U$3)),1),""))</f>
        <v/>
      </c>
      <c r="V144" s="8">
        <f>IF(V$3="","",IFERROR(LEFT(TRIM(INDEX(Forms貼り付け!$A:$AZ,143,V$3)),1),""))</f>
        <v/>
      </c>
      <c r="W144" s="8">
        <f>IF(W$3="","",IFERROR(LEFT(TRIM(INDEX(Forms貼り付け!$A:$AZ,143,W$3)),1),""))</f>
        <v/>
      </c>
      <c r="X144" s="8">
        <f>IF(X$3="","",IFERROR(LEFT(TRIM(INDEX(Forms貼り付け!$A:$AZ,143,X$3)),1),""))</f>
        <v/>
      </c>
      <c r="Y144" s="8">
        <f>IF(Y$3="","",IFERROR(LEFT(TRIM(INDEX(Forms貼り付け!$A:$AZ,143,Y$3)),1),""))</f>
        <v/>
      </c>
      <c r="Z144" s="8">
        <f>IF(Z$3="","",IFERROR(LEFT(TRIM(INDEX(Forms貼り付け!$A:$AZ,143,Z$3)),1),""))</f>
        <v/>
      </c>
      <c r="AA144" s="8">
        <f>IF(AA$3="","",IFERROR(LEFT(TRIM(INDEX(Forms貼り付け!$A:$AZ,143,AA$3)),1),""))</f>
        <v/>
      </c>
      <c r="AB144" s="8">
        <f>IF(AB$3="","",IFERROR(LEFT(TRIM(INDEX(Forms貼り付け!$A:$AZ,143,AB$3)),1),""))</f>
        <v/>
      </c>
      <c r="AC144" s="8">
        <f>IF(AC$3="","",IFERROR(LEFT(TRIM(INDEX(Forms貼り付け!$A:$AZ,143,AC$3)),1),""))</f>
        <v/>
      </c>
      <c r="AD144" s="8">
        <f>IF(AD$3="","",IFERROR(LEFT(TRIM(INDEX(Forms貼り付け!$A:$AZ,143,AD$3)),1),""))</f>
        <v/>
      </c>
      <c r="AE144" s="8">
        <f>IF(AE$3="","",IFERROR(LEFT(TRIM(INDEX(Forms貼り付け!$A:$AZ,143,AE$3)),1),""))</f>
        <v/>
      </c>
      <c r="AF144" s="8">
        <f>IF(AF$3="","",IFERROR(LEFT(TRIM(INDEX(Forms貼り付け!$A:$AZ,143,AF$3)),1),""))</f>
        <v/>
      </c>
      <c r="AG144" s="8">
        <f>IF(AG$3="","",IFERROR(LEFT(TRIM(INDEX(Forms貼り付け!$A:$AZ,143,AG$3)),1),""))</f>
        <v/>
      </c>
      <c r="AH144" s="8">
        <f>IF(AH$3="","",IFERROR(LEFT(TRIM(INDEX(Forms貼り付け!$A:$AZ,143,AH$3)),1),""))</f>
        <v/>
      </c>
      <c r="AI144" s="8">
        <f>IF(AI$3="","",IFERROR(LEFT(TRIM(INDEX(Forms貼り付け!$A:$AZ,143,AI$3)),1),""))</f>
        <v/>
      </c>
      <c r="AJ144" s="8">
        <f>IF(AJ$3="","",IFERROR(LEFT(TRIM(INDEX(Forms貼り付け!$A:$AZ,143,AJ$3)),1),""))</f>
        <v/>
      </c>
      <c r="AK144" s="8">
        <f>IF(AK$3="","",IFERROR(LEFT(TRIM(INDEX(Forms貼り付け!$A:$AZ,143,AK$3)),1),""))</f>
        <v/>
      </c>
      <c r="AL144" s="8">
        <f>IF(AL$3="","",IFERROR(LEFT(TRIM(INDEX(Forms貼り付け!$A:$AZ,143,AL$3)),1),""))</f>
        <v/>
      </c>
      <c r="AM144" s="8">
        <f>IF(AM$3="","",IFERROR(LEFT(TRIM(INDEX(Forms貼り付け!$A:$AZ,143,AM$3)),1),""))</f>
        <v/>
      </c>
      <c r="AN144" s="8">
        <f>IF(AN$3="","",IFERROR(LEFT(TRIM(INDEX(Forms貼り付け!$A:$AZ,143,AN$3)),1),""))</f>
        <v/>
      </c>
      <c r="AO144" s="8">
        <f>IF(AO$3="","",IFERROR(LEFT(TRIM(INDEX(Forms貼り付け!$A:$AZ,143,AO$3)),1),""))</f>
        <v/>
      </c>
      <c r="AP144" s="8">
        <f>IF(AP$3="","",IFERROR(LEFT(TRIM(INDEX(Forms貼り付け!$A:$AZ,143,AP$3)),1),""))</f>
        <v/>
      </c>
      <c r="AQ144" s="8">
        <f>IF(AQ$3="","",IFERROR(LEFT(TRIM(INDEX(Forms貼り付け!$A:$AZ,143,AQ$3)),1),""))</f>
        <v/>
      </c>
      <c r="AR144" s="8">
        <f>IF(AR$3="","",IFERROR(LEFT(TRIM(INDEX(Forms貼り付け!$A:$AZ,143,AR$3)),1),""))</f>
        <v/>
      </c>
      <c r="AS144" s="8">
        <f>IF(AS$3="","",IFERROR(LEFT(TRIM(INDEX(Forms貼り付け!$A:$AZ,143,AS$3)),1),""))</f>
        <v/>
      </c>
      <c r="AT144" s="8">
        <f>IF(AT$3="","",IFERROR(LEFT(TRIM(INDEX(Forms貼り付け!$A:$AZ,143,AT$3)),1),""))</f>
        <v/>
      </c>
      <c r="AU144" s="8">
        <f>IF(AU$3="","",IFERROR(LEFT(TRIM(INDEX(Forms貼り付け!$A:$AZ,143,AU$3)),1),""))</f>
        <v/>
      </c>
      <c r="AV144" s="8">
        <f>IF(AV$3="","",IFERROR(LEFT(TRIM(INDEX(Forms貼り付け!$A:$AZ,143,AV$3)),1),""))</f>
        <v/>
      </c>
      <c r="AW144" s="8">
        <f>IF(AW$3="","",IFERROR(LEFT(TRIM(INDEX(Forms貼り付け!$A:$AZ,143,AW$3)),1),""))</f>
        <v/>
      </c>
      <c r="AX144" s="8">
        <f>IF(AX$3="","",IFERROR(LEFT(TRIM(INDEX(Forms貼り付け!$A:$AZ,143,AX$3)),1),""))</f>
        <v/>
      </c>
      <c r="AY144" s="8">
        <f>IF(AY$3="","",IFERROR(LEFT(TRIM(INDEX(Forms貼り付け!$A:$AZ,143,AY$3)),1),""))</f>
        <v/>
      </c>
      <c r="AZ144" s="8">
        <f>IF(AZ$3="","",IFERROR(LEFT(TRIM(INDEX(Forms貼り付け!$A:$AZ,143,AZ$3)),1),""))</f>
        <v/>
      </c>
      <c r="BA144" s="8">
        <f>IF(BA$3="","",IFERROR(LEFT(TRIM(INDEX(Forms貼り付け!$A:$AZ,143,BA$3)),1),""))</f>
        <v/>
      </c>
      <c r="BB144" s="8">
        <f>IF(BB$3="","",IFERROR(LEFT(TRIM(INDEX(Forms貼り付け!$A:$AZ,143,BB$3)),1),""))</f>
        <v/>
      </c>
      <c r="BC144" s="8">
        <f>IF(BC$3="","",IFERROR(LEFT(TRIM(INDEX(Forms貼り付け!$A:$AZ,143,BC$3)),1),""))</f>
        <v/>
      </c>
    </row>
    <row r="145">
      <c r="A145" s="8" t="inlineStr">
        <is>
          <t>U141</t>
        </is>
      </c>
      <c r="B145" s="9">
        <f>IF($B$3="","",INDEX(Forms貼り付け!$A:$AZ,144,$B$3))</f>
        <v/>
      </c>
      <c r="C145" s="9">
        <f>IF($C$3="","",INDEX(Forms貼り付け!$A:$AZ,144,$C$3))</f>
        <v/>
      </c>
      <c r="D145" s="8">
        <f>IF($D$3="","",INDEX(Forms貼り付け!$A:$AZ,144,$D$3))</f>
        <v/>
      </c>
      <c r="E145" s="8">
        <f>IF($E$3="","",INDEX(Forms貼り付け!$A:$AZ,144,$E$3))</f>
        <v/>
      </c>
      <c r="F145" s="8">
        <f>IF(F$3="","",IFERROR(LEFT(TRIM(INDEX(Forms貼り付け!$A:$AZ,144,F$3)),1),""))</f>
        <v/>
      </c>
      <c r="G145" s="8">
        <f>IF(G$3="","",IFERROR(LEFT(TRIM(INDEX(Forms貼り付け!$A:$AZ,144,G$3)),1),""))</f>
        <v/>
      </c>
      <c r="H145" s="8">
        <f>IF(H$3="","",IFERROR(LEFT(TRIM(INDEX(Forms貼り付け!$A:$AZ,144,H$3)),1),""))</f>
        <v/>
      </c>
      <c r="I145" s="8">
        <f>IF(I$3="","",IFERROR(LEFT(TRIM(INDEX(Forms貼り付け!$A:$AZ,144,I$3)),1),""))</f>
        <v/>
      </c>
      <c r="J145" s="8">
        <f>IF(J$3="","",IFERROR(LEFT(TRIM(INDEX(Forms貼り付け!$A:$AZ,144,J$3)),1),""))</f>
        <v/>
      </c>
      <c r="K145" s="8">
        <f>IF(K$3="","",IFERROR(LEFT(TRIM(INDEX(Forms貼り付け!$A:$AZ,144,K$3)),1),""))</f>
        <v/>
      </c>
      <c r="L145" s="8">
        <f>IF(L$3="","",IFERROR(LEFT(TRIM(INDEX(Forms貼り付け!$A:$AZ,144,L$3)),1),""))</f>
        <v/>
      </c>
      <c r="M145" s="8">
        <f>IF(M$3="","",IFERROR(LEFT(TRIM(INDEX(Forms貼り付け!$A:$AZ,144,M$3)),1),""))</f>
        <v/>
      </c>
      <c r="N145" s="8">
        <f>IF(N$3="","",IFERROR(LEFT(TRIM(INDEX(Forms貼り付け!$A:$AZ,144,N$3)),1),""))</f>
        <v/>
      </c>
      <c r="O145" s="8">
        <f>IF(O$3="","",IFERROR(LEFT(TRIM(INDEX(Forms貼り付け!$A:$AZ,144,O$3)),1),""))</f>
        <v/>
      </c>
      <c r="P145" s="8">
        <f>IF(P$3="","",IFERROR(LEFT(TRIM(INDEX(Forms貼り付け!$A:$AZ,144,P$3)),1),""))</f>
        <v/>
      </c>
      <c r="Q145" s="8">
        <f>IF(Q$3="","",IFERROR(LEFT(TRIM(INDEX(Forms貼り付け!$A:$AZ,144,Q$3)),1),""))</f>
        <v/>
      </c>
      <c r="R145" s="8">
        <f>IF(R$3="","",IFERROR(LEFT(TRIM(INDEX(Forms貼り付け!$A:$AZ,144,R$3)),1),""))</f>
        <v/>
      </c>
      <c r="S145" s="8">
        <f>IF(S$3="","",IFERROR(LEFT(TRIM(INDEX(Forms貼り付け!$A:$AZ,144,S$3)),1),""))</f>
        <v/>
      </c>
      <c r="T145" s="8">
        <f>IF(T$3="","",IFERROR(LEFT(TRIM(INDEX(Forms貼り付け!$A:$AZ,144,T$3)),1),""))</f>
        <v/>
      </c>
      <c r="U145" s="8">
        <f>IF(U$3="","",IFERROR(LEFT(TRIM(INDEX(Forms貼り付け!$A:$AZ,144,U$3)),1),""))</f>
        <v/>
      </c>
      <c r="V145" s="8">
        <f>IF(V$3="","",IFERROR(LEFT(TRIM(INDEX(Forms貼り付け!$A:$AZ,144,V$3)),1),""))</f>
        <v/>
      </c>
      <c r="W145" s="8">
        <f>IF(W$3="","",IFERROR(LEFT(TRIM(INDEX(Forms貼り付け!$A:$AZ,144,W$3)),1),""))</f>
        <v/>
      </c>
      <c r="X145" s="8">
        <f>IF(X$3="","",IFERROR(LEFT(TRIM(INDEX(Forms貼り付け!$A:$AZ,144,X$3)),1),""))</f>
        <v/>
      </c>
      <c r="Y145" s="8">
        <f>IF(Y$3="","",IFERROR(LEFT(TRIM(INDEX(Forms貼り付け!$A:$AZ,144,Y$3)),1),""))</f>
        <v/>
      </c>
      <c r="Z145" s="8">
        <f>IF(Z$3="","",IFERROR(LEFT(TRIM(INDEX(Forms貼り付け!$A:$AZ,144,Z$3)),1),""))</f>
        <v/>
      </c>
      <c r="AA145" s="8">
        <f>IF(AA$3="","",IFERROR(LEFT(TRIM(INDEX(Forms貼り付け!$A:$AZ,144,AA$3)),1),""))</f>
        <v/>
      </c>
      <c r="AB145" s="8">
        <f>IF(AB$3="","",IFERROR(LEFT(TRIM(INDEX(Forms貼り付け!$A:$AZ,144,AB$3)),1),""))</f>
        <v/>
      </c>
      <c r="AC145" s="8">
        <f>IF(AC$3="","",IFERROR(LEFT(TRIM(INDEX(Forms貼り付け!$A:$AZ,144,AC$3)),1),""))</f>
        <v/>
      </c>
      <c r="AD145" s="8">
        <f>IF(AD$3="","",IFERROR(LEFT(TRIM(INDEX(Forms貼り付け!$A:$AZ,144,AD$3)),1),""))</f>
        <v/>
      </c>
      <c r="AE145" s="8">
        <f>IF(AE$3="","",IFERROR(LEFT(TRIM(INDEX(Forms貼り付け!$A:$AZ,144,AE$3)),1),""))</f>
        <v/>
      </c>
      <c r="AF145" s="8">
        <f>IF(AF$3="","",IFERROR(LEFT(TRIM(INDEX(Forms貼り付け!$A:$AZ,144,AF$3)),1),""))</f>
        <v/>
      </c>
      <c r="AG145" s="8">
        <f>IF(AG$3="","",IFERROR(LEFT(TRIM(INDEX(Forms貼り付け!$A:$AZ,144,AG$3)),1),""))</f>
        <v/>
      </c>
      <c r="AH145" s="8">
        <f>IF(AH$3="","",IFERROR(LEFT(TRIM(INDEX(Forms貼り付け!$A:$AZ,144,AH$3)),1),""))</f>
        <v/>
      </c>
      <c r="AI145" s="8">
        <f>IF(AI$3="","",IFERROR(LEFT(TRIM(INDEX(Forms貼り付け!$A:$AZ,144,AI$3)),1),""))</f>
        <v/>
      </c>
      <c r="AJ145" s="8">
        <f>IF(AJ$3="","",IFERROR(LEFT(TRIM(INDEX(Forms貼り付け!$A:$AZ,144,AJ$3)),1),""))</f>
        <v/>
      </c>
      <c r="AK145" s="8">
        <f>IF(AK$3="","",IFERROR(LEFT(TRIM(INDEX(Forms貼り付け!$A:$AZ,144,AK$3)),1),""))</f>
        <v/>
      </c>
      <c r="AL145" s="8">
        <f>IF(AL$3="","",IFERROR(LEFT(TRIM(INDEX(Forms貼り付け!$A:$AZ,144,AL$3)),1),""))</f>
        <v/>
      </c>
      <c r="AM145" s="8">
        <f>IF(AM$3="","",IFERROR(LEFT(TRIM(INDEX(Forms貼り付け!$A:$AZ,144,AM$3)),1),""))</f>
        <v/>
      </c>
      <c r="AN145" s="8">
        <f>IF(AN$3="","",IFERROR(LEFT(TRIM(INDEX(Forms貼り付け!$A:$AZ,144,AN$3)),1),""))</f>
        <v/>
      </c>
      <c r="AO145" s="8">
        <f>IF(AO$3="","",IFERROR(LEFT(TRIM(INDEX(Forms貼り付け!$A:$AZ,144,AO$3)),1),""))</f>
        <v/>
      </c>
      <c r="AP145" s="8">
        <f>IF(AP$3="","",IFERROR(LEFT(TRIM(INDEX(Forms貼り付け!$A:$AZ,144,AP$3)),1),""))</f>
        <v/>
      </c>
      <c r="AQ145" s="8">
        <f>IF(AQ$3="","",IFERROR(LEFT(TRIM(INDEX(Forms貼り付け!$A:$AZ,144,AQ$3)),1),""))</f>
        <v/>
      </c>
      <c r="AR145" s="8">
        <f>IF(AR$3="","",IFERROR(LEFT(TRIM(INDEX(Forms貼り付け!$A:$AZ,144,AR$3)),1),""))</f>
        <v/>
      </c>
      <c r="AS145" s="8">
        <f>IF(AS$3="","",IFERROR(LEFT(TRIM(INDEX(Forms貼り付け!$A:$AZ,144,AS$3)),1),""))</f>
        <v/>
      </c>
      <c r="AT145" s="8">
        <f>IF(AT$3="","",IFERROR(LEFT(TRIM(INDEX(Forms貼り付け!$A:$AZ,144,AT$3)),1),""))</f>
        <v/>
      </c>
      <c r="AU145" s="8">
        <f>IF(AU$3="","",IFERROR(LEFT(TRIM(INDEX(Forms貼り付け!$A:$AZ,144,AU$3)),1),""))</f>
        <v/>
      </c>
      <c r="AV145" s="8">
        <f>IF(AV$3="","",IFERROR(LEFT(TRIM(INDEX(Forms貼り付け!$A:$AZ,144,AV$3)),1),""))</f>
        <v/>
      </c>
      <c r="AW145" s="8">
        <f>IF(AW$3="","",IFERROR(LEFT(TRIM(INDEX(Forms貼り付け!$A:$AZ,144,AW$3)),1),""))</f>
        <v/>
      </c>
      <c r="AX145" s="8">
        <f>IF(AX$3="","",IFERROR(LEFT(TRIM(INDEX(Forms貼り付け!$A:$AZ,144,AX$3)),1),""))</f>
        <v/>
      </c>
      <c r="AY145" s="8">
        <f>IF(AY$3="","",IFERROR(LEFT(TRIM(INDEX(Forms貼り付け!$A:$AZ,144,AY$3)),1),""))</f>
        <v/>
      </c>
      <c r="AZ145" s="8">
        <f>IF(AZ$3="","",IFERROR(LEFT(TRIM(INDEX(Forms貼り付け!$A:$AZ,144,AZ$3)),1),""))</f>
        <v/>
      </c>
      <c r="BA145" s="8">
        <f>IF(BA$3="","",IFERROR(LEFT(TRIM(INDEX(Forms貼り付け!$A:$AZ,144,BA$3)),1),""))</f>
        <v/>
      </c>
      <c r="BB145" s="8">
        <f>IF(BB$3="","",IFERROR(LEFT(TRIM(INDEX(Forms貼り付け!$A:$AZ,144,BB$3)),1),""))</f>
        <v/>
      </c>
      <c r="BC145" s="8">
        <f>IF(BC$3="","",IFERROR(LEFT(TRIM(INDEX(Forms貼り付け!$A:$AZ,144,BC$3)),1),""))</f>
        <v/>
      </c>
    </row>
    <row r="146">
      <c r="A146" s="8" t="inlineStr">
        <is>
          <t>U142</t>
        </is>
      </c>
      <c r="B146" s="9">
        <f>IF($B$3="","",INDEX(Forms貼り付け!$A:$AZ,145,$B$3))</f>
        <v/>
      </c>
      <c r="C146" s="9">
        <f>IF($C$3="","",INDEX(Forms貼り付け!$A:$AZ,145,$C$3))</f>
        <v/>
      </c>
      <c r="D146" s="8">
        <f>IF($D$3="","",INDEX(Forms貼り付け!$A:$AZ,145,$D$3))</f>
        <v/>
      </c>
      <c r="E146" s="8">
        <f>IF($E$3="","",INDEX(Forms貼り付け!$A:$AZ,145,$E$3))</f>
        <v/>
      </c>
      <c r="F146" s="8">
        <f>IF(F$3="","",IFERROR(LEFT(TRIM(INDEX(Forms貼り付け!$A:$AZ,145,F$3)),1),""))</f>
        <v/>
      </c>
      <c r="G146" s="8">
        <f>IF(G$3="","",IFERROR(LEFT(TRIM(INDEX(Forms貼り付け!$A:$AZ,145,G$3)),1),""))</f>
        <v/>
      </c>
      <c r="H146" s="8">
        <f>IF(H$3="","",IFERROR(LEFT(TRIM(INDEX(Forms貼り付け!$A:$AZ,145,H$3)),1),""))</f>
        <v/>
      </c>
      <c r="I146" s="8">
        <f>IF(I$3="","",IFERROR(LEFT(TRIM(INDEX(Forms貼り付け!$A:$AZ,145,I$3)),1),""))</f>
        <v/>
      </c>
      <c r="J146" s="8">
        <f>IF(J$3="","",IFERROR(LEFT(TRIM(INDEX(Forms貼り付け!$A:$AZ,145,J$3)),1),""))</f>
        <v/>
      </c>
      <c r="K146" s="8">
        <f>IF(K$3="","",IFERROR(LEFT(TRIM(INDEX(Forms貼り付け!$A:$AZ,145,K$3)),1),""))</f>
        <v/>
      </c>
      <c r="L146" s="8">
        <f>IF(L$3="","",IFERROR(LEFT(TRIM(INDEX(Forms貼り付け!$A:$AZ,145,L$3)),1),""))</f>
        <v/>
      </c>
      <c r="M146" s="8">
        <f>IF(M$3="","",IFERROR(LEFT(TRIM(INDEX(Forms貼り付け!$A:$AZ,145,M$3)),1),""))</f>
        <v/>
      </c>
      <c r="N146" s="8">
        <f>IF(N$3="","",IFERROR(LEFT(TRIM(INDEX(Forms貼り付け!$A:$AZ,145,N$3)),1),""))</f>
        <v/>
      </c>
      <c r="O146" s="8">
        <f>IF(O$3="","",IFERROR(LEFT(TRIM(INDEX(Forms貼り付け!$A:$AZ,145,O$3)),1),""))</f>
        <v/>
      </c>
      <c r="P146" s="8">
        <f>IF(P$3="","",IFERROR(LEFT(TRIM(INDEX(Forms貼り付け!$A:$AZ,145,P$3)),1),""))</f>
        <v/>
      </c>
      <c r="Q146" s="8">
        <f>IF(Q$3="","",IFERROR(LEFT(TRIM(INDEX(Forms貼り付け!$A:$AZ,145,Q$3)),1),""))</f>
        <v/>
      </c>
      <c r="R146" s="8">
        <f>IF(R$3="","",IFERROR(LEFT(TRIM(INDEX(Forms貼り付け!$A:$AZ,145,R$3)),1),""))</f>
        <v/>
      </c>
      <c r="S146" s="8">
        <f>IF(S$3="","",IFERROR(LEFT(TRIM(INDEX(Forms貼り付け!$A:$AZ,145,S$3)),1),""))</f>
        <v/>
      </c>
      <c r="T146" s="8">
        <f>IF(T$3="","",IFERROR(LEFT(TRIM(INDEX(Forms貼り付け!$A:$AZ,145,T$3)),1),""))</f>
        <v/>
      </c>
      <c r="U146" s="8">
        <f>IF(U$3="","",IFERROR(LEFT(TRIM(INDEX(Forms貼り付け!$A:$AZ,145,U$3)),1),""))</f>
        <v/>
      </c>
      <c r="V146" s="8">
        <f>IF(V$3="","",IFERROR(LEFT(TRIM(INDEX(Forms貼り付け!$A:$AZ,145,V$3)),1),""))</f>
        <v/>
      </c>
      <c r="W146" s="8">
        <f>IF(W$3="","",IFERROR(LEFT(TRIM(INDEX(Forms貼り付け!$A:$AZ,145,W$3)),1),""))</f>
        <v/>
      </c>
      <c r="X146" s="8">
        <f>IF(X$3="","",IFERROR(LEFT(TRIM(INDEX(Forms貼り付け!$A:$AZ,145,X$3)),1),""))</f>
        <v/>
      </c>
      <c r="Y146" s="8">
        <f>IF(Y$3="","",IFERROR(LEFT(TRIM(INDEX(Forms貼り付け!$A:$AZ,145,Y$3)),1),""))</f>
        <v/>
      </c>
      <c r="Z146" s="8">
        <f>IF(Z$3="","",IFERROR(LEFT(TRIM(INDEX(Forms貼り付け!$A:$AZ,145,Z$3)),1),""))</f>
        <v/>
      </c>
      <c r="AA146" s="8">
        <f>IF(AA$3="","",IFERROR(LEFT(TRIM(INDEX(Forms貼り付け!$A:$AZ,145,AA$3)),1),""))</f>
        <v/>
      </c>
      <c r="AB146" s="8">
        <f>IF(AB$3="","",IFERROR(LEFT(TRIM(INDEX(Forms貼り付け!$A:$AZ,145,AB$3)),1),""))</f>
        <v/>
      </c>
      <c r="AC146" s="8">
        <f>IF(AC$3="","",IFERROR(LEFT(TRIM(INDEX(Forms貼り付け!$A:$AZ,145,AC$3)),1),""))</f>
        <v/>
      </c>
      <c r="AD146" s="8">
        <f>IF(AD$3="","",IFERROR(LEFT(TRIM(INDEX(Forms貼り付け!$A:$AZ,145,AD$3)),1),""))</f>
        <v/>
      </c>
      <c r="AE146" s="8">
        <f>IF(AE$3="","",IFERROR(LEFT(TRIM(INDEX(Forms貼り付け!$A:$AZ,145,AE$3)),1),""))</f>
        <v/>
      </c>
      <c r="AF146" s="8">
        <f>IF(AF$3="","",IFERROR(LEFT(TRIM(INDEX(Forms貼り付け!$A:$AZ,145,AF$3)),1),""))</f>
        <v/>
      </c>
      <c r="AG146" s="8">
        <f>IF(AG$3="","",IFERROR(LEFT(TRIM(INDEX(Forms貼り付け!$A:$AZ,145,AG$3)),1),""))</f>
        <v/>
      </c>
      <c r="AH146" s="8">
        <f>IF(AH$3="","",IFERROR(LEFT(TRIM(INDEX(Forms貼り付け!$A:$AZ,145,AH$3)),1),""))</f>
        <v/>
      </c>
      <c r="AI146" s="8">
        <f>IF(AI$3="","",IFERROR(LEFT(TRIM(INDEX(Forms貼り付け!$A:$AZ,145,AI$3)),1),""))</f>
        <v/>
      </c>
      <c r="AJ146" s="8">
        <f>IF(AJ$3="","",IFERROR(LEFT(TRIM(INDEX(Forms貼り付け!$A:$AZ,145,AJ$3)),1),""))</f>
        <v/>
      </c>
      <c r="AK146" s="8">
        <f>IF(AK$3="","",IFERROR(LEFT(TRIM(INDEX(Forms貼り付け!$A:$AZ,145,AK$3)),1),""))</f>
        <v/>
      </c>
      <c r="AL146" s="8">
        <f>IF(AL$3="","",IFERROR(LEFT(TRIM(INDEX(Forms貼り付け!$A:$AZ,145,AL$3)),1),""))</f>
        <v/>
      </c>
      <c r="AM146" s="8">
        <f>IF(AM$3="","",IFERROR(LEFT(TRIM(INDEX(Forms貼り付け!$A:$AZ,145,AM$3)),1),""))</f>
        <v/>
      </c>
      <c r="AN146" s="8">
        <f>IF(AN$3="","",IFERROR(LEFT(TRIM(INDEX(Forms貼り付け!$A:$AZ,145,AN$3)),1),""))</f>
        <v/>
      </c>
      <c r="AO146" s="8">
        <f>IF(AO$3="","",IFERROR(LEFT(TRIM(INDEX(Forms貼り付け!$A:$AZ,145,AO$3)),1),""))</f>
        <v/>
      </c>
      <c r="AP146" s="8">
        <f>IF(AP$3="","",IFERROR(LEFT(TRIM(INDEX(Forms貼り付け!$A:$AZ,145,AP$3)),1),""))</f>
        <v/>
      </c>
      <c r="AQ146" s="8">
        <f>IF(AQ$3="","",IFERROR(LEFT(TRIM(INDEX(Forms貼り付け!$A:$AZ,145,AQ$3)),1),""))</f>
        <v/>
      </c>
      <c r="AR146" s="8">
        <f>IF(AR$3="","",IFERROR(LEFT(TRIM(INDEX(Forms貼り付け!$A:$AZ,145,AR$3)),1),""))</f>
        <v/>
      </c>
      <c r="AS146" s="8">
        <f>IF(AS$3="","",IFERROR(LEFT(TRIM(INDEX(Forms貼り付け!$A:$AZ,145,AS$3)),1),""))</f>
        <v/>
      </c>
      <c r="AT146" s="8">
        <f>IF(AT$3="","",IFERROR(LEFT(TRIM(INDEX(Forms貼り付け!$A:$AZ,145,AT$3)),1),""))</f>
        <v/>
      </c>
      <c r="AU146" s="8">
        <f>IF(AU$3="","",IFERROR(LEFT(TRIM(INDEX(Forms貼り付け!$A:$AZ,145,AU$3)),1),""))</f>
        <v/>
      </c>
      <c r="AV146" s="8">
        <f>IF(AV$3="","",IFERROR(LEFT(TRIM(INDEX(Forms貼り付け!$A:$AZ,145,AV$3)),1),""))</f>
        <v/>
      </c>
      <c r="AW146" s="8">
        <f>IF(AW$3="","",IFERROR(LEFT(TRIM(INDEX(Forms貼り付け!$A:$AZ,145,AW$3)),1),""))</f>
        <v/>
      </c>
      <c r="AX146" s="8">
        <f>IF(AX$3="","",IFERROR(LEFT(TRIM(INDEX(Forms貼り付け!$A:$AZ,145,AX$3)),1),""))</f>
        <v/>
      </c>
      <c r="AY146" s="8">
        <f>IF(AY$3="","",IFERROR(LEFT(TRIM(INDEX(Forms貼り付け!$A:$AZ,145,AY$3)),1),""))</f>
        <v/>
      </c>
      <c r="AZ146" s="8">
        <f>IF(AZ$3="","",IFERROR(LEFT(TRIM(INDEX(Forms貼り付け!$A:$AZ,145,AZ$3)),1),""))</f>
        <v/>
      </c>
      <c r="BA146" s="8">
        <f>IF(BA$3="","",IFERROR(LEFT(TRIM(INDEX(Forms貼り付け!$A:$AZ,145,BA$3)),1),""))</f>
        <v/>
      </c>
      <c r="BB146" s="8">
        <f>IF(BB$3="","",IFERROR(LEFT(TRIM(INDEX(Forms貼り付け!$A:$AZ,145,BB$3)),1),""))</f>
        <v/>
      </c>
      <c r="BC146" s="8">
        <f>IF(BC$3="","",IFERROR(LEFT(TRIM(INDEX(Forms貼り付け!$A:$AZ,145,BC$3)),1),""))</f>
        <v/>
      </c>
    </row>
    <row r="147">
      <c r="A147" s="8" t="inlineStr">
        <is>
          <t>U143</t>
        </is>
      </c>
      <c r="B147" s="9">
        <f>IF($B$3="","",INDEX(Forms貼り付け!$A:$AZ,146,$B$3))</f>
        <v/>
      </c>
      <c r="C147" s="9">
        <f>IF($C$3="","",INDEX(Forms貼り付け!$A:$AZ,146,$C$3))</f>
        <v/>
      </c>
      <c r="D147" s="8">
        <f>IF($D$3="","",INDEX(Forms貼り付け!$A:$AZ,146,$D$3))</f>
        <v/>
      </c>
      <c r="E147" s="8">
        <f>IF($E$3="","",INDEX(Forms貼り付け!$A:$AZ,146,$E$3))</f>
        <v/>
      </c>
      <c r="F147" s="8">
        <f>IF(F$3="","",IFERROR(LEFT(TRIM(INDEX(Forms貼り付け!$A:$AZ,146,F$3)),1),""))</f>
        <v/>
      </c>
      <c r="G147" s="8">
        <f>IF(G$3="","",IFERROR(LEFT(TRIM(INDEX(Forms貼り付け!$A:$AZ,146,G$3)),1),""))</f>
        <v/>
      </c>
      <c r="H147" s="8">
        <f>IF(H$3="","",IFERROR(LEFT(TRIM(INDEX(Forms貼り付け!$A:$AZ,146,H$3)),1),""))</f>
        <v/>
      </c>
      <c r="I147" s="8">
        <f>IF(I$3="","",IFERROR(LEFT(TRIM(INDEX(Forms貼り付け!$A:$AZ,146,I$3)),1),""))</f>
        <v/>
      </c>
      <c r="J147" s="8">
        <f>IF(J$3="","",IFERROR(LEFT(TRIM(INDEX(Forms貼り付け!$A:$AZ,146,J$3)),1),""))</f>
        <v/>
      </c>
      <c r="K147" s="8">
        <f>IF(K$3="","",IFERROR(LEFT(TRIM(INDEX(Forms貼り付け!$A:$AZ,146,K$3)),1),""))</f>
        <v/>
      </c>
      <c r="L147" s="8">
        <f>IF(L$3="","",IFERROR(LEFT(TRIM(INDEX(Forms貼り付け!$A:$AZ,146,L$3)),1),""))</f>
        <v/>
      </c>
      <c r="M147" s="8">
        <f>IF(M$3="","",IFERROR(LEFT(TRIM(INDEX(Forms貼り付け!$A:$AZ,146,M$3)),1),""))</f>
        <v/>
      </c>
      <c r="N147" s="8">
        <f>IF(N$3="","",IFERROR(LEFT(TRIM(INDEX(Forms貼り付け!$A:$AZ,146,N$3)),1),""))</f>
        <v/>
      </c>
      <c r="O147" s="8">
        <f>IF(O$3="","",IFERROR(LEFT(TRIM(INDEX(Forms貼り付け!$A:$AZ,146,O$3)),1),""))</f>
        <v/>
      </c>
      <c r="P147" s="8">
        <f>IF(P$3="","",IFERROR(LEFT(TRIM(INDEX(Forms貼り付け!$A:$AZ,146,P$3)),1),""))</f>
        <v/>
      </c>
      <c r="Q147" s="8">
        <f>IF(Q$3="","",IFERROR(LEFT(TRIM(INDEX(Forms貼り付け!$A:$AZ,146,Q$3)),1),""))</f>
        <v/>
      </c>
      <c r="R147" s="8">
        <f>IF(R$3="","",IFERROR(LEFT(TRIM(INDEX(Forms貼り付け!$A:$AZ,146,R$3)),1),""))</f>
        <v/>
      </c>
      <c r="S147" s="8">
        <f>IF(S$3="","",IFERROR(LEFT(TRIM(INDEX(Forms貼り付け!$A:$AZ,146,S$3)),1),""))</f>
        <v/>
      </c>
      <c r="T147" s="8">
        <f>IF(T$3="","",IFERROR(LEFT(TRIM(INDEX(Forms貼り付け!$A:$AZ,146,T$3)),1),""))</f>
        <v/>
      </c>
      <c r="U147" s="8">
        <f>IF(U$3="","",IFERROR(LEFT(TRIM(INDEX(Forms貼り付け!$A:$AZ,146,U$3)),1),""))</f>
        <v/>
      </c>
      <c r="V147" s="8">
        <f>IF(V$3="","",IFERROR(LEFT(TRIM(INDEX(Forms貼り付け!$A:$AZ,146,V$3)),1),""))</f>
        <v/>
      </c>
      <c r="W147" s="8">
        <f>IF(W$3="","",IFERROR(LEFT(TRIM(INDEX(Forms貼り付け!$A:$AZ,146,W$3)),1),""))</f>
        <v/>
      </c>
      <c r="X147" s="8">
        <f>IF(X$3="","",IFERROR(LEFT(TRIM(INDEX(Forms貼り付け!$A:$AZ,146,X$3)),1),""))</f>
        <v/>
      </c>
      <c r="Y147" s="8">
        <f>IF(Y$3="","",IFERROR(LEFT(TRIM(INDEX(Forms貼り付け!$A:$AZ,146,Y$3)),1),""))</f>
        <v/>
      </c>
      <c r="Z147" s="8">
        <f>IF(Z$3="","",IFERROR(LEFT(TRIM(INDEX(Forms貼り付け!$A:$AZ,146,Z$3)),1),""))</f>
        <v/>
      </c>
      <c r="AA147" s="8">
        <f>IF(AA$3="","",IFERROR(LEFT(TRIM(INDEX(Forms貼り付け!$A:$AZ,146,AA$3)),1),""))</f>
        <v/>
      </c>
      <c r="AB147" s="8">
        <f>IF(AB$3="","",IFERROR(LEFT(TRIM(INDEX(Forms貼り付け!$A:$AZ,146,AB$3)),1),""))</f>
        <v/>
      </c>
      <c r="AC147" s="8">
        <f>IF(AC$3="","",IFERROR(LEFT(TRIM(INDEX(Forms貼り付け!$A:$AZ,146,AC$3)),1),""))</f>
        <v/>
      </c>
      <c r="AD147" s="8">
        <f>IF(AD$3="","",IFERROR(LEFT(TRIM(INDEX(Forms貼り付け!$A:$AZ,146,AD$3)),1),""))</f>
        <v/>
      </c>
      <c r="AE147" s="8">
        <f>IF(AE$3="","",IFERROR(LEFT(TRIM(INDEX(Forms貼り付け!$A:$AZ,146,AE$3)),1),""))</f>
        <v/>
      </c>
      <c r="AF147" s="8">
        <f>IF(AF$3="","",IFERROR(LEFT(TRIM(INDEX(Forms貼り付け!$A:$AZ,146,AF$3)),1),""))</f>
        <v/>
      </c>
      <c r="AG147" s="8">
        <f>IF(AG$3="","",IFERROR(LEFT(TRIM(INDEX(Forms貼り付け!$A:$AZ,146,AG$3)),1),""))</f>
        <v/>
      </c>
      <c r="AH147" s="8">
        <f>IF(AH$3="","",IFERROR(LEFT(TRIM(INDEX(Forms貼り付け!$A:$AZ,146,AH$3)),1),""))</f>
        <v/>
      </c>
      <c r="AI147" s="8">
        <f>IF(AI$3="","",IFERROR(LEFT(TRIM(INDEX(Forms貼り付け!$A:$AZ,146,AI$3)),1),""))</f>
        <v/>
      </c>
      <c r="AJ147" s="8">
        <f>IF(AJ$3="","",IFERROR(LEFT(TRIM(INDEX(Forms貼り付け!$A:$AZ,146,AJ$3)),1),""))</f>
        <v/>
      </c>
      <c r="AK147" s="8">
        <f>IF(AK$3="","",IFERROR(LEFT(TRIM(INDEX(Forms貼り付け!$A:$AZ,146,AK$3)),1),""))</f>
        <v/>
      </c>
      <c r="AL147" s="8">
        <f>IF(AL$3="","",IFERROR(LEFT(TRIM(INDEX(Forms貼り付け!$A:$AZ,146,AL$3)),1),""))</f>
        <v/>
      </c>
      <c r="AM147" s="8">
        <f>IF(AM$3="","",IFERROR(LEFT(TRIM(INDEX(Forms貼り付け!$A:$AZ,146,AM$3)),1),""))</f>
        <v/>
      </c>
      <c r="AN147" s="8">
        <f>IF(AN$3="","",IFERROR(LEFT(TRIM(INDEX(Forms貼り付け!$A:$AZ,146,AN$3)),1),""))</f>
        <v/>
      </c>
      <c r="AO147" s="8">
        <f>IF(AO$3="","",IFERROR(LEFT(TRIM(INDEX(Forms貼り付け!$A:$AZ,146,AO$3)),1),""))</f>
        <v/>
      </c>
      <c r="AP147" s="8">
        <f>IF(AP$3="","",IFERROR(LEFT(TRIM(INDEX(Forms貼り付け!$A:$AZ,146,AP$3)),1),""))</f>
        <v/>
      </c>
      <c r="AQ147" s="8">
        <f>IF(AQ$3="","",IFERROR(LEFT(TRIM(INDEX(Forms貼り付け!$A:$AZ,146,AQ$3)),1),""))</f>
        <v/>
      </c>
      <c r="AR147" s="8">
        <f>IF(AR$3="","",IFERROR(LEFT(TRIM(INDEX(Forms貼り付け!$A:$AZ,146,AR$3)),1),""))</f>
        <v/>
      </c>
      <c r="AS147" s="8">
        <f>IF(AS$3="","",IFERROR(LEFT(TRIM(INDEX(Forms貼り付け!$A:$AZ,146,AS$3)),1),""))</f>
        <v/>
      </c>
      <c r="AT147" s="8">
        <f>IF(AT$3="","",IFERROR(LEFT(TRIM(INDEX(Forms貼り付け!$A:$AZ,146,AT$3)),1),""))</f>
        <v/>
      </c>
      <c r="AU147" s="8">
        <f>IF(AU$3="","",IFERROR(LEFT(TRIM(INDEX(Forms貼り付け!$A:$AZ,146,AU$3)),1),""))</f>
        <v/>
      </c>
      <c r="AV147" s="8">
        <f>IF(AV$3="","",IFERROR(LEFT(TRIM(INDEX(Forms貼り付け!$A:$AZ,146,AV$3)),1),""))</f>
        <v/>
      </c>
      <c r="AW147" s="8">
        <f>IF(AW$3="","",IFERROR(LEFT(TRIM(INDEX(Forms貼り付け!$A:$AZ,146,AW$3)),1),""))</f>
        <v/>
      </c>
      <c r="AX147" s="8">
        <f>IF(AX$3="","",IFERROR(LEFT(TRIM(INDEX(Forms貼り付け!$A:$AZ,146,AX$3)),1),""))</f>
        <v/>
      </c>
      <c r="AY147" s="8">
        <f>IF(AY$3="","",IFERROR(LEFT(TRIM(INDEX(Forms貼り付け!$A:$AZ,146,AY$3)),1),""))</f>
        <v/>
      </c>
      <c r="AZ147" s="8">
        <f>IF(AZ$3="","",IFERROR(LEFT(TRIM(INDEX(Forms貼り付け!$A:$AZ,146,AZ$3)),1),""))</f>
        <v/>
      </c>
      <c r="BA147" s="8">
        <f>IF(BA$3="","",IFERROR(LEFT(TRIM(INDEX(Forms貼り付け!$A:$AZ,146,BA$3)),1),""))</f>
        <v/>
      </c>
      <c r="BB147" s="8">
        <f>IF(BB$3="","",IFERROR(LEFT(TRIM(INDEX(Forms貼り付け!$A:$AZ,146,BB$3)),1),""))</f>
        <v/>
      </c>
      <c r="BC147" s="8">
        <f>IF(BC$3="","",IFERROR(LEFT(TRIM(INDEX(Forms貼り付け!$A:$AZ,146,BC$3)),1),""))</f>
        <v/>
      </c>
    </row>
    <row r="148">
      <c r="A148" s="8" t="inlineStr">
        <is>
          <t>U144</t>
        </is>
      </c>
      <c r="B148" s="9">
        <f>IF($B$3="","",INDEX(Forms貼り付け!$A:$AZ,147,$B$3))</f>
        <v/>
      </c>
      <c r="C148" s="9">
        <f>IF($C$3="","",INDEX(Forms貼り付け!$A:$AZ,147,$C$3))</f>
        <v/>
      </c>
      <c r="D148" s="8">
        <f>IF($D$3="","",INDEX(Forms貼り付け!$A:$AZ,147,$D$3))</f>
        <v/>
      </c>
      <c r="E148" s="8">
        <f>IF($E$3="","",INDEX(Forms貼り付け!$A:$AZ,147,$E$3))</f>
        <v/>
      </c>
      <c r="F148" s="8">
        <f>IF(F$3="","",IFERROR(LEFT(TRIM(INDEX(Forms貼り付け!$A:$AZ,147,F$3)),1),""))</f>
        <v/>
      </c>
      <c r="G148" s="8">
        <f>IF(G$3="","",IFERROR(LEFT(TRIM(INDEX(Forms貼り付け!$A:$AZ,147,G$3)),1),""))</f>
        <v/>
      </c>
      <c r="H148" s="8">
        <f>IF(H$3="","",IFERROR(LEFT(TRIM(INDEX(Forms貼り付け!$A:$AZ,147,H$3)),1),""))</f>
        <v/>
      </c>
      <c r="I148" s="8">
        <f>IF(I$3="","",IFERROR(LEFT(TRIM(INDEX(Forms貼り付け!$A:$AZ,147,I$3)),1),""))</f>
        <v/>
      </c>
      <c r="J148" s="8">
        <f>IF(J$3="","",IFERROR(LEFT(TRIM(INDEX(Forms貼り付け!$A:$AZ,147,J$3)),1),""))</f>
        <v/>
      </c>
      <c r="K148" s="8">
        <f>IF(K$3="","",IFERROR(LEFT(TRIM(INDEX(Forms貼り付け!$A:$AZ,147,K$3)),1),""))</f>
        <v/>
      </c>
      <c r="L148" s="8">
        <f>IF(L$3="","",IFERROR(LEFT(TRIM(INDEX(Forms貼り付け!$A:$AZ,147,L$3)),1),""))</f>
        <v/>
      </c>
      <c r="M148" s="8">
        <f>IF(M$3="","",IFERROR(LEFT(TRIM(INDEX(Forms貼り付け!$A:$AZ,147,M$3)),1),""))</f>
        <v/>
      </c>
      <c r="N148" s="8">
        <f>IF(N$3="","",IFERROR(LEFT(TRIM(INDEX(Forms貼り付け!$A:$AZ,147,N$3)),1),""))</f>
        <v/>
      </c>
      <c r="O148" s="8">
        <f>IF(O$3="","",IFERROR(LEFT(TRIM(INDEX(Forms貼り付け!$A:$AZ,147,O$3)),1),""))</f>
        <v/>
      </c>
      <c r="P148" s="8">
        <f>IF(P$3="","",IFERROR(LEFT(TRIM(INDEX(Forms貼り付け!$A:$AZ,147,P$3)),1),""))</f>
        <v/>
      </c>
      <c r="Q148" s="8">
        <f>IF(Q$3="","",IFERROR(LEFT(TRIM(INDEX(Forms貼り付け!$A:$AZ,147,Q$3)),1),""))</f>
        <v/>
      </c>
      <c r="R148" s="8">
        <f>IF(R$3="","",IFERROR(LEFT(TRIM(INDEX(Forms貼り付け!$A:$AZ,147,R$3)),1),""))</f>
        <v/>
      </c>
      <c r="S148" s="8">
        <f>IF(S$3="","",IFERROR(LEFT(TRIM(INDEX(Forms貼り付け!$A:$AZ,147,S$3)),1),""))</f>
        <v/>
      </c>
      <c r="T148" s="8">
        <f>IF(T$3="","",IFERROR(LEFT(TRIM(INDEX(Forms貼り付け!$A:$AZ,147,T$3)),1),""))</f>
        <v/>
      </c>
      <c r="U148" s="8">
        <f>IF(U$3="","",IFERROR(LEFT(TRIM(INDEX(Forms貼り付け!$A:$AZ,147,U$3)),1),""))</f>
        <v/>
      </c>
      <c r="V148" s="8">
        <f>IF(V$3="","",IFERROR(LEFT(TRIM(INDEX(Forms貼り付け!$A:$AZ,147,V$3)),1),""))</f>
        <v/>
      </c>
      <c r="W148" s="8">
        <f>IF(W$3="","",IFERROR(LEFT(TRIM(INDEX(Forms貼り付け!$A:$AZ,147,W$3)),1),""))</f>
        <v/>
      </c>
      <c r="X148" s="8">
        <f>IF(X$3="","",IFERROR(LEFT(TRIM(INDEX(Forms貼り付け!$A:$AZ,147,X$3)),1),""))</f>
        <v/>
      </c>
      <c r="Y148" s="8">
        <f>IF(Y$3="","",IFERROR(LEFT(TRIM(INDEX(Forms貼り付け!$A:$AZ,147,Y$3)),1),""))</f>
        <v/>
      </c>
      <c r="Z148" s="8">
        <f>IF(Z$3="","",IFERROR(LEFT(TRIM(INDEX(Forms貼り付け!$A:$AZ,147,Z$3)),1),""))</f>
        <v/>
      </c>
      <c r="AA148" s="8">
        <f>IF(AA$3="","",IFERROR(LEFT(TRIM(INDEX(Forms貼り付け!$A:$AZ,147,AA$3)),1),""))</f>
        <v/>
      </c>
      <c r="AB148" s="8">
        <f>IF(AB$3="","",IFERROR(LEFT(TRIM(INDEX(Forms貼り付け!$A:$AZ,147,AB$3)),1),""))</f>
        <v/>
      </c>
      <c r="AC148" s="8">
        <f>IF(AC$3="","",IFERROR(LEFT(TRIM(INDEX(Forms貼り付け!$A:$AZ,147,AC$3)),1),""))</f>
        <v/>
      </c>
      <c r="AD148" s="8">
        <f>IF(AD$3="","",IFERROR(LEFT(TRIM(INDEX(Forms貼り付け!$A:$AZ,147,AD$3)),1),""))</f>
        <v/>
      </c>
      <c r="AE148" s="8">
        <f>IF(AE$3="","",IFERROR(LEFT(TRIM(INDEX(Forms貼り付け!$A:$AZ,147,AE$3)),1),""))</f>
        <v/>
      </c>
      <c r="AF148" s="8">
        <f>IF(AF$3="","",IFERROR(LEFT(TRIM(INDEX(Forms貼り付け!$A:$AZ,147,AF$3)),1),""))</f>
        <v/>
      </c>
      <c r="AG148" s="8">
        <f>IF(AG$3="","",IFERROR(LEFT(TRIM(INDEX(Forms貼り付け!$A:$AZ,147,AG$3)),1),""))</f>
        <v/>
      </c>
      <c r="AH148" s="8">
        <f>IF(AH$3="","",IFERROR(LEFT(TRIM(INDEX(Forms貼り付け!$A:$AZ,147,AH$3)),1),""))</f>
        <v/>
      </c>
      <c r="AI148" s="8">
        <f>IF(AI$3="","",IFERROR(LEFT(TRIM(INDEX(Forms貼り付け!$A:$AZ,147,AI$3)),1),""))</f>
        <v/>
      </c>
      <c r="AJ148" s="8">
        <f>IF(AJ$3="","",IFERROR(LEFT(TRIM(INDEX(Forms貼り付け!$A:$AZ,147,AJ$3)),1),""))</f>
        <v/>
      </c>
      <c r="AK148" s="8">
        <f>IF(AK$3="","",IFERROR(LEFT(TRIM(INDEX(Forms貼り付け!$A:$AZ,147,AK$3)),1),""))</f>
        <v/>
      </c>
      <c r="AL148" s="8">
        <f>IF(AL$3="","",IFERROR(LEFT(TRIM(INDEX(Forms貼り付け!$A:$AZ,147,AL$3)),1),""))</f>
        <v/>
      </c>
      <c r="AM148" s="8">
        <f>IF(AM$3="","",IFERROR(LEFT(TRIM(INDEX(Forms貼り付け!$A:$AZ,147,AM$3)),1),""))</f>
        <v/>
      </c>
      <c r="AN148" s="8">
        <f>IF(AN$3="","",IFERROR(LEFT(TRIM(INDEX(Forms貼り付け!$A:$AZ,147,AN$3)),1),""))</f>
        <v/>
      </c>
      <c r="AO148" s="8">
        <f>IF(AO$3="","",IFERROR(LEFT(TRIM(INDEX(Forms貼り付け!$A:$AZ,147,AO$3)),1),""))</f>
        <v/>
      </c>
      <c r="AP148" s="8">
        <f>IF(AP$3="","",IFERROR(LEFT(TRIM(INDEX(Forms貼り付け!$A:$AZ,147,AP$3)),1),""))</f>
        <v/>
      </c>
      <c r="AQ148" s="8">
        <f>IF(AQ$3="","",IFERROR(LEFT(TRIM(INDEX(Forms貼り付け!$A:$AZ,147,AQ$3)),1),""))</f>
        <v/>
      </c>
      <c r="AR148" s="8">
        <f>IF(AR$3="","",IFERROR(LEFT(TRIM(INDEX(Forms貼り付け!$A:$AZ,147,AR$3)),1),""))</f>
        <v/>
      </c>
      <c r="AS148" s="8">
        <f>IF(AS$3="","",IFERROR(LEFT(TRIM(INDEX(Forms貼り付け!$A:$AZ,147,AS$3)),1),""))</f>
        <v/>
      </c>
      <c r="AT148" s="8">
        <f>IF(AT$3="","",IFERROR(LEFT(TRIM(INDEX(Forms貼り付け!$A:$AZ,147,AT$3)),1),""))</f>
        <v/>
      </c>
      <c r="AU148" s="8">
        <f>IF(AU$3="","",IFERROR(LEFT(TRIM(INDEX(Forms貼り付け!$A:$AZ,147,AU$3)),1),""))</f>
        <v/>
      </c>
      <c r="AV148" s="8">
        <f>IF(AV$3="","",IFERROR(LEFT(TRIM(INDEX(Forms貼り付け!$A:$AZ,147,AV$3)),1),""))</f>
        <v/>
      </c>
      <c r="AW148" s="8">
        <f>IF(AW$3="","",IFERROR(LEFT(TRIM(INDEX(Forms貼り付け!$A:$AZ,147,AW$3)),1),""))</f>
        <v/>
      </c>
      <c r="AX148" s="8">
        <f>IF(AX$3="","",IFERROR(LEFT(TRIM(INDEX(Forms貼り付け!$A:$AZ,147,AX$3)),1),""))</f>
        <v/>
      </c>
      <c r="AY148" s="8">
        <f>IF(AY$3="","",IFERROR(LEFT(TRIM(INDEX(Forms貼り付け!$A:$AZ,147,AY$3)),1),""))</f>
        <v/>
      </c>
      <c r="AZ148" s="8">
        <f>IF(AZ$3="","",IFERROR(LEFT(TRIM(INDEX(Forms貼り付け!$A:$AZ,147,AZ$3)),1),""))</f>
        <v/>
      </c>
      <c r="BA148" s="8">
        <f>IF(BA$3="","",IFERROR(LEFT(TRIM(INDEX(Forms貼り付け!$A:$AZ,147,BA$3)),1),""))</f>
        <v/>
      </c>
      <c r="BB148" s="8">
        <f>IF(BB$3="","",IFERROR(LEFT(TRIM(INDEX(Forms貼り付け!$A:$AZ,147,BB$3)),1),""))</f>
        <v/>
      </c>
      <c r="BC148" s="8">
        <f>IF(BC$3="","",IFERROR(LEFT(TRIM(INDEX(Forms貼り付け!$A:$AZ,147,BC$3)),1),""))</f>
        <v/>
      </c>
    </row>
    <row r="149">
      <c r="A149" s="8" t="inlineStr">
        <is>
          <t>U145</t>
        </is>
      </c>
      <c r="B149" s="9">
        <f>IF($B$3="","",INDEX(Forms貼り付け!$A:$AZ,148,$B$3))</f>
        <v/>
      </c>
      <c r="C149" s="9">
        <f>IF($C$3="","",INDEX(Forms貼り付け!$A:$AZ,148,$C$3))</f>
        <v/>
      </c>
      <c r="D149" s="8">
        <f>IF($D$3="","",INDEX(Forms貼り付け!$A:$AZ,148,$D$3))</f>
        <v/>
      </c>
      <c r="E149" s="8">
        <f>IF($E$3="","",INDEX(Forms貼り付け!$A:$AZ,148,$E$3))</f>
        <v/>
      </c>
      <c r="F149" s="8">
        <f>IF(F$3="","",IFERROR(LEFT(TRIM(INDEX(Forms貼り付け!$A:$AZ,148,F$3)),1),""))</f>
        <v/>
      </c>
      <c r="G149" s="8">
        <f>IF(G$3="","",IFERROR(LEFT(TRIM(INDEX(Forms貼り付け!$A:$AZ,148,G$3)),1),""))</f>
        <v/>
      </c>
      <c r="H149" s="8">
        <f>IF(H$3="","",IFERROR(LEFT(TRIM(INDEX(Forms貼り付け!$A:$AZ,148,H$3)),1),""))</f>
        <v/>
      </c>
      <c r="I149" s="8">
        <f>IF(I$3="","",IFERROR(LEFT(TRIM(INDEX(Forms貼り付け!$A:$AZ,148,I$3)),1),""))</f>
        <v/>
      </c>
      <c r="J149" s="8">
        <f>IF(J$3="","",IFERROR(LEFT(TRIM(INDEX(Forms貼り付け!$A:$AZ,148,J$3)),1),""))</f>
        <v/>
      </c>
      <c r="K149" s="8">
        <f>IF(K$3="","",IFERROR(LEFT(TRIM(INDEX(Forms貼り付け!$A:$AZ,148,K$3)),1),""))</f>
        <v/>
      </c>
      <c r="L149" s="8">
        <f>IF(L$3="","",IFERROR(LEFT(TRIM(INDEX(Forms貼り付け!$A:$AZ,148,L$3)),1),""))</f>
        <v/>
      </c>
      <c r="M149" s="8">
        <f>IF(M$3="","",IFERROR(LEFT(TRIM(INDEX(Forms貼り付け!$A:$AZ,148,M$3)),1),""))</f>
        <v/>
      </c>
      <c r="N149" s="8">
        <f>IF(N$3="","",IFERROR(LEFT(TRIM(INDEX(Forms貼り付け!$A:$AZ,148,N$3)),1),""))</f>
        <v/>
      </c>
      <c r="O149" s="8">
        <f>IF(O$3="","",IFERROR(LEFT(TRIM(INDEX(Forms貼り付け!$A:$AZ,148,O$3)),1),""))</f>
        <v/>
      </c>
      <c r="P149" s="8">
        <f>IF(P$3="","",IFERROR(LEFT(TRIM(INDEX(Forms貼り付け!$A:$AZ,148,P$3)),1),""))</f>
        <v/>
      </c>
      <c r="Q149" s="8">
        <f>IF(Q$3="","",IFERROR(LEFT(TRIM(INDEX(Forms貼り付け!$A:$AZ,148,Q$3)),1),""))</f>
        <v/>
      </c>
      <c r="R149" s="8">
        <f>IF(R$3="","",IFERROR(LEFT(TRIM(INDEX(Forms貼り付け!$A:$AZ,148,R$3)),1),""))</f>
        <v/>
      </c>
      <c r="S149" s="8">
        <f>IF(S$3="","",IFERROR(LEFT(TRIM(INDEX(Forms貼り付け!$A:$AZ,148,S$3)),1),""))</f>
        <v/>
      </c>
      <c r="T149" s="8">
        <f>IF(T$3="","",IFERROR(LEFT(TRIM(INDEX(Forms貼り付け!$A:$AZ,148,T$3)),1),""))</f>
        <v/>
      </c>
      <c r="U149" s="8">
        <f>IF(U$3="","",IFERROR(LEFT(TRIM(INDEX(Forms貼り付け!$A:$AZ,148,U$3)),1),""))</f>
        <v/>
      </c>
      <c r="V149" s="8">
        <f>IF(V$3="","",IFERROR(LEFT(TRIM(INDEX(Forms貼り付け!$A:$AZ,148,V$3)),1),""))</f>
        <v/>
      </c>
      <c r="W149" s="8">
        <f>IF(W$3="","",IFERROR(LEFT(TRIM(INDEX(Forms貼り付け!$A:$AZ,148,W$3)),1),""))</f>
        <v/>
      </c>
      <c r="X149" s="8">
        <f>IF(X$3="","",IFERROR(LEFT(TRIM(INDEX(Forms貼り付け!$A:$AZ,148,X$3)),1),""))</f>
        <v/>
      </c>
      <c r="Y149" s="8">
        <f>IF(Y$3="","",IFERROR(LEFT(TRIM(INDEX(Forms貼り付け!$A:$AZ,148,Y$3)),1),""))</f>
        <v/>
      </c>
      <c r="Z149" s="8">
        <f>IF(Z$3="","",IFERROR(LEFT(TRIM(INDEX(Forms貼り付け!$A:$AZ,148,Z$3)),1),""))</f>
        <v/>
      </c>
      <c r="AA149" s="8">
        <f>IF(AA$3="","",IFERROR(LEFT(TRIM(INDEX(Forms貼り付け!$A:$AZ,148,AA$3)),1),""))</f>
        <v/>
      </c>
      <c r="AB149" s="8">
        <f>IF(AB$3="","",IFERROR(LEFT(TRIM(INDEX(Forms貼り付け!$A:$AZ,148,AB$3)),1),""))</f>
        <v/>
      </c>
      <c r="AC149" s="8">
        <f>IF(AC$3="","",IFERROR(LEFT(TRIM(INDEX(Forms貼り付け!$A:$AZ,148,AC$3)),1),""))</f>
        <v/>
      </c>
      <c r="AD149" s="8">
        <f>IF(AD$3="","",IFERROR(LEFT(TRIM(INDEX(Forms貼り付け!$A:$AZ,148,AD$3)),1),""))</f>
        <v/>
      </c>
      <c r="AE149" s="8">
        <f>IF(AE$3="","",IFERROR(LEFT(TRIM(INDEX(Forms貼り付け!$A:$AZ,148,AE$3)),1),""))</f>
        <v/>
      </c>
      <c r="AF149" s="8">
        <f>IF(AF$3="","",IFERROR(LEFT(TRIM(INDEX(Forms貼り付け!$A:$AZ,148,AF$3)),1),""))</f>
        <v/>
      </c>
      <c r="AG149" s="8">
        <f>IF(AG$3="","",IFERROR(LEFT(TRIM(INDEX(Forms貼り付け!$A:$AZ,148,AG$3)),1),""))</f>
        <v/>
      </c>
      <c r="AH149" s="8">
        <f>IF(AH$3="","",IFERROR(LEFT(TRIM(INDEX(Forms貼り付け!$A:$AZ,148,AH$3)),1),""))</f>
        <v/>
      </c>
      <c r="AI149" s="8">
        <f>IF(AI$3="","",IFERROR(LEFT(TRIM(INDEX(Forms貼り付け!$A:$AZ,148,AI$3)),1),""))</f>
        <v/>
      </c>
      <c r="AJ149" s="8">
        <f>IF(AJ$3="","",IFERROR(LEFT(TRIM(INDEX(Forms貼り付け!$A:$AZ,148,AJ$3)),1),""))</f>
        <v/>
      </c>
      <c r="AK149" s="8">
        <f>IF(AK$3="","",IFERROR(LEFT(TRIM(INDEX(Forms貼り付け!$A:$AZ,148,AK$3)),1),""))</f>
        <v/>
      </c>
      <c r="AL149" s="8">
        <f>IF(AL$3="","",IFERROR(LEFT(TRIM(INDEX(Forms貼り付け!$A:$AZ,148,AL$3)),1),""))</f>
        <v/>
      </c>
      <c r="AM149" s="8">
        <f>IF(AM$3="","",IFERROR(LEFT(TRIM(INDEX(Forms貼り付け!$A:$AZ,148,AM$3)),1),""))</f>
        <v/>
      </c>
      <c r="AN149" s="8">
        <f>IF(AN$3="","",IFERROR(LEFT(TRIM(INDEX(Forms貼り付け!$A:$AZ,148,AN$3)),1),""))</f>
        <v/>
      </c>
      <c r="AO149" s="8">
        <f>IF(AO$3="","",IFERROR(LEFT(TRIM(INDEX(Forms貼り付け!$A:$AZ,148,AO$3)),1),""))</f>
        <v/>
      </c>
      <c r="AP149" s="8">
        <f>IF(AP$3="","",IFERROR(LEFT(TRIM(INDEX(Forms貼り付け!$A:$AZ,148,AP$3)),1),""))</f>
        <v/>
      </c>
      <c r="AQ149" s="8">
        <f>IF(AQ$3="","",IFERROR(LEFT(TRIM(INDEX(Forms貼り付け!$A:$AZ,148,AQ$3)),1),""))</f>
        <v/>
      </c>
      <c r="AR149" s="8">
        <f>IF(AR$3="","",IFERROR(LEFT(TRIM(INDEX(Forms貼り付け!$A:$AZ,148,AR$3)),1),""))</f>
        <v/>
      </c>
      <c r="AS149" s="8">
        <f>IF(AS$3="","",IFERROR(LEFT(TRIM(INDEX(Forms貼り付け!$A:$AZ,148,AS$3)),1),""))</f>
        <v/>
      </c>
      <c r="AT149" s="8">
        <f>IF(AT$3="","",IFERROR(LEFT(TRIM(INDEX(Forms貼り付け!$A:$AZ,148,AT$3)),1),""))</f>
        <v/>
      </c>
      <c r="AU149" s="8">
        <f>IF(AU$3="","",IFERROR(LEFT(TRIM(INDEX(Forms貼り付け!$A:$AZ,148,AU$3)),1),""))</f>
        <v/>
      </c>
      <c r="AV149" s="8">
        <f>IF(AV$3="","",IFERROR(LEFT(TRIM(INDEX(Forms貼り付け!$A:$AZ,148,AV$3)),1),""))</f>
        <v/>
      </c>
      <c r="AW149" s="8">
        <f>IF(AW$3="","",IFERROR(LEFT(TRIM(INDEX(Forms貼り付け!$A:$AZ,148,AW$3)),1),""))</f>
        <v/>
      </c>
      <c r="AX149" s="8">
        <f>IF(AX$3="","",IFERROR(LEFT(TRIM(INDEX(Forms貼り付け!$A:$AZ,148,AX$3)),1),""))</f>
        <v/>
      </c>
      <c r="AY149" s="8">
        <f>IF(AY$3="","",IFERROR(LEFT(TRIM(INDEX(Forms貼り付け!$A:$AZ,148,AY$3)),1),""))</f>
        <v/>
      </c>
      <c r="AZ149" s="8">
        <f>IF(AZ$3="","",IFERROR(LEFT(TRIM(INDEX(Forms貼り付け!$A:$AZ,148,AZ$3)),1),""))</f>
        <v/>
      </c>
      <c r="BA149" s="8">
        <f>IF(BA$3="","",IFERROR(LEFT(TRIM(INDEX(Forms貼り付け!$A:$AZ,148,BA$3)),1),""))</f>
        <v/>
      </c>
      <c r="BB149" s="8">
        <f>IF(BB$3="","",IFERROR(LEFT(TRIM(INDEX(Forms貼り付け!$A:$AZ,148,BB$3)),1),""))</f>
        <v/>
      </c>
      <c r="BC149" s="8">
        <f>IF(BC$3="","",IFERROR(LEFT(TRIM(INDEX(Forms貼り付け!$A:$AZ,148,BC$3)),1),""))</f>
        <v/>
      </c>
    </row>
    <row r="150">
      <c r="A150" s="8" t="inlineStr">
        <is>
          <t>U146</t>
        </is>
      </c>
      <c r="B150" s="9">
        <f>IF($B$3="","",INDEX(Forms貼り付け!$A:$AZ,149,$B$3))</f>
        <v/>
      </c>
      <c r="C150" s="9">
        <f>IF($C$3="","",INDEX(Forms貼り付け!$A:$AZ,149,$C$3))</f>
        <v/>
      </c>
      <c r="D150" s="8">
        <f>IF($D$3="","",INDEX(Forms貼り付け!$A:$AZ,149,$D$3))</f>
        <v/>
      </c>
      <c r="E150" s="8">
        <f>IF($E$3="","",INDEX(Forms貼り付け!$A:$AZ,149,$E$3))</f>
        <v/>
      </c>
      <c r="F150" s="8">
        <f>IF(F$3="","",IFERROR(LEFT(TRIM(INDEX(Forms貼り付け!$A:$AZ,149,F$3)),1),""))</f>
        <v/>
      </c>
      <c r="G150" s="8">
        <f>IF(G$3="","",IFERROR(LEFT(TRIM(INDEX(Forms貼り付け!$A:$AZ,149,G$3)),1),""))</f>
        <v/>
      </c>
      <c r="H150" s="8">
        <f>IF(H$3="","",IFERROR(LEFT(TRIM(INDEX(Forms貼り付け!$A:$AZ,149,H$3)),1),""))</f>
        <v/>
      </c>
      <c r="I150" s="8">
        <f>IF(I$3="","",IFERROR(LEFT(TRIM(INDEX(Forms貼り付け!$A:$AZ,149,I$3)),1),""))</f>
        <v/>
      </c>
      <c r="J150" s="8">
        <f>IF(J$3="","",IFERROR(LEFT(TRIM(INDEX(Forms貼り付け!$A:$AZ,149,J$3)),1),""))</f>
        <v/>
      </c>
      <c r="K150" s="8">
        <f>IF(K$3="","",IFERROR(LEFT(TRIM(INDEX(Forms貼り付け!$A:$AZ,149,K$3)),1),""))</f>
        <v/>
      </c>
      <c r="L150" s="8">
        <f>IF(L$3="","",IFERROR(LEFT(TRIM(INDEX(Forms貼り付け!$A:$AZ,149,L$3)),1),""))</f>
        <v/>
      </c>
      <c r="M150" s="8">
        <f>IF(M$3="","",IFERROR(LEFT(TRIM(INDEX(Forms貼り付け!$A:$AZ,149,M$3)),1),""))</f>
        <v/>
      </c>
      <c r="N150" s="8">
        <f>IF(N$3="","",IFERROR(LEFT(TRIM(INDEX(Forms貼り付け!$A:$AZ,149,N$3)),1),""))</f>
        <v/>
      </c>
      <c r="O150" s="8">
        <f>IF(O$3="","",IFERROR(LEFT(TRIM(INDEX(Forms貼り付け!$A:$AZ,149,O$3)),1),""))</f>
        <v/>
      </c>
      <c r="P150" s="8">
        <f>IF(P$3="","",IFERROR(LEFT(TRIM(INDEX(Forms貼り付け!$A:$AZ,149,P$3)),1),""))</f>
        <v/>
      </c>
      <c r="Q150" s="8">
        <f>IF(Q$3="","",IFERROR(LEFT(TRIM(INDEX(Forms貼り付け!$A:$AZ,149,Q$3)),1),""))</f>
        <v/>
      </c>
      <c r="R150" s="8">
        <f>IF(R$3="","",IFERROR(LEFT(TRIM(INDEX(Forms貼り付け!$A:$AZ,149,R$3)),1),""))</f>
        <v/>
      </c>
      <c r="S150" s="8">
        <f>IF(S$3="","",IFERROR(LEFT(TRIM(INDEX(Forms貼り付け!$A:$AZ,149,S$3)),1),""))</f>
        <v/>
      </c>
      <c r="T150" s="8">
        <f>IF(T$3="","",IFERROR(LEFT(TRIM(INDEX(Forms貼り付け!$A:$AZ,149,T$3)),1),""))</f>
        <v/>
      </c>
      <c r="U150" s="8">
        <f>IF(U$3="","",IFERROR(LEFT(TRIM(INDEX(Forms貼り付け!$A:$AZ,149,U$3)),1),""))</f>
        <v/>
      </c>
      <c r="V150" s="8">
        <f>IF(V$3="","",IFERROR(LEFT(TRIM(INDEX(Forms貼り付け!$A:$AZ,149,V$3)),1),""))</f>
        <v/>
      </c>
      <c r="W150" s="8">
        <f>IF(W$3="","",IFERROR(LEFT(TRIM(INDEX(Forms貼り付け!$A:$AZ,149,W$3)),1),""))</f>
        <v/>
      </c>
      <c r="X150" s="8">
        <f>IF(X$3="","",IFERROR(LEFT(TRIM(INDEX(Forms貼り付け!$A:$AZ,149,X$3)),1),""))</f>
        <v/>
      </c>
      <c r="Y150" s="8">
        <f>IF(Y$3="","",IFERROR(LEFT(TRIM(INDEX(Forms貼り付け!$A:$AZ,149,Y$3)),1),""))</f>
        <v/>
      </c>
      <c r="Z150" s="8">
        <f>IF(Z$3="","",IFERROR(LEFT(TRIM(INDEX(Forms貼り付け!$A:$AZ,149,Z$3)),1),""))</f>
        <v/>
      </c>
      <c r="AA150" s="8">
        <f>IF(AA$3="","",IFERROR(LEFT(TRIM(INDEX(Forms貼り付け!$A:$AZ,149,AA$3)),1),""))</f>
        <v/>
      </c>
      <c r="AB150" s="8">
        <f>IF(AB$3="","",IFERROR(LEFT(TRIM(INDEX(Forms貼り付け!$A:$AZ,149,AB$3)),1),""))</f>
        <v/>
      </c>
      <c r="AC150" s="8">
        <f>IF(AC$3="","",IFERROR(LEFT(TRIM(INDEX(Forms貼り付け!$A:$AZ,149,AC$3)),1),""))</f>
        <v/>
      </c>
      <c r="AD150" s="8">
        <f>IF(AD$3="","",IFERROR(LEFT(TRIM(INDEX(Forms貼り付け!$A:$AZ,149,AD$3)),1),""))</f>
        <v/>
      </c>
      <c r="AE150" s="8">
        <f>IF(AE$3="","",IFERROR(LEFT(TRIM(INDEX(Forms貼り付け!$A:$AZ,149,AE$3)),1),""))</f>
        <v/>
      </c>
      <c r="AF150" s="8">
        <f>IF(AF$3="","",IFERROR(LEFT(TRIM(INDEX(Forms貼り付け!$A:$AZ,149,AF$3)),1),""))</f>
        <v/>
      </c>
      <c r="AG150" s="8">
        <f>IF(AG$3="","",IFERROR(LEFT(TRIM(INDEX(Forms貼り付け!$A:$AZ,149,AG$3)),1),""))</f>
        <v/>
      </c>
      <c r="AH150" s="8">
        <f>IF(AH$3="","",IFERROR(LEFT(TRIM(INDEX(Forms貼り付け!$A:$AZ,149,AH$3)),1),""))</f>
        <v/>
      </c>
      <c r="AI150" s="8">
        <f>IF(AI$3="","",IFERROR(LEFT(TRIM(INDEX(Forms貼り付け!$A:$AZ,149,AI$3)),1),""))</f>
        <v/>
      </c>
      <c r="AJ150" s="8">
        <f>IF(AJ$3="","",IFERROR(LEFT(TRIM(INDEX(Forms貼り付け!$A:$AZ,149,AJ$3)),1),""))</f>
        <v/>
      </c>
      <c r="AK150" s="8">
        <f>IF(AK$3="","",IFERROR(LEFT(TRIM(INDEX(Forms貼り付け!$A:$AZ,149,AK$3)),1),""))</f>
        <v/>
      </c>
      <c r="AL150" s="8">
        <f>IF(AL$3="","",IFERROR(LEFT(TRIM(INDEX(Forms貼り付け!$A:$AZ,149,AL$3)),1),""))</f>
        <v/>
      </c>
      <c r="AM150" s="8">
        <f>IF(AM$3="","",IFERROR(LEFT(TRIM(INDEX(Forms貼り付け!$A:$AZ,149,AM$3)),1),""))</f>
        <v/>
      </c>
      <c r="AN150" s="8">
        <f>IF(AN$3="","",IFERROR(LEFT(TRIM(INDEX(Forms貼り付け!$A:$AZ,149,AN$3)),1),""))</f>
        <v/>
      </c>
      <c r="AO150" s="8">
        <f>IF(AO$3="","",IFERROR(LEFT(TRIM(INDEX(Forms貼り付け!$A:$AZ,149,AO$3)),1),""))</f>
        <v/>
      </c>
      <c r="AP150" s="8">
        <f>IF(AP$3="","",IFERROR(LEFT(TRIM(INDEX(Forms貼り付け!$A:$AZ,149,AP$3)),1),""))</f>
        <v/>
      </c>
      <c r="AQ150" s="8">
        <f>IF(AQ$3="","",IFERROR(LEFT(TRIM(INDEX(Forms貼り付け!$A:$AZ,149,AQ$3)),1),""))</f>
        <v/>
      </c>
      <c r="AR150" s="8">
        <f>IF(AR$3="","",IFERROR(LEFT(TRIM(INDEX(Forms貼り付け!$A:$AZ,149,AR$3)),1),""))</f>
        <v/>
      </c>
      <c r="AS150" s="8">
        <f>IF(AS$3="","",IFERROR(LEFT(TRIM(INDEX(Forms貼り付け!$A:$AZ,149,AS$3)),1),""))</f>
        <v/>
      </c>
      <c r="AT150" s="8">
        <f>IF(AT$3="","",IFERROR(LEFT(TRIM(INDEX(Forms貼り付け!$A:$AZ,149,AT$3)),1),""))</f>
        <v/>
      </c>
      <c r="AU150" s="8">
        <f>IF(AU$3="","",IFERROR(LEFT(TRIM(INDEX(Forms貼り付け!$A:$AZ,149,AU$3)),1),""))</f>
        <v/>
      </c>
      <c r="AV150" s="8">
        <f>IF(AV$3="","",IFERROR(LEFT(TRIM(INDEX(Forms貼り付け!$A:$AZ,149,AV$3)),1),""))</f>
        <v/>
      </c>
      <c r="AW150" s="8">
        <f>IF(AW$3="","",IFERROR(LEFT(TRIM(INDEX(Forms貼り付け!$A:$AZ,149,AW$3)),1),""))</f>
        <v/>
      </c>
      <c r="AX150" s="8">
        <f>IF(AX$3="","",IFERROR(LEFT(TRIM(INDEX(Forms貼り付け!$A:$AZ,149,AX$3)),1),""))</f>
        <v/>
      </c>
      <c r="AY150" s="8">
        <f>IF(AY$3="","",IFERROR(LEFT(TRIM(INDEX(Forms貼り付け!$A:$AZ,149,AY$3)),1),""))</f>
        <v/>
      </c>
      <c r="AZ150" s="8">
        <f>IF(AZ$3="","",IFERROR(LEFT(TRIM(INDEX(Forms貼り付け!$A:$AZ,149,AZ$3)),1),""))</f>
        <v/>
      </c>
      <c r="BA150" s="8">
        <f>IF(BA$3="","",IFERROR(LEFT(TRIM(INDEX(Forms貼り付け!$A:$AZ,149,BA$3)),1),""))</f>
        <v/>
      </c>
      <c r="BB150" s="8">
        <f>IF(BB$3="","",IFERROR(LEFT(TRIM(INDEX(Forms貼り付け!$A:$AZ,149,BB$3)),1),""))</f>
        <v/>
      </c>
      <c r="BC150" s="8">
        <f>IF(BC$3="","",IFERROR(LEFT(TRIM(INDEX(Forms貼り付け!$A:$AZ,149,BC$3)),1),""))</f>
        <v/>
      </c>
    </row>
    <row r="151">
      <c r="A151" s="8" t="inlineStr">
        <is>
          <t>U147</t>
        </is>
      </c>
      <c r="B151" s="9">
        <f>IF($B$3="","",INDEX(Forms貼り付け!$A:$AZ,150,$B$3))</f>
        <v/>
      </c>
      <c r="C151" s="9">
        <f>IF($C$3="","",INDEX(Forms貼り付け!$A:$AZ,150,$C$3))</f>
        <v/>
      </c>
      <c r="D151" s="8">
        <f>IF($D$3="","",INDEX(Forms貼り付け!$A:$AZ,150,$D$3))</f>
        <v/>
      </c>
      <c r="E151" s="8">
        <f>IF($E$3="","",INDEX(Forms貼り付け!$A:$AZ,150,$E$3))</f>
        <v/>
      </c>
      <c r="F151" s="8">
        <f>IF(F$3="","",IFERROR(LEFT(TRIM(INDEX(Forms貼り付け!$A:$AZ,150,F$3)),1),""))</f>
        <v/>
      </c>
      <c r="G151" s="8">
        <f>IF(G$3="","",IFERROR(LEFT(TRIM(INDEX(Forms貼り付け!$A:$AZ,150,G$3)),1),""))</f>
        <v/>
      </c>
      <c r="H151" s="8">
        <f>IF(H$3="","",IFERROR(LEFT(TRIM(INDEX(Forms貼り付け!$A:$AZ,150,H$3)),1),""))</f>
        <v/>
      </c>
      <c r="I151" s="8">
        <f>IF(I$3="","",IFERROR(LEFT(TRIM(INDEX(Forms貼り付け!$A:$AZ,150,I$3)),1),""))</f>
        <v/>
      </c>
      <c r="J151" s="8">
        <f>IF(J$3="","",IFERROR(LEFT(TRIM(INDEX(Forms貼り付け!$A:$AZ,150,J$3)),1),""))</f>
        <v/>
      </c>
      <c r="K151" s="8">
        <f>IF(K$3="","",IFERROR(LEFT(TRIM(INDEX(Forms貼り付け!$A:$AZ,150,K$3)),1),""))</f>
        <v/>
      </c>
      <c r="L151" s="8">
        <f>IF(L$3="","",IFERROR(LEFT(TRIM(INDEX(Forms貼り付け!$A:$AZ,150,L$3)),1),""))</f>
        <v/>
      </c>
      <c r="M151" s="8">
        <f>IF(M$3="","",IFERROR(LEFT(TRIM(INDEX(Forms貼り付け!$A:$AZ,150,M$3)),1),""))</f>
        <v/>
      </c>
      <c r="N151" s="8">
        <f>IF(N$3="","",IFERROR(LEFT(TRIM(INDEX(Forms貼り付け!$A:$AZ,150,N$3)),1),""))</f>
        <v/>
      </c>
      <c r="O151" s="8">
        <f>IF(O$3="","",IFERROR(LEFT(TRIM(INDEX(Forms貼り付け!$A:$AZ,150,O$3)),1),""))</f>
        <v/>
      </c>
      <c r="P151" s="8">
        <f>IF(P$3="","",IFERROR(LEFT(TRIM(INDEX(Forms貼り付け!$A:$AZ,150,P$3)),1),""))</f>
        <v/>
      </c>
      <c r="Q151" s="8">
        <f>IF(Q$3="","",IFERROR(LEFT(TRIM(INDEX(Forms貼り付け!$A:$AZ,150,Q$3)),1),""))</f>
        <v/>
      </c>
      <c r="R151" s="8">
        <f>IF(R$3="","",IFERROR(LEFT(TRIM(INDEX(Forms貼り付け!$A:$AZ,150,R$3)),1),""))</f>
        <v/>
      </c>
      <c r="S151" s="8">
        <f>IF(S$3="","",IFERROR(LEFT(TRIM(INDEX(Forms貼り付け!$A:$AZ,150,S$3)),1),""))</f>
        <v/>
      </c>
      <c r="T151" s="8">
        <f>IF(T$3="","",IFERROR(LEFT(TRIM(INDEX(Forms貼り付け!$A:$AZ,150,T$3)),1),""))</f>
        <v/>
      </c>
      <c r="U151" s="8">
        <f>IF(U$3="","",IFERROR(LEFT(TRIM(INDEX(Forms貼り付け!$A:$AZ,150,U$3)),1),""))</f>
        <v/>
      </c>
      <c r="V151" s="8">
        <f>IF(V$3="","",IFERROR(LEFT(TRIM(INDEX(Forms貼り付け!$A:$AZ,150,V$3)),1),""))</f>
        <v/>
      </c>
      <c r="W151" s="8">
        <f>IF(W$3="","",IFERROR(LEFT(TRIM(INDEX(Forms貼り付け!$A:$AZ,150,W$3)),1),""))</f>
        <v/>
      </c>
      <c r="X151" s="8">
        <f>IF(X$3="","",IFERROR(LEFT(TRIM(INDEX(Forms貼り付け!$A:$AZ,150,X$3)),1),""))</f>
        <v/>
      </c>
      <c r="Y151" s="8">
        <f>IF(Y$3="","",IFERROR(LEFT(TRIM(INDEX(Forms貼り付け!$A:$AZ,150,Y$3)),1),""))</f>
        <v/>
      </c>
      <c r="Z151" s="8">
        <f>IF(Z$3="","",IFERROR(LEFT(TRIM(INDEX(Forms貼り付け!$A:$AZ,150,Z$3)),1),""))</f>
        <v/>
      </c>
      <c r="AA151" s="8">
        <f>IF(AA$3="","",IFERROR(LEFT(TRIM(INDEX(Forms貼り付け!$A:$AZ,150,AA$3)),1),""))</f>
        <v/>
      </c>
      <c r="AB151" s="8">
        <f>IF(AB$3="","",IFERROR(LEFT(TRIM(INDEX(Forms貼り付け!$A:$AZ,150,AB$3)),1),""))</f>
        <v/>
      </c>
      <c r="AC151" s="8">
        <f>IF(AC$3="","",IFERROR(LEFT(TRIM(INDEX(Forms貼り付け!$A:$AZ,150,AC$3)),1),""))</f>
        <v/>
      </c>
      <c r="AD151" s="8">
        <f>IF(AD$3="","",IFERROR(LEFT(TRIM(INDEX(Forms貼り付け!$A:$AZ,150,AD$3)),1),""))</f>
        <v/>
      </c>
      <c r="AE151" s="8">
        <f>IF(AE$3="","",IFERROR(LEFT(TRIM(INDEX(Forms貼り付け!$A:$AZ,150,AE$3)),1),""))</f>
        <v/>
      </c>
      <c r="AF151" s="8">
        <f>IF(AF$3="","",IFERROR(LEFT(TRIM(INDEX(Forms貼り付け!$A:$AZ,150,AF$3)),1),""))</f>
        <v/>
      </c>
      <c r="AG151" s="8">
        <f>IF(AG$3="","",IFERROR(LEFT(TRIM(INDEX(Forms貼り付け!$A:$AZ,150,AG$3)),1),""))</f>
        <v/>
      </c>
      <c r="AH151" s="8">
        <f>IF(AH$3="","",IFERROR(LEFT(TRIM(INDEX(Forms貼り付け!$A:$AZ,150,AH$3)),1),""))</f>
        <v/>
      </c>
      <c r="AI151" s="8">
        <f>IF(AI$3="","",IFERROR(LEFT(TRIM(INDEX(Forms貼り付け!$A:$AZ,150,AI$3)),1),""))</f>
        <v/>
      </c>
      <c r="AJ151" s="8">
        <f>IF(AJ$3="","",IFERROR(LEFT(TRIM(INDEX(Forms貼り付け!$A:$AZ,150,AJ$3)),1),""))</f>
        <v/>
      </c>
      <c r="AK151" s="8">
        <f>IF(AK$3="","",IFERROR(LEFT(TRIM(INDEX(Forms貼り付け!$A:$AZ,150,AK$3)),1),""))</f>
        <v/>
      </c>
      <c r="AL151" s="8">
        <f>IF(AL$3="","",IFERROR(LEFT(TRIM(INDEX(Forms貼り付け!$A:$AZ,150,AL$3)),1),""))</f>
        <v/>
      </c>
      <c r="AM151" s="8">
        <f>IF(AM$3="","",IFERROR(LEFT(TRIM(INDEX(Forms貼り付け!$A:$AZ,150,AM$3)),1),""))</f>
        <v/>
      </c>
      <c r="AN151" s="8">
        <f>IF(AN$3="","",IFERROR(LEFT(TRIM(INDEX(Forms貼り付け!$A:$AZ,150,AN$3)),1),""))</f>
        <v/>
      </c>
      <c r="AO151" s="8">
        <f>IF(AO$3="","",IFERROR(LEFT(TRIM(INDEX(Forms貼り付け!$A:$AZ,150,AO$3)),1),""))</f>
        <v/>
      </c>
      <c r="AP151" s="8">
        <f>IF(AP$3="","",IFERROR(LEFT(TRIM(INDEX(Forms貼り付け!$A:$AZ,150,AP$3)),1),""))</f>
        <v/>
      </c>
      <c r="AQ151" s="8">
        <f>IF(AQ$3="","",IFERROR(LEFT(TRIM(INDEX(Forms貼り付け!$A:$AZ,150,AQ$3)),1),""))</f>
        <v/>
      </c>
      <c r="AR151" s="8">
        <f>IF(AR$3="","",IFERROR(LEFT(TRIM(INDEX(Forms貼り付け!$A:$AZ,150,AR$3)),1),""))</f>
        <v/>
      </c>
      <c r="AS151" s="8">
        <f>IF(AS$3="","",IFERROR(LEFT(TRIM(INDEX(Forms貼り付け!$A:$AZ,150,AS$3)),1),""))</f>
        <v/>
      </c>
      <c r="AT151" s="8">
        <f>IF(AT$3="","",IFERROR(LEFT(TRIM(INDEX(Forms貼り付け!$A:$AZ,150,AT$3)),1),""))</f>
        <v/>
      </c>
      <c r="AU151" s="8">
        <f>IF(AU$3="","",IFERROR(LEFT(TRIM(INDEX(Forms貼り付け!$A:$AZ,150,AU$3)),1),""))</f>
        <v/>
      </c>
      <c r="AV151" s="8">
        <f>IF(AV$3="","",IFERROR(LEFT(TRIM(INDEX(Forms貼り付け!$A:$AZ,150,AV$3)),1),""))</f>
        <v/>
      </c>
      <c r="AW151" s="8">
        <f>IF(AW$3="","",IFERROR(LEFT(TRIM(INDEX(Forms貼り付け!$A:$AZ,150,AW$3)),1),""))</f>
        <v/>
      </c>
      <c r="AX151" s="8">
        <f>IF(AX$3="","",IFERROR(LEFT(TRIM(INDEX(Forms貼り付け!$A:$AZ,150,AX$3)),1),""))</f>
        <v/>
      </c>
      <c r="AY151" s="8">
        <f>IF(AY$3="","",IFERROR(LEFT(TRIM(INDEX(Forms貼り付け!$A:$AZ,150,AY$3)),1),""))</f>
        <v/>
      </c>
      <c r="AZ151" s="8">
        <f>IF(AZ$3="","",IFERROR(LEFT(TRIM(INDEX(Forms貼り付け!$A:$AZ,150,AZ$3)),1),""))</f>
        <v/>
      </c>
      <c r="BA151" s="8">
        <f>IF(BA$3="","",IFERROR(LEFT(TRIM(INDEX(Forms貼り付け!$A:$AZ,150,BA$3)),1),""))</f>
        <v/>
      </c>
      <c r="BB151" s="8">
        <f>IF(BB$3="","",IFERROR(LEFT(TRIM(INDEX(Forms貼り付け!$A:$AZ,150,BB$3)),1),""))</f>
        <v/>
      </c>
      <c r="BC151" s="8">
        <f>IF(BC$3="","",IFERROR(LEFT(TRIM(INDEX(Forms貼り付け!$A:$AZ,150,BC$3)),1),""))</f>
        <v/>
      </c>
    </row>
    <row r="152">
      <c r="A152" s="8" t="inlineStr">
        <is>
          <t>U148</t>
        </is>
      </c>
      <c r="B152" s="9">
        <f>IF($B$3="","",INDEX(Forms貼り付け!$A:$AZ,151,$B$3))</f>
        <v/>
      </c>
      <c r="C152" s="9">
        <f>IF($C$3="","",INDEX(Forms貼り付け!$A:$AZ,151,$C$3))</f>
        <v/>
      </c>
      <c r="D152" s="8">
        <f>IF($D$3="","",INDEX(Forms貼り付け!$A:$AZ,151,$D$3))</f>
        <v/>
      </c>
      <c r="E152" s="8">
        <f>IF($E$3="","",INDEX(Forms貼り付け!$A:$AZ,151,$E$3))</f>
        <v/>
      </c>
      <c r="F152" s="8">
        <f>IF(F$3="","",IFERROR(LEFT(TRIM(INDEX(Forms貼り付け!$A:$AZ,151,F$3)),1),""))</f>
        <v/>
      </c>
      <c r="G152" s="8">
        <f>IF(G$3="","",IFERROR(LEFT(TRIM(INDEX(Forms貼り付け!$A:$AZ,151,G$3)),1),""))</f>
        <v/>
      </c>
      <c r="H152" s="8">
        <f>IF(H$3="","",IFERROR(LEFT(TRIM(INDEX(Forms貼り付け!$A:$AZ,151,H$3)),1),""))</f>
        <v/>
      </c>
      <c r="I152" s="8">
        <f>IF(I$3="","",IFERROR(LEFT(TRIM(INDEX(Forms貼り付け!$A:$AZ,151,I$3)),1),""))</f>
        <v/>
      </c>
      <c r="J152" s="8">
        <f>IF(J$3="","",IFERROR(LEFT(TRIM(INDEX(Forms貼り付け!$A:$AZ,151,J$3)),1),""))</f>
        <v/>
      </c>
      <c r="K152" s="8">
        <f>IF(K$3="","",IFERROR(LEFT(TRIM(INDEX(Forms貼り付け!$A:$AZ,151,K$3)),1),""))</f>
        <v/>
      </c>
      <c r="L152" s="8">
        <f>IF(L$3="","",IFERROR(LEFT(TRIM(INDEX(Forms貼り付け!$A:$AZ,151,L$3)),1),""))</f>
        <v/>
      </c>
      <c r="M152" s="8">
        <f>IF(M$3="","",IFERROR(LEFT(TRIM(INDEX(Forms貼り付け!$A:$AZ,151,M$3)),1),""))</f>
        <v/>
      </c>
      <c r="N152" s="8">
        <f>IF(N$3="","",IFERROR(LEFT(TRIM(INDEX(Forms貼り付け!$A:$AZ,151,N$3)),1),""))</f>
        <v/>
      </c>
      <c r="O152" s="8">
        <f>IF(O$3="","",IFERROR(LEFT(TRIM(INDEX(Forms貼り付け!$A:$AZ,151,O$3)),1),""))</f>
        <v/>
      </c>
      <c r="P152" s="8">
        <f>IF(P$3="","",IFERROR(LEFT(TRIM(INDEX(Forms貼り付け!$A:$AZ,151,P$3)),1),""))</f>
        <v/>
      </c>
      <c r="Q152" s="8">
        <f>IF(Q$3="","",IFERROR(LEFT(TRIM(INDEX(Forms貼り付け!$A:$AZ,151,Q$3)),1),""))</f>
        <v/>
      </c>
      <c r="R152" s="8">
        <f>IF(R$3="","",IFERROR(LEFT(TRIM(INDEX(Forms貼り付け!$A:$AZ,151,R$3)),1),""))</f>
        <v/>
      </c>
      <c r="S152" s="8">
        <f>IF(S$3="","",IFERROR(LEFT(TRIM(INDEX(Forms貼り付け!$A:$AZ,151,S$3)),1),""))</f>
        <v/>
      </c>
      <c r="T152" s="8">
        <f>IF(T$3="","",IFERROR(LEFT(TRIM(INDEX(Forms貼り付け!$A:$AZ,151,T$3)),1),""))</f>
        <v/>
      </c>
      <c r="U152" s="8">
        <f>IF(U$3="","",IFERROR(LEFT(TRIM(INDEX(Forms貼り付け!$A:$AZ,151,U$3)),1),""))</f>
        <v/>
      </c>
      <c r="V152" s="8">
        <f>IF(V$3="","",IFERROR(LEFT(TRIM(INDEX(Forms貼り付け!$A:$AZ,151,V$3)),1),""))</f>
        <v/>
      </c>
      <c r="W152" s="8">
        <f>IF(W$3="","",IFERROR(LEFT(TRIM(INDEX(Forms貼り付け!$A:$AZ,151,W$3)),1),""))</f>
        <v/>
      </c>
      <c r="X152" s="8">
        <f>IF(X$3="","",IFERROR(LEFT(TRIM(INDEX(Forms貼り付け!$A:$AZ,151,X$3)),1),""))</f>
        <v/>
      </c>
      <c r="Y152" s="8">
        <f>IF(Y$3="","",IFERROR(LEFT(TRIM(INDEX(Forms貼り付け!$A:$AZ,151,Y$3)),1),""))</f>
        <v/>
      </c>
      <c r="Z152" s="8">
        <f>IF(Z$3="","",IFERROR(LEFT(TRIM(INDEX(Forms貼り付け!$A:$AZ,151,Z$3)),1),""))</f>
        <v/>
      </c>
      <c r="AA152" s="8">
        <f>IF(AA$3="","",IFERROR(LEFT(TRIM(INDEX(Forms貼り付け!$A:$AZ,151,AA$3)),1),""))</f>
        <v/>
      </c>
      <c r="AB152" s="8">
        <f>IF(AB$3="","",IFERROR(LEFT(TRIM(INDEX(Forms貼り付け!$A:$AZ,151,AB$3)),1),""))</f>
        <v/>
      </c>
      <c r="AC152" s="8">
        <f>IF(AC$3="","",IFERROR(LEFT(TRIM(INDEX(Forms貼り付け!$A:$AZ,151,AC$3)),1),""))</f>
        <v/>
      </c>
      <c r="AD152" s="8">
        <f>IF(AD$3="","",IFERROR(LEFT(TRIM(INDEX(Forms貼り付け!$A:$AZ,151,AD$3)),1),""))</f>
        <v/>
      </c>
      <c r="AE152" s="8">
        <f>IF(AE$3="","",IFERROR(LEFT(TRIM(INDEX(Forms貼り付け!$A:$AZ,151,AE$3)),1),""))</f>
        <v/>
      </c>
      <c r="AF152" s="8">
        <f>IF(AF$3="","",IFERROR(LEFT(TRIM(INDEX(Forms貼り付け!$A:$AZ,151,AF$3)),1),""))</f>
        <v/>
      </c>
      <c r="AG152" s="8">
        <f>IF(AG$3="","",IFERROR(LEFT(TRIM(INDEX(Forms貼り付け!$A:$AZ,151,AG$3)),1),""))</f>
        <v/>
      </c>
      <c r="AH152" s="8">
        <f>IF(AH$3="","",IFERROR(LEFT(TRIM(INDEX(Forms貼り付け!$A:$AZ,151,AH$3)),1),""))</f>
        <v/>
      </c>
      <c r="AI152" s="8">
        <f>IF(AI$3="","",IFERROR(LEFT(TRIM(INDEX(Forms貼り付け!$A:$AZ,151,AI$3)),1),""))</f>
        <v/>
      </c>
      <c r="AJ152" s="8">
        <f>IF(AJ$3="","",IFERROR(LEFT(TRIM(INDEX(Forms貼り付け!$A:$AZ,151,AJ$3)),1),""))</f>
        <v/>
      </c>
      <c r="AK152" s="8">
        <f>IF(AK$3="","",IFERROR(LEFT(TRIM(INDEX(Forms貼り付け!$A:$AZ,151,AK$3)),1),""))</f>
        <v/>
      </c>
      <c r="AL152" s="8">
        <f>IF(AL$3="","",IFERROR(LEFT(TRIM(INDEX(Forms貼り付け!$A:$AZ,151,AL$3)),1),""))</f>
        <v/>
      </c>
      <c r="AM152" s="8">
        <f>IF(AM$3="","",IFERROR(LEFT(TRIM(INDEX(Forms貼り付け!$A:$AZ,151,AM$3)),1),""))</f>
        <v/>
      </c>
      <c r="AN152" s="8">
        <f>IF(AN$3="","",IFERROR(LEFT(TRIM(INDEX(Forms貼り付け!$A:$AZ,151,AN$3)),1),""))</f>
        <v/>
      </c>
      <c r="AO152" s="8">
        <f>IF(AO$3="","",IFERROR(LEFT(TRIM(INDEX(Forms貼り付け!$A:$AZ,151,AO$3)),1),""))</f>
        <v/>
      </c>
      <c r="AP152" s="8">
        <f>IF(AP$3="","",IFERROR(LEFT(TRIM(INDEX(Forms貼り付け!$A:$AZ,151,AP$3)),1),""))</f>
        <v/>
      </c>
      <c r="AQ152" s="8">
        <f>IF(AQ$3="","",IFERROR(LEFT(TRIM(INDEX(Forms貼り付け!$A:$AZ,151,AQ$3)),1),""))</f>
        <v/>
      </c>
      <c r="AR152" s="8">
        <f>IF(AR$3="","",IFERROR(LEFT(TRIM(INDEX(Forms貼り付け!$A:$AZ,151,AR$3)),1),""))</f>
        <v/>
      </c>
      <c r="AS152" s="8">
        <f>IF(AS$3="","",IFERROR(LEFT(TRIM(INDEX(Forms貼り付け!$A:$AZ,151,AS$3)),1),""))</f>
        <v/>
      </c>
      <c r="AT152" s="8">
        <f>IF(AT$3="","",IFERROR(LEFT(TRIM(INDEX(Forms貼り付け!$A:$AZ,151,AT$3)),1),""))</f>
        <v/>
      </c>
      <c r="AU152" s="8">
        <f>IF(AU$3="","",IFERROR(LEFT(TRIM(INDEX(Forms貼り付け!$A:$AZ,151,AU$3)),1),""))</f>
        <v/>
      </c>
      <c r="AV152" s="8">
        <f>IF(AV$3="","",IFERROR(LEFT(TRIM(INDEX(Forms貼り付け!$A:$AZ,151,AV$3)),1),""))</f>
        <v/>
      </c>
      <c r="AW152" s="8">
        <f>IF(AW$3="","",IFERROR(LEFT(TRIM(INDEX(Forms貼り付け!$A:$AZ,151,AW$3)),1),""))</f>
        <v/>
      </c>
      <c r="AX152" s="8">
        <f>IF(AX$3="","",IFERROR(LEFT(TRIM(INDEX(Forms貼り付け!$A:$AZ,151,AX$3)),1),""))</f>
        <v/>
      </c>
      <c r="AY152" s="8">
        <f>IF(AY$3="","",IFERROR(LEFT(TRIM(INDEX(Forms貼り付け!$A:$AZ,151,AY$3)),1),""))</f>
        <v/>
      </c>
      <c r="AZ152" s="8">
        <f>IF(AZ$3="","",IFERROR(LEFT(TRIM(INDEX(Forms貼り付け!$A:$AZ,151,AZ$3)),1),""))</f>
        <v/>
      </c>
      <c r="BA152" s="8">
        <f>IF(BA$3="","",IFERROR(LEFT(TRIM(INDEX(Forms貼り付け!$A:$AZ,151,BA$3)),1),""))</f>
        <v/>
      </c>
      <c r="BB152" s="8">
        <f>IF(BB$3="","",IFERROR(LEFT(TRIM(INDEX(Forms貼り付け!$A:$AZ,151,BB$3)),1),""))</f>
        <v/>
      </c>
      <c r="BC152" s="8">
        <f>IF(BC$3="","",IFERROR(LEFT(TRIM(INDEX(Forms貼り付け!$A:$AZ,151,BC$3)),1),""))</f>
        <v/>
      </c>
    </row>
    <row r="153">
      <c r="A153" s="8" t="inlineStr">
        <is>
          <t>U149</t>
        </is>
      </c>
      <c r="B153" s="9">
        <f>IF($B$3="","",INDEX(Forms貼り付け!$A:$AZ,152,$B$3))</f>
        <v/>
      </c>
      <c r="C153" s="9">
        <f>IF($C$3="","",INDEX(Forms貼り付け!$A:$AZ,152,$C$3))</f>
        <v/>
      </c>
      <c r="D153" s="8">
        <f>IF($D$3="","",INDEX(Forms貼り付け!$A:$AZ,152,$D$3))</f>
        <v/>
      </c>
      <c r="E153" s="8">
        <f>IF($E$3="","",INDEX(Forms貼り付け!$A:$AZ,152,$E$3))</f>
        <v/>
      </c>
      <c r="F153" s="8">
        <f>IF(F$3="","",IFERROR(LEFT(TRIM(INDEX(Forms貼り付け!$A:$AZ,152,F$3)),1),""))</f>
        <v/>
      </c>
      <c r="G153" s="8">
        <f>IF(G$3="","",IFERROR(LEFT(TRIM(INDEX(Forms貼り付け!$A:$AZ,152,G$3)),1),""))</f>
        <v/>
      </c>
      <c r="H153" s="8">
        <f>IF(H$3="","",IFERROR(LEFT(TRIM(INDEX(Forms貼り付け!$A:$AZ,152,H$3)),1),""))</f>
        <v/>
      </c>
      <c r="I153" s="8">
        <f>IF(I$3="","",IFERROR(LEFT(TRIM(INDEX(Forms貼り付け!$A:$AZ,152,I$3)),1),""))</f>
        <v/>
      </c>
      <c r="J153" s="8">
        <f>IF(J$3="","",IFERROR(LEFT(TRIM(INDEX(Forms貼り付け!$A:$AZ,152,J$3)),1),""))</f>
        <v/>
      </c>
      <c r="K153" s="8">
        <f>IF(K$3="","",IFERROR(LEFT(TRIM(INDEX(Forms貼り付け!$A:$AZ,152,K$3)),1),""))</f>
        <v/>
      </c>
      <c r="L153" s="8">
        <f>IF(L$3="","",IFERROR(LEFT(TRIM(INDEX(Forms貼り付け!$A:$AZ,152,L$3)),1),""))</f>
        <v/>
      </c>
      <c r="M153" s="8">
        <f>IF(M$3="","",IFERROR(LEFT(TRIM(INDEX(Forms貼り付け!$A:$AZ,152,M$3)),1),""))</f>
        <v/>
      </c>
      <c r="N153" s="8">
        <f>IF(N$3="","",IFERROR(LEFT(TRIM(INDEX(Forms貼り付け!$A:$AZ,152,N$3)),1),""))</f>
        <v/>
      </c>
      <c r="O153" s="8">
        <f>IF(O$3="","",IFERROR(LEFT(TRIM(INDEX(Forms貼り付け!$A:$AZ,152,O$3)),1),""))</f>
        <v/>
      </c>
      <c r="P153" s="8">
        <f>IF(P$3="","",IFERROR(LEFT(TRIM(INDEX(Forms貼り付け!$A:$AZ,152,P$3)),1),""))</f>
        <v/>
      </c>
      <c r="Q153" s="8">
        <f>IF(Q$3="","",IFERROR(LEFT(TRIM(INDEX(Forms貼り付け!$A:$AZ,152,Q$3)),1),""))</f>
        <v/>
      </c>
      <c r="R153" s="8">
        <f>IF(R$3="","",IFERROR(LEFT(TRIM(INDEX(Forms貼り付け!$A:$AZ,152,R$3)),1),""))</f>
        <v/>
      </c>
      <c r="S153" s="8">
        <f>IF(S$3="","",IFERROR(LEFT(TRIM(INDEX(Forms貼り付け!$A:$AZ,152,S$3)),1),""))</f>
        <v/>
      </c>
      <c r="T153" s="8">
        <f>IF(T$3="","",IFERROR(LEFT(TRIM(INDEX(Forms貼り付け!$A:$AZ,152,T$3)),1),""))</f>
        <v/>
      </c>
      <c r="U153" s="8">
        <f>IF(U$3="","",IFERROR(LEFT(TRIM(INDEX(Forms貼り付け!$A:$AZ,152,U$3)),1),""))</f>
        <v/>
      </c>
      <c r="V153" s="8">
        <f>IF(V$3="","",IFERROR(LEFT(TRIM(INDEX(Forms貼り付け!$A:$AZ,152,V$3)),1),""))</f>
        <v/>
      </c>
      <c r="W153" s="8">
        <f>IF(W$3="","",IFERROR(LEFT(TRIM(INDEX(Forms貼り付け!$A:$AZ,152,W$3)),1),""))</f>
        <v/>
      </c>
      <c r="X153" s="8">
        <f>IF(X$3="","",IFERROR(LEFT(TRIM(INDEX(Forms貼り付け!$A:$AZ,152,X$3)),1),""))</f>
        <v/>
      </c>
      <c r="Y153" s="8">
        <f>IF(Y$3="","",IFERROR(LEFT(TRIM(INDEX(Forms貼り付け!$A:$AZ,152,Y$3)),1),""))</f>
        <v/>
      </c>
      <c r="Z153" s="8">
        <f>IF(Z$3="","",IFERROR(LEFT(TRIM(INDEX(Forms貼り付け!$A:$AZ,152,Z$3)),1),""))</f>
        <v/>
      </c>
      <c r="AA153" s="8">
        <f>IF(AA$3="","",IFERROR(LEFT(TRIM(INDEX(Forms貼り付け!$A:$AZ,152,AA$3)),1),""))</f>
        <v/>
      </c>
      <c r="AB153" s="8">
        <f>IF(AB$3="","",IFERROR(LEFT(TRIM(INDEX(Forms貼り付け!$A:$AZ,152,AB$3)),1),""))</f>
        <v/>
      </c>
      <c r="AC153" s="8">
        <f>IF(AC$3="","",IFERROR(LEFT(TRIM(INDEX(Forms貼り付け!$A:$AZ,152,AC$3)),1),""))</f>
        <v/>
      </c>
      <c r="AD153" s="8">
        <f>IF(AD$3="","",IFERROR(LEFT(TRIM(INDEX(Forms貼り付け!$A:$AZ,152,AD$3)),1),""))</f>
        <v/>
      </c>
      <c r="AE153" s="8">
        <f>IF(AE$3="","",IFERROR(LEFT(TRIM(INDEX(Forms貼り付け!$A:$AZ,152,AE$3)),1),""))</f>
        <v/>
      </c>
      <c r="AF153" s="8">
        <f>IF(AF$3="","",IFERROR(LEFT(TRIM(INDEX(Forms貼り付け!$A:$AZ,152,AF$3)),1),""))</f>
        <v/>
      </c>
      <c r="AG153" s="8">
        <f>IF(AG$3="","",IFERROR(LEFT(TRIM(INDEX(Forms貼り付け!$A:$AZ,152,AG$3)),1),""))</f>
        <v/>
      </c>
      <c r="AH153" s="8">
        <f>IF(AH$3="","",IFERROR(LEFT(TRIM(INDEX(Forms貼り付け!$A:$AZ,152,AH$3)),1),""))</f>
        <v/>
      </c>
      <c r="AI153" s="8">
        <f>IF(AI$3="","",IFERROR(LEFT(TRIM(INDEX(Forms貼り付け!$A:$AZ,152,AI$3)),1),""))</f>
        <v/>
      </c>
      <c r="AJ153" s="8">
        <f>IF(AJ$3="","",IFERROR(LEFT(TRIM(INDEX(Forms貼り付け!$A:$AZ,152,AJ$3)),1),""))</f>
        <v/>
      </c>
      <c r="AK153" s="8">
        <f>IF(AK$3="","",IFERROR(LEFT(TRIM(INDEX(Forms貼り付け!$A:$AZ,152,AK$3)),1),""))</f>
        <v/>
      </c>
      <c r="AL153" s="8">
        <f>IF(AL$3="","",IFERROR(LEFT(TRIM(INDEX(Forms貼り付け!$A:$AZ,152,AL$3)),1),""))</f>
        <v/>
      </c>
      <c r="AM153" s="8">
        <f>IF(AM$3="","",IFERROR(LEFT(TRIM(INDEX(Forms貼り付け!$A:$AZ,152,AM$3)),1),""))</f>
        <v/>
      </c>
      <c r="AN153" s="8">
        <f>IF(AN$3="","",IFERROR(LEFT(TRIM(INDEX(Forms貼り付け!$A:$AZ,152,AN$3)),1),""))</f>
        <v/>
      </c>
      <c r="AO153" s="8">
        <f>IF(AO$3="","",IFERROR(LEFT(TRIM(INDEX(Forms貼り付け!$A:$AZ,152,AO$3)),1),""))</f>
        <v/>
      </c>
      <c r="AP153" s="8">
        <f>IF(AP$3="","",IFERROR(LEFT(TRIM(INDEX(Forms貼り付け!$A:$AZ,152,AP$3)),1),""))</f>
        <v/>
      </c>
      <c r="AQ153" s="8">
        <f>IF(AQ$3="","",IFERROR(LEFT(TRIM(INDEX(Forms貼り付け!$A:$AZ,152,AQ$3)),1),""))</f>
        <v/>
      </c>
      <c r="AR153" s="8">
        <f>IF(AR$3="","",IFERROR(LEFT(TRIM(INDEX(Forms貼り付け!$A:$AZ,152,AR$3)),1),""))</f>
        <v/>
      </c>
      <c r="AS153" s="8">
        <f>IF(AS$3="","",IFERROR(LEFT(TRIM(INDEX(Forms貼り付け!$A:$AZ,152,AS$3)),1),""))</f>
        <v/>
      </c>
      <c r="AT153" s="8">
        <f>IF(AT$3="","",IFERROR(LEFT(TRIM(INDEX(Forms貼り付け!$A:$AZ,152,AT$3)),1),""))</f>
        <v/>
      </c>
      <c r="AU153" s="8">
        <f>IF(AU$3="","",IFERROR(LEFT(TRIM(INDEX(Forms貼り付け!$A:$AZ,152,AU$3)),1),""))</f>
        <v/>
      </c>
      <c r="AV153" s="8">
        <f>IF(AV$3="","",IFERROR(LEFT(TRIM(INDEX(Forms貼り付け!$A:$AZ,152,AV$3)),1),""))</f>
        <v/>
      </c>
      <c r="AW153" s="8">
        <f>IF(AW$3="","",IFERROR(LEFT(TRIM(INDEX(Forms貼り付け!$A:$AZ,152,AW$3)),1),""))</f>
        <v/>
      </c>
      <c r="AX153" s="8">
        <f>IF(AX$3="","",IFERROR(LEFT(TRIM(INDEX(Forms貼り付け!$A:$AZ,152,AX$3)),1),""))</f>
        <v/>
      </c>
      <c r="AY153" s="8">
        <f>IF(AY$3="","",IFERROR(LEFT(TRIM(INDEX(Forms貼り付け!$A:$AZ,152,AY$3)),1),""))</f>
        <v/>
      </c>
      <c r="AZ153" s="8">
        <f>IF(AZ$3="","",IFERROR(LEFT(TRIM(INDEX(Forms貼り付け!$A:$AZ,152,AZ$3)),1),""))</f>
        <v/>
      </c>
      <c r="BA153" s="8">
        <f>IF(BA$3="","",IFERROR(LEFT(TRIM(INDEX(Forms貼り付け!$A:$AZ,152,BA$3)),1),""))</f>
        <v/>
      </c>
      <c r="BB153" s="8">
        <f>IF(BB$3="","",IFERROR(LEFT(TRIM(INDEX(Forms貼り付け!$A:$AZ,152,BB$3)),1),""))</f>
        <v/>
      </c>
      <c r="BC153" s="8">
        <f>IF(BC$3="","",IFERROR(LEFT(TRIM(INDEX(Forms貼り付け!$A:$AZ,152,BC$3)),1),""))</f>
        <v/>
      </c>
    </row>
    <row r="154">
      <c r="A154" s="8" t="inlineStr">
        <is>
          <t>U150</t>
        </is>
      </c>
      <c r="B154" s="9">
        <f>IF($B$3="","",INDEX(Forms貼り付け!$A:$AZ,153,$B$3))</f>
        <v/>
      </c>
      <c r="C154" s="9">
        <f>IF($C$3="","",INDEX(Forms貼り付け!$A:$AZ,153,$C$3))</f>
        <v/>
      </c>
      <c r="D154" s="8">
        <f>IF($D$3="","",INDEX(Forms貼り付け!$A:$AZ,153,$D$3))</f>
        <v/>
      </c>
      <c r="E154" s="8">
        <f>IF($E$3="","",INDEX(Forms貼り付け!$A:$AZ,153,$E$3))</f>
        <v/>
      </c>
      <c r="F154" s="8">
        <f>IF(F$3="","",IFERROR(LEFT(TRIM(INDEX(Forms貼り付け!$A:$AZ,153,F$3)),1),""))</f>
        <v/>
      </c>
      <c r="G154" s="8">
        <f>IF(G$3="","",IFERROR(LEFT(TRIM(INDEX(Forms貼り付け!$A:$AZ,153,G$3)),1),""))</f>
        <v/>
      </c>
      <c r="H154" s="8">
        <f>IF(H$3="","",IFERROR(LEFT(TRIM(INDEX(Forms貼り付け!$A:$AZ,153,H$3)),1),""))</f>
        <v/>
      </c>
      <c r="I154" s="8">
        <f>IF(I$3="","",IFERROR(LEFT(TRIM(INDEX(Forms貼り付け!$A:$AZ,153,I$3)),1),""))</f>
        <v/>
      </c>
      <c r="J154" s="8">
        <f>IF(J$3="","",IFERROR(LEFT(TRIM(INDEX(Forms貼り付け!$A:$AZ,153,J$3)),1),""))</f>
        <v/>
      </c>
      <c r="K154" s="8">
        <f>IF(K$3="","",IFERROR(LEFT(TRIM(INDEX(Forms貼り付け!$A:$AZ,153,K$3)),1),""))</f>
        <v/>
      </c>
      <c r="L154" s="8">
        <f>IF(L$3="","",IFERROR(LEFT(TRIM(INDEX(Forms貼り付け!$A:$AZ,153,L$3)),1),""))</f>
        <v/>
      </c>
      <c r="M154" s="8">
        <f>IF(M$3="","",IFERROR(LEFT(TRIM(INDEX(Forms貼り付け!$A:$AZ,153,M$3)),1),""))</f>
        <v/>
      </c>
      <c r="N154" s="8">
        <f>IF(N$3="","",IFERROR(LEFT(TRIM(INDEX(Forms貼り付け!$A:$AZ,153,N$3)),1),""))</f>
        <v/>
      </c>
      <c r="O154" s="8">
        <f>IF(O$3="","",IFERROR(LEFT(TRIM(INDEX(Forms貼り付け!$A:$AZ,153,O$3)),1),""))</f>
        <v/>
      </c>
      <c r="P154" s="8">
        <f>IF(P$3="","",IFERROR(LEFT(TRIM(INDEX(Forms貼り付け!$A:$AZ,153,P$3)),1),""))</f>
        <v/>
      </c>
      <c r="Q154" s="8">
        <f>IF(Q$3="","",IFERROR(LEFT(TRIM(INDEX(Forms貼り付け!$A:$AZ,153,Q$3)),1),""))</f>
        <v/>
      </c>
      <c r="R154" s="8">
        <f>IF(R$3="","",IFERROR(LEFT(TRIM(INDEX(Forms貼り付け!$A:$AZ,153,R$3)),1),""))</f>
        <v/>
      </c>
      <c r="S154" s="8">
        <f>IF(S$3="","",IFERROR(LEFT(TRIM(INDEX(Forms貼り付け!$A:$AZ,153,S$3)),1),""))</f>
        <v/>
      </c>
      <c r="T154" s="8">
        <f>IF(T$3="","",IFERROR(LEFT(TRIM(INDEX(Forms貼り付け!$A:$AZ,153,T$3)),1),""))</f>
        <v/>
      </c>
      <c r="U154" s="8">
        <f>IF(U$3="","",IFERROR(LEFT(TRIM(INDEX(Forms貼り付け!$A:$AZ,153,U$3)),1),""))</f>
        <v/>
      </c>
      <c r="V154" s="8">
        <f>IF(V$3="","",IFERROR(LEFT(TRIM(INDEX(Forms貼り付け!$A:$AZ,153,V$3)),1),""))</f>
        <v/>
      </c>
      <c r="W154" s="8">
        <f>IF(W$3="","",IFERROR(LEFT(TRIM(INDEX(Forms貼り付け!$A:$AZ,153,W$3)),1),""))</f>
        <v/>
      </c>
      <c r="X154" s="8">
        <f>IF(X$3="","",IFERROR(LEFT(TRIM(INDEX(Forms貼り付け!$A:$AZ,153,X$3)),1),""))</f>
        <v/>
      </c>
      <c r="Y154" s="8">
        <f>IF(Y$3="","",IFERROR(LEFT(TRIM(INDEX(Forms貼り付け!$A:$AZ,153,Y$3)),1),""))</f>
        <v/>
      </c>
      <c r="Z154" s="8">
        <f>IF(Z$3="","",IFERROR(LEFT(TRIM(INDEX(Forms貼り付け!$A:$AZ,153,Z$3)),1),""))</f>
        <v/>
      </c>
      <c r="AA154" s="8">
        <f>IF(AA$3="","",IFERROR(LEFT(TRIM(INDEX(Forms貼り付け!$A:$AZ,153,AA$3)),1),""))</f>
        <v/>
      </c>
      <c r="AB154" s="8">
        <f>IF(AB$3="","",IFERROR(LEFT(TRIM(INDEX(Forms貼り付け!$A:$AZ,153,AB$3)),1),""))</f>
        <v/>
      </c>
      <c r="AC154" s="8">
        <f>IF(AC$3="","",IFERROR(LEFT(TRIM(INDEX(Forms貼り付け!$A:$AZ,153,AC$3)),1),""))</f>
        <v/>
      </c>
      <c r="AD154" s="8">
        <f>IF(AD$3="","",IFERROR(LEFT(TRIM(INDEX(Forms貼り付け!$A:$AZ,153,AD$3)),1),""))</f>
        <v/>
      </c>
      <c r="AE154" s="8">
        <f>IF(AE$3="","",IFERROR(LEFT(TRIM(INDEX(Forms貼り付け!$A:$AZ,153,AE$3)),1),""))</f>
        <v/>
      </c>
      <c r="AF154" s="8">
        <f>IF(AF$3="","",IFERROR(LEFT(TRIM(INDEX(Forms貼り付け!$A:$AZ,153,AF$3)),1),""))</f>
        <v/>
      </c>
      <c r="AG154" s="8">
        <f>IF(AG$3="","",IFERROR(LEFT(TRIM(INDEX(Forms貼り付け!$A:$AZ,153,AG$3)),1),""))</f>
        <v/>
      </c>
      <c r="AH154" s="8">
        <f>IF(AH$3="","",IFERROR(LEFT(TRIM(INDEX(Forms貼り付け!$A:$AZ,153,AH$3)),1),""))</f>
        <v/>
      </c>
      <c r="AI154" s="8">
        <f>IF(AI$3="","",IFERROR(LEFT(TRIM(INDEX(Forms貼り付け!$A:$AZ,153,AI$3)),1),""))</f>
        <v/>
      </c>
      <c r="AJ154" s="8">
        <f>IF(AJ$3="","",IFERROR(LEFT(TRIM(INDEX(Forms貼り付け!$A:$AZ,153,AJ$3)),1),""))</f>
        <v/>
      </c>
      <c r="AK154" s="8">
        <f>IF(AK$3="","",IFERROR(LEFT(TRIM(INDEX(Forms貼り付け!$A:$AZ,153,AK$3)),1),""))</f>
        <v/>
      </c>
      <c r="AL154" s="8">
        <f>IF(AL$3="","",IFERROR(LEFT(TRIM(INDEX(Forms貼り付け!$A:$AZ,153,AL$3)),1),""))</f>
        <v/>
      </c>
      <c r="AM154" s="8">
        <f>IF(AM$3="","",IFERROR(LEFT(TRIM(INDEX(Forms貼り付け!$A:$AZ,153,AM$3)),1),""))</f>
        <v/>
      </c>
      <c r="AN154" s="8">
        <f>IF(AN$3="","",IFERROR(LEFT(TRIM(INDEX(Forms貼り付け!$A:$AZ,153,AN$3)),1),""))</f>
        <v/>
      </c>
      <c r="AO154" s="8">
        <f>IF(AO$3="","",IFERROR(LEFT(TRIM(INDEX(Forms貼り付け!$A:$AZ,153,AO$3)),1),""))</f>
        <v/>
      </c>
      <c r="AP154" s="8">
        <f>IF(AP$3="","",IFERROR(LEFT(TRIM(INDEX(Forms貼り付け!$A:$AZ,153,AP$3)),1),""))</f>
        <v/>
      </c>
      <c r="AQ154" s="8">
        <f>IF(AQ$3="","",IFERROR(LEFT(TRIM(INDEX(Forms貼り付け!$A:$AZ,153,AQ$3)),1),""))</f>
        <v/>
      </c>
      <c r="AR154" s="8">
        <f>IF(AR$3="","",IFERROR(LEFT(TRIM(INDEX(Forms貼り付け!$A:$AZ,153,AR$3)),1),""))</f>
        <v/>
      </c>
      <c r="AS154" s="8">
        <f>IF(AS$3="","",IFERROR(LEFT(TRIM(INDEX(Forms貼り付け!$A:$AZ,153,AS$3)),1),""))</f>
        <v/>
      </c>
      <c r="AT154" s="8">
        <f>IF(AT$3="","",IFERROR(LEFT(TRIM(INDEX(Forms貼り付け!$A:$AZ,153,AT$3)),1),""))</f>
        <v/>
      </c>
      <c r="AU154" s="8">
        <f>IF(AU$3="","",IFERROR(LEFT(TRIM(INDEX(Forms貼り付け!$A:$AZ,153,AU$3)),1),""))</f>
        <v/>
      </c>
      <c r="AV154" s="8">
        <f>IF(AV$3="","",IFERROR(LEFT(TRIM(INDEX(Forms貼り付け!$A:$AZ,153,AV$3)),1),""))</f>
        <v/>
      </c>
      <c r="AW154" s="8">
        <f>IF(AW$3="","",IFERROR(LEFT(TRIM(INDEX(Forms貼り付け!$A:$AZ,153,AW$3)),1),""))</f>
        <v/>
      </c>
      <c r="AX154" s="8">
        <f>IF(AX$3="","",IFERROR(LEFT(TRIM(INDEX(Forms貼り付け!$A:$AZ,153,AX$3)),1),""))</f>
        <v/>
      </c>
      <c r="AY154" s="8">
        <f>IF(AY$3="","",IFERROR(LEFT(TRIM(INDEX(Forms貼り付け!$A:$AZ,153,AY$3)),1),""))</f>
        <v/>
      </c>
      <c r="AZ154" s="8">
        <f>IF(AZ$3="","",IFERROR(LEFT(TRIM(INDEX(Forms貼り付け!$A:$AZ,153,AZ$3)),1),""))</f>
        <v/>
      </c>
      <c r="BA154" s="8">
        <f>IF(BA$3="","",IFERROR(LEFT(TRIM(INDEX(Forms貼り付け!$A:$AZ,153,BA$3)),1),""))</f>
        <v/>
      </c>
      <c r="BB154" s="8">
        <f>IF(BB$3="","",IFERROR(LEFT(TRIM(INDEX(Forms貼り付け!$A:$AZ,153,BB$3)),1),""))</f>
        <v/>
      </c>
      <c r="BC154" s="8">
        <f>IF(BC$3="","",IFERROR(LEFT(TRIM(INDEX(Forms貼り付け!$A:$AZ,153,BC$3)),1),""))</f>
        <v/>
      </c>
    </row>
    <row r="155">
      <c r="A155" s="8" t="inlineStr">
        <is>
          <t>U151</t>
        </is>
      </c>
      <c r="B155" s="9">
        <f>IF($B$3="","",INDEX(Forms貼り付け!$A:$AZ,154,$B$3))</f>
        <v/>
      </c>
      <c r="C155" s="9">
        <f>IF($C$3="","",INDEX(Forms貼り付け!$A:$AZ,154,$C$3))</f>
        <v/>
      </c>
      <c r="D155" s="8">
        <f>IF($D$3="","",INDEX(Forms貼り付け!$A:$AZ,154,$D$3))</f>
        <v/>
      </c>
      <c r="E155" s="8">
        <f>IF($E$3="","",INDEX(Forms貼り付け!$A:$AZ,154,$E$3))</f>
        <v/>
      </c>
      <c r="F155" s="8">
        <f>IF(F$3="","",IFERROR(LEFT(TRIM(INDEX(Forms貼り付け!$A:$AZ,154,F$3)),1),""))</f>
        <v/>
      </c>
      <c r="G155" s="8">
        <f>IF(G$3="","",IFERROR(LEFT(TRIM(INDEX(Forms貼り付け!$A:$AZ,154,G$3)),1),""))</f>
        <v/>
      </c>
      <c r="H155" s="8">
        <f>IF(H$3="","",IFERROR(LEFT(TRIM(INDEX(Forms貼り付け!$A:$AZ,154,H$3)),1),""))</f>
        <v/>
      </c>
      <c r="I155" s="8">
        <f>IF(I$3="","",IFERROR(LEFT(TRIM(INDEX(Forms貼り付け!$A:$AZ,154,I$3)),1),""))</f>
        <v/>
      </c>
      <c r="J155" s="8">
        <f>IF(J$3="","",IFERROR(LEFT(TRIM(INDEX(Forms貼り付け!$A:$AZ,154,J$3)),1),""))</f>
        <v/>
      </c>
      <c r="K155" s="8">
        <f>IF(K$3="","",IFERROR(LEFT(TRIM(INDEX(Forms貼り付け!$A:$AZ,154,K$3)),1),""))</f>
        <v/>
      </c>
      <c r="L155" s="8">
        <f>IF(L$3="","",IFERROR(LEFT(TRIM(INDEX(Forms貼り付け!$A:$AZ,154,L$3)),1),""))</f>
        <v/>
      </c>
      <c r="M155" s="8">
        <f>IF(M$3="","",IFERROR(LEFT(TRIM(INDEX(Forms貼り付け!$A:$AZ,154,M$3)),1),""))</f>
        <v/>
      </c>
      <c r="N155" s="8">
        <f>IF(N$3="","",IFERROR(LEFT(TRIM(INDEX(Forms貼り付け!$A:$AZ,154,N$3)),1),""))</f>
        <v/>
      </c>
      <c r="O155" s="8">
        <f>IF(O$3="","",IFERROR(LEFT(TRIM(INDEX(Forms貼り付け!$A:$AZ,154,O$3)),1),""))</f>
        <v/>
      </c>
      <c r="P155" s="8">
        <f>IF(P$3="","",IFERROR(LEFT(TRIM(INDEX(Forms貼り付け!$A:$AZ,154,P$3)),1),""))</f>
        <v/>
      </c>
      <c r="Q155" s="8">
        <f>IF(Q$3="","",IFERROR(LEFT(TRIM(INDEX(Forms貼り付け!$A:$AZ,154,Q$3)),1),""))</f>
        <v/>
      </c>
      <c r="R155" s="8">
        <f>IF(R$3="","",IFERROR(LEFT(TRIM(INDEX(Forms貼り付け!$A:$AZ,154,R$3)),1),""))</f>
        <v/>
      </c>
      <c r="S155" s="8">
        <f>IF(S$3="","",IFERROR(LEFT(TRIM(INDEX(Forms貼り付け!$A:$AZ,154,S$3)),1),""))</f>
        <v/>
      </c>
      <c r="T155" s="8">
        <f>IF(T$3="","",IFERROR(LEFT(TRIM(INDEX(Forms貼り付け!$A:$AZ,154,T$3)),1),""))</f>
        <v/>
      </c>
      <c r="U155" s="8">
        <f>IF(U$3="","",IFERROR(LEFT(TRIM(INDEX(Forms貼り付け!$A:$AZ,154,U$3)),1),""))</f>
        <v/>
      </c>
      <c r="V155" s="8">
        <f>IF(V$3="","",IFERROR(LEFT(TRIM(INDEX(Forms貼り付け!$A:$AZ,154,V$3)),1),""))</f>
        <v/>
      </c>
      <c r="W155" s="8">
        <f>IF(W$3="","",IFERROR(LEFT(TRIM(INDEX(Forms貼り付け!$A:$AZ,154,W$3)),1),""))</f>
        <v/>
      </c>
      <c r="X155" s="8">
        <f>IF(X$3="","",IFERROR(LEFT(TRIM(INDEX(Forms貼り付け!$A:$AZ,154,X$3)),1),""))</f>
        <v/>
      </c>
      <c r="Y155" s="8">
        <f>IF(Y$3="","",IFERROR(LEFT(TRIM(INDEX(Forms貼り付け!$A:$AZ,154,Y$3)),1),""))</f>
        <v/>
      </c>
      <c r="Z155" s="8">
        <f>IF(Z$3="","",IFERROR(LEFT(TRIM(INDEX(Forms貼り付け!$A:$AZ,154,Z$3)),1),""))</f>
        <v/>
      </c>
      <c r="AA155" s="8">
        <f>IF(AA$3="","",IFERROR(LEFT(TRIM(INDEX(Forms貼り付け!$A:$AZ,154,AA$3)),1),""))</f>
        <v/>
      </c>
      <c r="AB155" s="8">
        <f>IF(AB$3="","",IFERROR(LEFT(TRIM(INDEX(Forms貼り付け!$A:$AZ,154,AB$3)),1),""))</f>
        <v/>
      </c>
      <c r="AC155" s="8">
        <f>IF(AC$3="","",IFERROR(LEFT(TRIM(INDEX(Forms貼り付け!$A:$AZ,154,AC$3)),1),""))</f>
        <v/>
      </c>
      <c r="AD155" s="8">
        <f>IF(AD$3="","",IFERROR(LEFT(TRIM(INDEX(Forms貼り付け!$A:$AZ,154,AD$3)),1),""))</f>
        <v/>
      </c>
      <c r="AE155" s="8">
        <f>IF(AE$3="","",IFERROR(LEFT(TRIM(INDEX(Forms貼り付け!$A:$AZ,154,AE$3)),1),""))</f>
        <v/>
      </c>
      <c r="AF155" s="8">
        <f>IF(AF$3="","",IFERROR(LEFT(TRIM(INDEX(Forms貼り付け!$A:$AZ,154,AF$3)),1),""))</f>
        <v/>
      </c>
      <c r="AG155" s="8">
        <f>IF(AG$3="","",IFERROR(LEFT(TRIM(INDEX(Forms貼り付け!$A:$AZ,154,AG$3)),1),""))</f>
        <v/>
      </c>
      <c r="AH155" s="8">
        <f>IF(AH$3="","",IFERROR(LEFT(TRIM(INDEX(Forms貼り付け!$A:$AZ,154,AH$3)),1),""))</f>
        <v/>
      </c>
      <c r="AI155" s="8">
        <f>IF(AI$3="","",IFERROR(LEFT(TRIM(INDEX(Forms貼り付け!$A:$AZ,154,AI$3)),1),""))</f>
        <v/>
      </c>
      <c r="AJ155" s="8">
        <f>IF(AJ$3="","",IFERROR(LEFT(TRIM(INDEX(Forms貼り付け!$A:$AZ,154,AJ$3)),1),""))</f>
        <v/>
      </c>
      <c r="AK155" s="8">
        <f>IF(AK$3="","",IFERROR(LEFT(TRIM(INDEX(Forms貼り付け!$A:$AZ,154,AK$3)),1),""))</f>
        <v/>
      </c>
      <c r="AL155" s="8">
        <f>IF(AL$3="","",IFERROR(LEFT(TRIM(INDEX(Forms貼り付け!$A:$AZ,154,AL$3)),1),""))</f>
        <v/>
      </c>
      <c r="AM155" s="8">
        <f>IF(AM$3="","",IFERROR(LEFT(TRIM(INDEX(Forms貼り付け!$A:$AZ,154,AM$3)),1),""))</f>
        <v/>
      </c>
      <c r="AN155" s="8">
        <f>IF(AN$3="","",IFERROR(LEFT(TRIM(INDEX(Forms貼り付け!$A:$AZ,154,AN$3)),1),""))</f>
        <v/>
      </c>
      <c r="AO155" s="8">
        <f>IF(AO$3="","",IFERROR(LEFT(TRIM(INDEX(Forms貼り付け!$A:$AZ,154,AO$3)),1),""))</f>
        <v/>
      </c>
      <c r="AP155" s="8">
        <f>IF(AP$3="","",IFERROR(LEFT(TRIM(INDEX(Forms貼り付け!$A:$AZ,154,AP$3)),1),""))</f>
        <v/>
      </c>
      <c r="AQ155" s="8">
        <f>IF(AQ$3="","",IFERROR(LEFT(TRIM(INDEX(Forms貼り付け!$A:$AZ,154,AQ$3)),1),""))</f>
        <v/>
      </c>
      <c r="AR155" s="8">
        <f>IF(AR$3="","",IFERROR(LEFT(TRIM(INDEX(Forms貼り付け!$A:$AZ,154,AR$3)),1),""))</f>
        <v/>
      </c>
      <c r="AS155" s="8">
        <f>IF(AS$3="","",IFERROR(LEFT(TRIM(INDEX(Forms貼り付け!$A:$AZ,154,AS$3)),1),""))</f>
        <v/>
      </c>
      <c r="AT155" s="8">
        <f>IF(AT$3="","",IFERROR(LEFT(TRIM(INDEX(Forms貼り付け!$A:$AZ,154,AT$3)),1),""))</f>
        <v/>
      </c>
      <c r="AU155" s="8">
        <f>IF(AU$3="","",IFERROR(LEFT(TRIM(INDEX(Forms貼り付け!$A:$AZ,154,AU$3)),1),""))</f>
        <v/>
      </c>
      <c r="AV155" s="8">
        <f>IF(AV$3="","",IFERROR(LEFT(TRIM(INDEX(Forms貼り付け!$A:$AZ,154,AV$3)),1),""))</f>
        <v/>
      </c>
      <c r="AW155" s="8">
        <f>IF(AW$3="","",IFERROR(LEFT(TRIM(INDEX(Forms貼り付け!$A:$AZ,154,AW$3)),1),""))</f>
        <v/>
      </c>
      <c r="AX155" s="8">
        <f>IF(AX$3="","",IFERROR(LEFT(TRIM(INDEX(Forms貼り付け!$A:$AZ,154,AX$3)),1),""))</f>
        <v/>
      </c>
      <c r="AY155" s="8">
        <f>IF(AY$3="","",IFERROR(LEFT(TRIM(INDEX(Forms貼り付け!$A:$AZ,154,AY$3)),1),""))</f>
        <v/>
      </c>
      <c r="AZ155" s="8">
        <f>IF(AZ$3="","",IFERROR(LEFT(TRIM(INDEX(Forms貼り付け!$A:$AZ,154,AZ$3)),1),""))</f>
        <v/>
      </c>
      <c r="BA155" s="8">
        <f>IF(BA$3="","",IFERROR(LEFT(TRIM(INDEX(Forms貼り付け!$A:$AZ,154,BA$3)),1),""))</f>
        <v/>
      </c>
      <c r="BB155" s="8">
        <f>IF(BB$3="","",IFERROR(LEFT(TRIM(INDEX(Forms貼り付け!$A:$AZ,154,BB$3)),1),""))</f>
        <v/>
      </c>
      <c r="BC155" s="8">
        <f>IF(BC$3="","",IFERROR(LEFT(TRIM(INDEX(Forms貼り付け!$A:$AZ,154,BC$3)),1),""))</f>
        <v/>
      </c>
    </row>
    <row r="156">
      <c r="A156" s="8" t="inlineStr">
        <is>
          <t>U152</t>
        </is>
      </c>
      <c r="B156" s="9">
        <f>IF($B$3="","",INDEX(Forms貼り付け!$A:$AZ,155,$B$3))</f>
        <v/>
      </c>
      <c r="C156" s="9">
        <f>IF($C$3="","",INDEX(Forms貼り付け!$A:$AZ,155,$C$3))</f>
        <v/>
      </c>
      <c r="D156" s="8">
        <f>IF($D$3="","",INDEX(Forms貼り付け!$A:$AZ,155,$D$3))</f>
        <v/>
      </c>
      <c r="E156" s="8">
        <f>IF($E$3="","",INDEX(Forms貼り付け!$A:$AZ,155,$E$3))</f>
        <v/>
      </c>
      <c r="F156" s="8">
        <f>IF(F$3="","",IFERROR(LEFT(TRIM(INDEX(Forms貼り付け!$A:$AZ,155,F$3)),1),""))</f>
        <v/>
      </c>
      <c r="G156" s="8">
        <f>IF(G$3="","",IFERROR(LEFT(TRIM(INDEX(Forms貼り付け!$A:$AZ,155,G$3)),1),""))</f>
        <v/>
      </c>
      <c r="H156" s="8">
        <f>IF(H$3="","",IFERROR(LEFT(TRIM(INDEX(Forms貼り付け!$A:$AZ,155,H$3)),1),""))</f>
        <v/>
      </c>
      <c r="I156" s="8">
        <f>IF(I$3="","",IFERROR(LEFT(TRIM(INDEX(Forms貼り付け!$A:$AZ,155,I$3)),1),""))</f>
        <v/>
      </c>
      <c r="J156" s="8">
        <f>IF(J$3="","",IFERROR(LEFT(TRIM(INDEX(Forms貼り付け!$A:$AZ,155,J$3)),1),""))</f>
        <v/>
      </c>
      <c r="K156" s="8">
        <f>IF(K$3="","",IFERROR(LEFT(TRIM(INDEX(Forms貼り付け!$A:$AZ,155,K$3)),1),""))</f>
        <v/>
      </c>
      <c r="L156" s="8">
        <f>IF(L$3="","",IFERROR(LEFT(TRIM(INDEX(Forms貼り付け!$A:$AZ,155,L$3)),1),""))</f>
        <v/>
      </c>
      <c r="M156" s="8">
        <f>IF(M$3="","",IFERROR(LEFT(TRIM(INDEX(Forms貼り付け!$A:$AZ,155,M$3)),1),""))</f>
        <v/>
      </c>
      <c r="N156" s="8">
        <f>IF(N$3="","",IFERROR(LEFT(TRIM(INDEX(Forms貼り付け!$A:$AZ,155,N$3)),1),""))</f>
        <v/>
      </c>
      <c r="O156" s="8">
        <f>IF(O$3="","",IFERROR(LEFT(TRIM(INDEX(Forms貼り付け!$A:$AZ,155,O$3)),1),""))</f>
        <v/>
      </c>
      <c r="P156" s="8">
        <f>IF(P$3="","",IFERROR(LEFT(TRIM(INDEX(Forms貼り付け!$A:$AZ,155,P$3)),1),""))</f>
        <v/>
      </c>
      <c r="Q156" s="8">
        <f>IF(Q$3="","",IFERROR(LEFT(TRIM(INDEX(Forms貼り付け!$A:$AZ,155,Q$3)),1),""))</f>
        <v/>
      </c>
      <c r="R156" s="8">
        <f>IF(R$3="","",IFERROR(LEFT(TRIM(INDEX(Forms貼り付け!$A:$AZ,155,R$3)),1),""))</f>
        <v/>
      </c>
      <c r="S156" s="8">
        <f>IF(S$3="","",IFERROR(LEFT(TRIM(INDEX(Forms貼り付け!$A:$AZ,155,S$3)),1),""))</f>
        <v/>
      </c>
      <c r="T156" s="8">
        <f>IF(T$3="","",IFERROR(LEFT(TRIM(INDEX(Forms貼り付け!$A:$AZ,155,T$3)),1),""))</f>
        <v/>
      </c>
      <c r="U156" s="8">
        <f>IF(U$3="","",IFERROR(LEFT(TRIM(INDEX(Forms貼り付け!$A:$AZ,155,U$3)),1),""))</f>
        <v/>
      </c>
      <c r="V156" s="8">
        <f>IF(V$3="","",IFERROR(LEFT(TRIM(INDEX(Forms貼り付け!$A:$AZ,155,V$3)),1),""))</f>
        <v/>
      </c>
      <c r="W156" s="8">
        <f>IF(W$3="","",IFERROR(LEFT(TRIM(INDEX(Forms貼り付け!$A:$AZ,155,W$3)),1),""))</f>
        <v/>
      </c>
      <c r="X156" s="8">
        <f>IF(X$3="","",IFERROR(LEFT(TRIM(INDEX(Forms貼り付け!$A:$AZ,155,X$3)),1),""))</f>
        <v/>
      </c>
      <c r="Y156" s="8">
        <f>IF(Y$3="","",IFERROR(LEFT(TRIM(INDEX(Forms貼り付け!$A:$AZ,155,Y$3)),1),""))</f>
        <v/>
      </c>
      <c r="Z156" s="8">
        <f>IF(Z$3="","",IFERROR(LEFT(TRIM(INDEX(Forms貼り付け!$A:$AZ,155,Z$3)),1),""))</f>
        <v/>
      </c>
      <c r="AA156" s="8">
        <f>IF(AA$3="","",IFERROR(LEFT(TRIM(INDEX(Forms貼り付け!$A:$AZ,155,AA$3)),1),""))</f>
        <v/>
      </c>
      <c r="AB156" s="8">
        <f>IF(AB$3="","",IFERROR(LEFT(TRIM(INDEX(Forms貼り付け!$A:$AZ,155,AB$3)),1),""))</f>
        <v/>
      </c>
      <c r="AC156" s="8">
        <f>IF(AC$3="","",IFERROR(LEFT(TRIM(INDEX(Forms貼り付け!$A:$AZ,155,AC$3)),1),""))</f>
        <v/>
      </c>
      <c r="AD156" s="8">
        <f>IF(AD$3="","",IFERROR(LEFT(TRIM(INDEX(Forms貼り付け!$A:$AZ,155,AD$3)),1),""))</f>
        <v/>
      </c>
      <c r="AE156" s="8">
        <f>IF(AE$3="","",IFERROR(LEFT(TRIM(INDEX(Forms貼り付け!$A:$AZ,155,AE$3)),1),""))</f>
        <v/>
      </c>
      <c r="AF156" s="8">
        <f>IF(AF$3="","",IFERROR(LEFT(TRIM(INDEX(Forms貼り付け!$A:$AZ,155,AF$3)),1),""))</f>
        <v/>
      </c>
      <c r="AG156" s="8">
        <f>IF(AG$3="","",IFERROR(LEFT(TRIM(INDEX(Forms貼り付け!$A:$AZ,155,AG$3)),1),""))</f>
        <v/>
      </c>
      <c r="AH156" s="8">
        <f>IF(AH$3="","",IFERROR(LEFT(TRIM(INDEX(Forms貼り付け!$A:$AZ,155,AH$3)),1),""))</f>
        <v/>
      </c>
      <c r="AI156" s="8">
        <f>IF(AI$3="","",IFERROR(LEFT(TRIM(INDEX(Forms貼り付け!$A:$AZ,155,AI$3)),1),""))</f>
        <v/>
      </c>
      <c r="AJ156" s="8">
        <f>IF(AJ$3="","",IFERROR(LEFT(TRIM(INDEX(Forms貼り付け!$A:$AZ,155,AJ$3)),1),""))</f>
        <v/>
      </c>
      <c r="AK156" s="8">
        <f>IF(AK$3="","",IFERROR(LEFT(TRIM(INDEX(Forms貼り付け!$A:$AZ,155,AK$3)),1),""))</f>
        <v/>
      </c>
      <c r="AL156" s="8">
        <f>IF(AL$3="","",IFERROR(LEFT(TRIM(INDEX(Forms貼り付け!$A:$AZ,155,AL$3)),1),""))</f>
        <v/>
      </c>
      <c r="AM156" s="8">
        <f>IF(AM$3="","",IFERROR(LEFT(TRIM(INDEX(Forms貼り付け!$A:$AZ,155,AM$3)),1),""))</f>
        <v/>
      </c>
      <c r="AN156" s="8">
        <f>IF(AN$3="","",IFERROR(LEFT(TRIM(INDEX(Forms貼り付け!$A:$AZ,155,AN$3)),1),""))</f>
        <v/>
      </c>
      <c r="AO156" s="8">
        <f>IF(AO$3="","",IFERROR(LEFT(TRIM(INDEX(Forms貼り付け!$A:$AZ,155,AO$3)),1),""))</f>
        <v/>
      </c>
      <c r="AP156" s="8">
        <f>IF(AP$3="","",IFERROR(LEFT(TRIM(INDEX(Forms貼り付け!$A:$AZ,155,AP$3)),1),""))</f>
        <v/>
      </c>
      <c r="AQ156" s="8">
        <f>IF(AQ$3="","",IFERROR(LEFT(TRIM(INDEX(Forms貼り付け!$A:$AZ,155,AQ$3)),1),""))</f>
        <v/>
      </c>
      <c r="AR156" s="8">
        <f>IF(AR$3="","",IFERROR(LEFT(TRIM(INDEX(Forms貼り付け!$A:$AZ,155,AR$3)),1),""))</f>
        <v/>
      </c>
      <c r="AS156" s="8">
        <f>IF(AS$3="","",IFERROR(LEFT(TRIM(INDEX(Forms貼り付け!$A:$AZ,155,AS$3)),1),""))</f>
        <v/>
      </c>
      <c r="AT156" s="8">
        <f>IF(AT$3="","",IFERROR(LEFT(TRIM(INDEX(Forms貼り付け!$A:$AZ,155,AT$3)),1),""))</f>
        <v/>
      </c>
      <c r="AU156" s="8">
        <f>IF(AU$3="","",IFERROR(LEFT(TRIM(INDEX(Forms貼り付け!$A:$AZ,155,AU$3)),1),""))</f>
        <v/>
      </c>
      <c r="AV156" s="8">
        <f>IF(AV$3="","",IFERROR(LEFT(TRIM(INDEX(Forms貼り付け!$A:$AZ,155,AV$3)),1),""))</f>
        <v/>
      </c>
      <c r="AW156" s="8">
        <f>IF(AW$3="","",IFERROR(LEFT(TRIM(INDEX(Forms貼り付け!$A:$AZ,155,AW$3)),1),""))</f>
        <v/>
      </c>
      <c r="AX156" s="8">
        <f>IF(AX$3="","",IFERROR(LEFT(TRIM(INDEX(Forms貼り付け!$A:$AZ,155,AX$3)),1),""))</f>
        <v/>
      </c>
      <c r="AY156" s="8">
        <f>IF(AY$3="","",IFERROR(LEFT(TRIM(INDEX(Forms貼り付け!$A:$AZ,155,AY$3)),1),""))</f>
        <v/>
      </c>
      <c r="AZ156" s="8">
        <f>IF(AZ$3="","",IFERROR(LEFT(TRIM(INDEX(Forms貼り付け!$A:$AZ,155,AZ$3)),1),""))</f>
        <v/>
      </c>
      <c r="BA156" s="8">
        <f>IF(BA$3="","",IFERROR(LEFT(TRIM(INDEX(Forms貼り付け!$A:$AZ,155,BA$3)),1),""))</f>
        <v/>
      </c>
      <c r="BB156" s="8">
        <f>IF(BB$3="","",IFERROR(LEFT(TRIM(INDEX(Forms貼り付け!$A:$AZ,155,BB$3)),1),""))</f>
        <v/>
      </c>
      <c r="BC156" s="8">
        <f>IF(BC$3="","",IFERROR(LEFT(TRIM(INDEX(Forms貼り付け!$A:$AZ,155,BC$3)),1),""))</f>
        <v/>
      </c>
    </row>
    <row r="157">
      <c r="A157" s="8" t="inlineStr">
        <is>
          <t>U153</t>
        </is>
      </c>
      <c r="B157" s="9">
        <f>IF($B$3="","",INDEX(Forms貼り付け!$A:$AZ,156,$B$3))</f>
        <v/>
      </c>
      <c r="C157" s="9">
        <f>IF($C$3="","",INDEX(Forms貼り付け!$A:$AZ,156,$C$3))</f>
        <v/>
      </c>
      <c r="D157" s="8">
        <f>IF($D$3="","",INDEX(Forms貼り付け!$A:$AZ,156,$D$3))</f>
        <v/>
      </c>
      <c r="E157" s="8">
        <f>IF($E$3="","",INDEX(Forms貼り付け!$A:$AZ,156,$E$3))</f>
        <v/>
      </c>
      <c r="F157" s="8">
        <f>IF(F$3="","",IFERROR(LEFT(TRIM(INDEX(Forms貼り付け!$A:$AZ,156,F$3)),1),""))</f>
        <v/>
      </c>
      <c r="G157" s="8">
        <f>IF(G$3="","",IFERROR(LEFT(TRIM(INDEX(Forms貼り付け!$A:$AZ,156,G$3)),1),""))</f>
        <v/>
      </c>
      <c r="H157" s="8">
        <f>IF(H$3="","",IFERROR(LEFT(TRIM(INDEX(Forms貼り付け!$A:$AZ,156,H$3)),1),""))</f>
        <v/>
      </c>
      <c r="I157" s="8">
        <f>IF(I$3="","",IFERROR(LEFT(TRIM(INDEX(Forms貼り付け!$A:$AZ,156,I$3)),1),""))</f>
        <v/>
      </c>
      <c r="J157" s="8">
        <f>IF(J$3="","",IFERROR(LEFT(TRIM(INDEX(Forms貼り付け!$A:$AZ,156,J$3)),1),""))</f>
        <v/>
      </c>
      <c r="K157" s="8">
        <f>IF(K$3="","",IFERROR(LEFT(TRIM(INDEX(Forms貼り付け!$A:$AZ,156,K$3)),1),""))</f>
        <v/>
      </c>
      <c r="L157" s="8">
        <f>IF(L$3="","",IFERROR(LEFT(TRIM(INDEX(Forms貼り付け!$A:$AZ,156,L$3)),1),""))</f>
        <v/>
      </c>
      <c r="M157" s="8">
        <f>IF(M$3="","",IFERROR(LEFT(TRIM(INDEX(Forms貼り付け!$A:$AZ,156,M$3)),1),""))</f>
        <v/>
      </c>
      <c r="N157" s="8">
        <f>IF(N$3="","",IFERROR(LEFT(TRIM(INDEX(Forms貼り付け!$A:$AZ,156,N$3)),1),""))</f>
        <v/>
      </c>
      <c r="O157" s="8">
        <f>IF(O$3="","",IFERROR(LEFT(TRIM(INDEX(Forms貼り付け!$A:$AZ,156,O$3)),1),""))</f>
        <v/>
      </c>
      <c r="P157" s="8">
        <f>IF(P$3="","",IFERROR(LEFT(TRIM(INDEX(Forms貼り付け!$A:$AZ,156,P$3)),1),""))</f>
        <v/>
      </c>
      <c r="Q157" s="8">
        <f>IF(Q$3="","",IFERROR(LEFT(TRIM(INDEX(Forms貼り付け!$A:$AZ,156,Q$3)),1),""))</f>
        <v/>
      </c>
      <c r="R157" s="8">
        <f>IF(R$3="","",IFERROR(LEFT(TRIM(INDEX(Forms貼り付け!$A:$AZ,156,R$3)),1),""))</f>
        <v/>
      </c>
      <c r="S157" s="8">
        <f>IF(S$3="","",IFERROR(LEFT(TRIM(INDEX(Forms貼り付け!$A:$AZ,156,S$3)),1),""))</f>
        <v/>
      </c>
      <c r="T157" s="8">
        <f>IF(T$3="","",IFERROR(LEFT(TRIM(INDEX(Forms貼り付け!$A:$AZ,156,T$3)),1),""))</f>
        <v/>
      </c>
      <c r="U157" s="8">
        <f>IF(U$3="","",IFERROR(LEFT(TRIM(INDEX(Forms貼り付け!$A:$AZ,156,U$3)),1),""))</f>
        <v/>
      </c>
      <c r="V157" s="8">
        <f>IF(V$3="","",IFERROR(LEFT(TRIM(INDEX(Forms貼り付け!$A:$AZ,156,V$3)),1),""))</f>
        <v/>
      </c>
      <c r="W157" s="8">
        <f>IF(W$3="","",IFERROR(LEFT(TRIM(INDEX(Forms貼り付け!$A:$AZ,156,W$3)),1),""))</f>
        <v/>
      </c>
      <c r="X157" s="8">
        <f>IF(X$3="","",IFERROR(LEFT(TRIM(INDEX(Forms貼り付け!$A:$AZ,156,X$3)),1),""))</f>
        <v/>
      </c>
      <c r="Y157" s="8">
        <f>IF(Y$3="","",IFERROR(LEFT(TRIM(INDEX(Forms貼り付け!$A:$AZ,156,Y$3)),1),""))</f>
        <v/>
      </c>
      <c r="Z157" s="8">
        <f>IF(Z$3="","",IFERROR(LEFT(TRIM(INDEX(Forms貼り付け!$A:$AZ,156,Z$3)),1),""))</f>
        <v/>
      </c>
      <c r="AA157" s="8">
        <f>IF(AA$3="","",IFERROR(LEFT(TRIM(INDEX(Forms貼り付け!$A:$AZ,156,AA$3)),1),""))</f>
        <v/>
      </c>
      <c r="AB157" s="8">
        <f>IF(AB$3="","",IFERROR(LEFT(TRIM(INDEX(Forms貼り付け!$A:$AZ,156,AB$3)),1),""))</f>
        <v/>
      </c>
      <c r="AC157" s="8">
        <f>IF(AC$3="","",IFERROR(LEFT(TRIM(INDEX(Forms貼り付け!$A:$AZ,156,AC$3)),1),""))</f>
        <v/>
      </c>
      <c r="AD157" s="8">
        <f>IF(AD$3="","",IFERROR(LEFT(TRIM(INDEX(Forms貼り付け!$A:$AZ,156,AD$3)),1),""))</f>
        <v/>
      </c>
      <c r="AE157" s="8">
        <f>IF(AE$3="","",IFERROR(LEFT(TRIM(INDEX(Forms貼り付け!$A:$AZ,156,AE$3)),1),""))</f>
        <v/>
      </c>
      <c r="AF157" s="8">
        <f>IF(AF$3="","",IFERROR(LEFT(TRIM(INDEX(Forms貼り付け!$A:$AZ,156,AF$3)),1),""))</f>
        <v/>
      </c>
      <c r="AG157" s="8">
        <f>IF(AG$3="","",IFERROR(LEFT(TRIM(INDEX(Forms貼り付け!$A:$AZ,156,AG$3)),1),""))</f>
        <v/>
      </c>
      <c r="AH157" s="8">
        <f>IF(AH$3="","",IFERROR(LEFT(TRIM(INDEX(Forms貼り付け!$A:$AZ,156,AH$3)),1),""))</f>
        <v/>
      </c>
      <c r="AI157" s="8">
        <f>IF(AI$3="","",IFERROR(LEFT(TRIM(INDEX(Forms貼り付け!$A:$AZ,156,AI$3)),1),""))</f>
        <v/>
      </c>
      <c r="AJ157" s="8">
        <f>IF(AJ$3="","",IFERROR(LEFT(TRIM(INDEX(Forms貼り付け!$A:$AZ,156,AJ$3)),1),""))</f>
        <v/>
      </c>
      <c r="AK157" s="8">
        <f>IF(AK$3="","",IFERROR(LEFT(TRIM(INDEX(Forms貼り付け!$A:$AZ,156,AK$3)),1),""))</f>
        <v/>
      </c>
      <c r="AL157" s="8">
        <f>IF(AL$3="","",IFERROR(LEFT(TRIM(INDEX(Forms貼り付け!$A:$AZ,156,AL$3)),1),""))</f>
        <v/>
      </c>
      <c r="AM157" s="8">
        <f>IF(AM$3="","",IFERROR(LEFT(TRIM(INDEX(Forms貼り付け!$A:$AZ,156,AM$3)),1),""))</f>
        <v/>
      </c>
      <c r="AN157" s="8">
        <f>IF(AN$3="","",IFERROR(LEFT(TRIM(INDEX(Forms貼り付け!$A:$AZ,156,AN$3)),1),""))</f>
        <v/>
      </c>
      <c r="AO157" s="8">
        <f>IF(AO$3="","",IFERROR(LEFT(TRIM(INDEX(Forms貼り付け!$A:$AZ,156,AO$3)),1),""))</f>
        <v/>
      </c>
      <c r="AP157" s="8">
        <f>IF(AP$3="","",IFERROR(LEFT(TRIM(INDEX(Forms貼り付け!$A:$AZ,156,AP$3)),1),""))</f>
        <v/>
      </c>
      <c r="AQ157" s="8">
        <f>IF(AQ$3="","",IFERROR(LEFT(TRIM(INDEX(Forms貼り付け!$A:$AZ,156,AQ$3)),1),""))</f>
        <v/>
      </c>
      <c r="AR157" s="8">
        <f>IF(AR$3="","",IFERROR(LEFT(TRIM(INDEX(Forms貼り付け!$A:$AZ,156,AR$3)),1),""))</f>
        <v/>
      </c>
      <c r="AS157" s="8">
        <f>IF(AS$3="","",IFERROR(LEFT(TRIM(INDEX(Forms貼り付け!$A:$AZ,156,AS$3)),1),""))</f>
        <v/>
      </c>
      <c r="AT157" s="8">
        <f>IF(AT$3="","",IFERROR(LEFT(TRIM(INDEX(Forms貼り付け!$A:$AZ,156,AT$3)),1),""))</f>
        <v/>
      </c>
      <c r="AU157" s="8">
        <f>IF(AU$3="","",IFERROR(LEFT(TRIM(INDEX(Forms貼り付け!$A:$AZ,156,AU$3)),1),""))</f>
        <v/>
      </c>
      <c r="AV157" s="8">
        <f>IF(AV$3="","",IFERROR(LEFT(TRIM(INDEX(Forms貼り付け!$A:$AZ,156,AV$3)),1),""))</f>
        <v/>
      </c>
      <c r="AW157" s="8">
        <f>IF(AW$3="","",IFERROR(LEFT(TRIM(INDEX(Forms貼り付け!$A:$AZ,156,AW$3)),1),""))</f>
        <v/>
      </c>
      <c r="AX157" s="8">
        <f>IF(AX$3="","",IFERROR(LEFT(TRIM(INDEX(Forms貼り付け!$A:$AZ,156,AX$3)),1),""))</f>
        <v/>
      </c>
      <c r="AY157" s="8">
        <f>IF(AY$3="","",IFERROR(LEFT(TRIM(INDEX(Forms貼り付け!$A:$AZ,156,AY$3)),1),""))</f>
        <v/>
      </c>
      <c r="AZ157" s="8">
        <f>IF(AZ$3="","",IFERROR(LEFT(TRIM(INDEX(Forms貼り付け!$A:$AZ,156,AZ$3)),1),""))</f>
        <v/>
      </c>
      <c r="BA157" s="8">
        <f>IF(BA$3="","",IFERROR(LEFT(TRIM(INDEX(Forms貼り付け!$A:$AZ,156,BA$3)),1),""))</f>
        <v/>
      </c>
      <c r="BB157" s="8">
        <f>IF(BB$3="","",IFERROR(LEFT(TRIM(INDEX(Forms貼り付け!$A:$AZ,156,BB$3)),1),""))</f>
        <v/>
      </c>
      <c r="BC157" s="8">
        <f>IF(BC$3="","",IFERROR(LEFT(TRIM(INDEX(Forms貼り付け!$A:$AZ,156,BC$3)),1),""))</f>
        <v/>
      </c>
    </row>
    <row r="158">
      <c r="A158" s="8" t="inlineStr">
        <is>
          <t>U154</t>
        </is>
      </c>
      <c r="B158" s="9">
        <f>IF($B$3="","",INDEX(Forms貼り付け!$A:$AZ,157,$B$3))</f>
        <v/>
      </c>
      <c r="C158" s="9">
        <f>IF($C$3="","",INDEX(Forms貼り付け!$A:$AZ,157,$C$3))</f>
        <v/>
      </c>
      <c r="D158" s="8">
        <f>IF($D$3="","",INDEX(Forms貼り付け!$A:$AZ,157,$D$3))</f>
        <v/>
      </c>
      <c r="E158" s="8">
        <f>IF($E$3="","",INDEX(Forms貼り付け!$A:$AZ,157,$E$3))</f>
        <v/>
      </c>
      <c r="F158" s="8">
        <f>IF(F$3="","",IFERROR(LEFT(TRIM(INDEX(Forms貼り付け!$A:$AZ,157,F$3)),1),""))</f>
        <v/>
      </c>
      <c r="G158" s="8">
        <f>IF(G$3="","",IFERROR(LEFT(TRIM(INDEX(Forms貼り付け!$A:$AZ,157,G$3)),1),""))</f>
        <v/>
      </c>
      <c r="H158" s="8">
        <f>IF(H$3="","",IFERROR(LEFT(TRIM(INDEX(Forms貼り付け!$A:$AZ,157,H$3)),1),""))</f>
        <v/>
      </c>
      <c r="I158" s="8">
        <f>IF(I$3="","",IFERROR(LEFT(TRIM(INDEX(Forms貼り付け!$A:$AZ,157,I$3)),1),""))</f>
        <v/>
      </c>
      <c r="J158" s="8">
        <f>IF(J$3="","",IFERROR(LEFT(TRIM(INDEX(Forms貼り付け!$A:$AZ,157,J$3)),1),""))</f>
        <v/>
      </c>
      <c r="K158" s="8">
        <f>IF(K$3="","",IFERROR(LEFT(TRIM(INDEX(Forms貼り付け!$A:$AZ,157,K$3)),1),""))</f>
        <v/>
      </c>
      <c r="L158" s="8">
        <f>IF(L$3="","",IFERROR(LEFT(TRIM(INDEX(Forms貼り付け!$A:$AZ,157,L$3)),1),""))</f>
        <v/>
      </c>
      <c r="M158" s="8">
        <f>IF(M$3="","",IFERROR(LEFT(TRIM(INDEX(Forms貼り付け!$A:$AZ,157,M$3)),1),""))</f>
        <v/>
      </c>
      <c r="N158" s="8">
        <f>IF(N$3="","",IFERROR(LEFT(TRIM(INDEX(Forms貼り付け!$A:$AZ,157,N$3)),1),""))</f>
        <v/>
      </c>
      <c r="O158" s="8">
        <f>IF(O$3="","",IFERROR(LEFT(TRIM(INDEX(Forms貼り付け!$A:$AZ,157,O$3)),1),""))</f>
        <v/>
      </c>
      <c r="P158" s="8">
        <f>IF(P$3="","",IFERROR(LEFT(TRIM(INDEX(Forms貼り付け!$A:$AZ,157,P$3)),1),""))</f>
        <v/>
      </c>
      <c r="Q158" s="8">
        <f>IF(Q$3="","",IFERROR(LEFT(TRIM(INDEX(Forms貼り付け!$A:$AZ,157,Q$3)),1),""))</f>
        <v/>
      </c>
      <c r="R158" s="8">
        <f>IF(R$3="","",IFERROR(LEFT(TRIM(INDEX(Forms貼り付け!$A:$AZ,157,R$3)),1),""))</f>
        <v/>
      </c>
      <c r="S158" s="8">
        <f>IF(S$3="","",IFERROR(LEFT(TRIM(INDEX(Forms貼り付け!$A:$AZ,157,S$3)),1),""))</f>
        <v/>
      </c>
      <c r="T158" s="8">
        <f>IF(T$3="","",IFERROR(LEFT(TRIM(INDEX(Forms貼り付け!$A:$AZ,157,T$3)),1),""))</f>
        <v/>
      </c>
      <c r="U158" s="8">
        <f>IF(U$3="","",IFERROR(LEFT(TRIM(INDEX(Forms貼り付け!$A:$AZ,157,U$3)),1),""))</f>
        <v/>
      </c>
      <c r="V158" s="8">
        <f>IF(V$3="","",IFERROR(LEFT(TRIM(INDEX(Forms貼り付け!$A:$AZ,157,V$3)),1),""))</f>
        <v/>
      </c>
      <c r="W158" s="8">
        <f>IF(W$3="","",IFERROR(LEFT(TRIM(INDEX(Forms貼り付け!$A:$AZ,157,W$3)),1),""))</f>
        <v/>
      </c>
      <c r="X158" s="8">
        <f>IF(X$3="","",IFERROR(LEFT(TRIM(INDEX(Forms貼り付け!$A:$AZ,157,X$3)),1),""))</f>
        <v/>
      </c>
      <c r="Y158" s="8">
        <f>IF(Y$3="","",IFERROR(LEFT(TRIM(INDEX(Forms貼り付け!$A:$AZ,157,Y$3)),1),""))</f>
        <v/>
      </c>
      <c r="Z158" s="8">
        <f>IF(Z$3="","",IFERROR(LEFT(TRIM(INDEX(Forms貼り付け!$A:$AZ,157,Z$3)),1),""))</f>
        <v/>
      </c>
      <c r="AA158" s="8">
        <f>IF(AA$3="","",IFERROR(LEFT(TRIM(INDEX(Forms貼り付け!$A:$AZ,157,AA$3)),1),""))</f>
        <v/>
      </c>
      <c r="AB158" s="8">
        <f>IF(AB$3="","",IFERROR(LEFT(TRIM(INDEX(Forms貼り付け!$A:$AZ,157,AB$3)),1),""))</f>
        <v/>
      </c>
      <c r="AC158" s="8">
        <f>IF(AC$3="","",IFERROR(LEFT(TRIM(INDEX(Forms貼り付け!$A:$AZ,157,AC$3)),1),""))</f>
        <v/>
      </c>
      <c r="AD158" s="8">
        <f>IF(AD$3="","",IFERROR(LEFT(TRIM(INDEX(Forms貼り付け!$A:$AZ,157,AD$3)),1),""))</f>
        <v/>
      </c>
      <c r="AE158" s="8">
        <f>IF(AE$3="","",IFERROR(LEFT(TRIM(INDEX(Forms貼り付け!$A:$AZ,157,AE$3)),1),""))</f>
        <v/>
      </c>
      <c r="AF158" s="8">
        <f>IF(AF$3="","",IFERROR(LEFT(TRIM(INDEX(Forms貼り付け!$A:$AZ,157,AF$3)),1),""))</f>
        <v/>
      </c>
      <c r="AG158" s="8">
        <f>IF(AG$3="","",IFERROR(LEFT(TRIM(INDEX(Forms貼り付け!$A:$AZ,157,AG$3)),1),""))</f>
        <v/>
      </c>
      <c r="AH158" s="8">
        <f>IF(AH$3="","",IFERROR(LEFT(TRIM(INDEX(Forms貼り付け!$A:$AZ,157,AH$3)),1),""))</f>
        <v/>
      </c>
      <c r="AI158" s="8">
        <f>IF(AI$3="","",IFERROR(LEFT(TRIM(INDEX(Forms貼り付け!$A:$AZ,157,AI$3)),1),""))</f>
        <v/>
      </c>
      <c r="AJ158" s="8">
        <f>IF(AJ$3="","",IFERROR(LEFT(TRIM(INDEX(Forms貼り付け!$A:$AZ,157,AJ$3)),1),""))</f>
        <v/>
      </c>
      <c r="AK158" s="8">
        <f>IF(AK$3="","",IFERROR(LEFT(TRIM(INDEX(Forms貼り付け!$A:$AZ,157,AK$3)),1),""))</f>
        <v/>
      </c>
      <c r="AL158" s="8">
        <f>IF(AL$3="","",IFERROR(LEFT(TRIM(INDEX(Forms貼り付け!$A:$AZ,157,AL$3)),1),""))</f>
        <v/>
      </c>
      <c r="AM158" s="8">
        <f>IF(AM$3="","",IFERROR(LEFT(TRIM(INDEX(Forms貼り付け!$A:$AZ,157,AM$3)),1),""))</f>
        <v/>
      </c>
      <c r="AN158" s="8">
        <f>IF(AN$3="","",IFERROR(LEFT(TRIM(INDEX(Forms貼り付け!$A:$AZ,157,AN$3)),1),""))</f>
        <v/>
      </c>
      <c r="AO158" s="8">
        <f>IF(AO$3="","",IFERROR(LEFT(TRIM(INDEX(Forms貼り付け!$A:$AZ,157,AO$3)),1),""))</f>
        <v/>
      </c>
      <c r="AP158" s="8">
        <f>IF(AP$3="","",IFERROR(LEFT(TRIM(INDEX(Forms貼り付け!$A:$AZ,157,AP$3)),1),""))</f>
        <v/>
      </c>
      <c r="AQ158" s="8">
        <f>IF(AQ$3="","",IFERROR(LEFT(TRIM(INDEX(Forms貼り付け!$A:$AZ,157,AQ$3)),1),""))</f>
        <v/>
      </c>
      <c r="AR158" s="8">
        <f>IF(AR$3="","",IFERROR(LEFT(TRIM(INDEX(Forms貼り付け!$A:$AZ,157,AR$3)),1),""))</f>
        <v/>
      </c>
      <c r="AS158" s="8">
        <f>IF(AS$3="","",IFERROR(LEFT(TRIM(INDEX(Forms貼り付け!$A:$AZ,157,AS$3)),1),""))</f>
        <v/>
      </c>
      <c r="AT158" s="8">
        <f>IF(AT$3="","",IFERROR(LEFT(TRIM(INDEX(Forms貼り付け!$A:$AZ,157,AT$3)),1),""))</f>
        <v/>
      </c>
      <c r="AU158" s="8">
        <f>IF(AU$3="","",IFERROR(LEFT(TRIM(INDEX(Forms貼り付け!$A:$AZ,157,AU$3)),1),""))</f>
        <v/>
      </c>
      <c r="AV158" s="8">
        <f>IF(AV$3="","",IFERROR(LEFT(TRIM(INDEX(Forms貼り付け!$A:$AZ,157,AV$3)),1),""))</f>
        <v/>
      </c>
      <c r="AW158" s="8">
        <f>IF(AW$3="","",IFERROR(LEFT(TRIM(INDEX(Forms貼り付け!$A:$AZ,157,AW$3)),1),""))</f>
        <v/>
      </c>
      <c r="AX158" s="8">
        <f>IF(AX$3="","",IFERROR(LEFT(TRIM(INDEX(Forms貼り付け!$A:$AZ,157,AX$3)),1),""))</f>
        <v/>
      </c>
      <c r="AY158" s="8">
        <f>IF(AY$3="","",IFERROR(LEFT(TRIM(INDEX(Forms貼り付け!$A:$AZ,157,AY$3)),1),""))</f>
        <v/>
      </c>
      <c r="AZ158" s="8">
        <f>IF(AZ$3="","",IFERROR(LEFT(TRIM(INDEX(Forms貼り付け!$A:$AZ,157,AZ$3)),1),""))</f>
        <v/>
      </c>
      <c r="BA158" s="8">
        <f>IF(BA$3="","",IFERROR(LEFT(TRIM(INDEX(Forms貼り付け!$A:$AZ,157,BA$3)),1),""))</f>
        <v/>
      </c>
      <c r="BB158" s="8">
        <f>IF(BB$3="","",IFERROR(LEFT(TRIM(INDEX(Forms貼り付け!$A:$AZ,157,BB$3)),1),""))</f>
        <v/>
      </c>
      <c r="BC158" s="8">
        <f>IF(BC$3="","",IFERROR(LEFT(TRIM(INDEX(Forms貼り付け!$A:$AZ,157,BC$3)),1),""))</f>
        <v/>
      </c>
    </row>
    <row r="159">
      <c r="A159" s="8" t="inlineStr">
        <is>
          <t>U155</t>
        </is>
      </c>
      <c r="B159" s="9">
        <f>IF($B$3="","",INDEX(Forms貼り付け!$A:$AZ,158,$B$3))</f>
        <v/>
      </c>
      <c r="C159" s="9">
        <f>IF($C$3="","",INDEX(Forms貼り付け!$A:$AZ,158,$C$3))</f>
        <v/>
      </c>
      <c r="D159" s="8">
        <f>IF($D$3="","",INDEX(Forms貼り付け!$A:$AZ,158,$D$3))</f>
        <v/>
      </c>
      <c r="E159" s="8">
        <f>IF($E$3="","",INDEX(Forms貼り付け!$A:$AZ,158,$E$3))</f>
        <v/>
      </c>
      <c r="F159" s="8">
        <f>IF(F$3="","",IFERROR(LEFT(TRIM(INDEX(Forms貼り付け!$A:$AZ,158,F$3)),1),""))</f>
        <v/>
      </c>
      <c r="G159" s="8">
        <f>IF(G$3="","",IFERROR(LEFT(TRIM(INDEX(Forms貼り付け!$A:$AZ,158,G$3)),1),""))</f>
        <v/>
      </c>
      <c r="H159" s="8">
        <f>IF(H$3="","",IFERROR(LEFT(TRIM(INDEX(Forms貼り付け!$A:$AZ,158,H$3)),1),""))</f>
        <v/>
      </c>
      <c r="I159" s="8">
        <f>IF(I$3="","",IFERROR(LEFT(TRIM(INDEX(Forms貼り付け!$A:$AZ,158,I$3)),1),""))</f>
        <v/>
      </c>
      <c r="J159" s="8">
        <f>IF(J$3="","",IFERROR(LEFT(TRIM(INDEX(Forms貼り付け!$A:$AZ,158,J$3)),1),""))</f>
        <v/>
      </c>
      <c r="K159" s="8">
        <f>IF(K$3="","",IFERROR(LEFT(TRIM(INDEX(Forms貼り付け!$A:$AZ,158,K$3)),1),""))</f>
        <v/>
      </c>
      <c r="L159" s="8">
        <f>IF(L$3="","",IFERROR(LEFT(TRIM(INDEX(Forms貼り付け!$A:$AZ,158,L$3)),1),""))</f>
        <v/>
      </c>
      <c r="M159" s="8">
        <f>IF(M$3="","",IFERROR(LEFT(TRIM(INDEX(Forms貼り付け!$A:$AZ,158,M$3)),1),""))</f>
        <v/>
      </c>
      <c r="N159" s="8">
        <f>IF(N$3="","",IFERROR(LEFT(TRIM(INDEX(Forms貼り付け!$A:$AZ,158,N$3)),1),""))</f>
        <v/>
      </c>
      <c r="O159" s="8">
        <f>IF(O$3="","",IFERROR(LEFT(TRIM(INDEX(Forms貼り付け!$A:$AZ,158,O$3)),1),""))</f>
        <v/>
      </c>
      <c r="P159" s="8">
        <f>IF(P$3="","",IFERROR(LEFT(TRIM(INDEX(Forms貼り付け!$A:$AZ,158,P$3)),1),""))</f>
        <v/>
      </c>
      <c r="Q159" s="8">
        <f>IF(Q$3="","",IFERROR(LEFT(TRIM(INDEX(Forms貼り付け!$A:$AZ,158,Q$3)),1),""))</f>
        <v/>
      </c>
      <c r="R159" s="8">
        <f>IF(R$3="","",IFERROR(LEFT(TRIM(INDEX(Forms貼り付け!$A:$AZ,158,R$3)),1),""))</f>
        <v/>
      </c>
      <c r="S159" s="8">
        <f>IF(S$3="","",IFERROR(LEFT(TRIM(INDEX(Forms貼り付け!$A:$AZ,158,S$3)),1),""))</f>
        <v/>
      </c>
      <c r="T159" s="8">
        <f>IF(T$3="","",IFERROR(LEFT(TRIM(INDEX(Forms貼り付け!$A:$AZ,158,T$3)),1),""))</f>
        <v/>
      </c>
      <c r="U159" s="8">
        <f>IF(U$3="","",IFERROR(LEFT(TRIM(INDEX(Forms貼り付け!$A:$AZ,158,U$3)),1),""))</f>
        <v/>
      </c>
      <c r="V159" s="8">
        <f>IF(V$3="","",IFERROR(LEFT(TRIM(INDEX(Forms貼り付け!$A:$AZ,158,V$3)),1),""))</f>
        <v/>
      </c>
      <c r="W159" s="8">
        <f>IF(W$3="","",IFERROR(LEFT(TRIM(INDEX(Forms貼り付け!$A:$AZ,158,W$3)),1),""))</f>
        <v/>
      </c>
      <c r="X159" s="8">
        <f>IF(X$3="","",IFERROR(LEFT(TRIM(INDEX(Forms貼り付け!$A:$AZ,158,X$3)),1),""))</f>
        <v/>
      </c>
      <c r="Y159" s="8">
        <f>IF(Y$3="","",IFERROR(LEFT(TRIM(INDEX(Forms貼り付け!$A:$AZ,158,Y$3)),1),""))</f>
        <v/>
      </c>
      <c r="Z159" s="8">
        <f>IF(Z$3="","",IFERROR(LEFT(TRIM(INDEX(Forms貼り付け!$A:$AZ,158,Z$3)),1),""))</f>
        <v/>
      </c>
      <c r="AA159" s="8">
        <f>IF(AA$3="","",IFERROR(LEFT(TRIM(INDEX(Forms貼り付け!$A:$AZ,158,AA$3)),1),""))</f>
        <v/>
      </c>
      <c r="AB159" s="8">
        <f>IF(AB$3="","",IFERROR(LEFT(TRIM(INDEX(Forms貼り付け!$A:$AZ,158,AB$3)),1),""))</f>
        <v/>
      </c>
      <c r="AC159" s="8">
        <f>IF(AC$3="","",IFERROR(LEFT(TRIM(INDEX(Forms貼り付け!$A:$AZ,158,AC$3)),1),""))</f>
        <v/>
      </c>
      <c r="AD159" s="8">
        <f>IF(AD$3="","",IFERROR(LEFT(TRIM(INDEX(Forms貼り付け!$A:$AZ,158,AD$3)),1),""))</f>
        <v/>
      </c>
      <c r="AE159" s="8">
        <f>IF(AE$3="","",IFERROR(LEFT(TRIM(INDEX(Forms貼り付け!$A:$AZ,158,AE$3)),1),""))</f>
        <v/>
      </c>
      <c r="AF159" s="8">
        <f>IF(AF$3="","",IFERROR(LEFT(TRIM(INDEX(Forms貼り付け!$A:$AZ,158,AF$3)),1),""))</f>
        <v/>
      </c>
      <c r="AG159" s="8">
        <f>IF(AG$3="","",IFERROR(LEFT(TRIM(INDEX(Forms貼り付け!$A:$AZ,158,AG$3)),1),""))</f>
        <v/>
      </c>
      <c r="AH159" s="8">
        <f>IF(AH$3="","",IFERROR(LEFT(TRIM(INDEX(Forms貼り付け!$A:$AZ,158,AH$3)),1),""))</f>
        <v/>
      </c>
      <c r="AI159" s="8">
        <f>IF(AI$3="","",IFERROR(LEFT(TRIM(INDEX(Forms貼り付け!$A:$AZ,158,AI$3)),1),""))</f>
        <v/>
      </c>
      <c r="AJ159" s="8">
        <f>IF(AJ$3="","",IFERROR(LEFT(TRIM(INDEX(Forms貼り付け!$A:$AZ,158,AJ$3)),1),""))</f>
        <v/>
      </c>
      <c r="AK159" s="8">
        <f>IF(AK$3="","",IFERROR(LEFT(TRIM(INDEX(Forms貼り付け!$A:$AZ,158,AK$3)),1),""))</f>
        <v/>
      </c>
      <c r="AL159" s="8">
        <f>IF(AL$3="","",IFERROR(LEFT(TRIM(INDEX(Forms貼り付け!$A:$AZ,158,AL$3)),1),""))</f>
        <v/>
      </c>
      <c r="AM159" s="8">
        <f>IF(AM$3="","",IFERROR(LEFT(TRIM(INDEX(Forms貼り付け!$A:$AZ,158,AM$3)),1),""))</f>
        <v/>
      </c>
      <c r="AN159" s="8">
        <f>IF(AN$3="","",IFERROR(LEFT(TRIM(INDEX(Forms貼り付け!$A:$AZ,158,AN$3)),1),""))</f>
        <v/>
      </c>
      <c r="AO159" s="8">
        <f>IF(AO$3="","",IFERROR(LEFT(TRIM(INDEX(Forms貼り付け!$A:$AZ,158,AO$3)),1),""))</f>
        <v/>
      </c>
      <c r="AP159" s="8">
        <f>IF(AP$3="","",IFERROR(LEFT(TRIM(INDEX(Forms貼り付け!$A:$AZ,158,AP$3)),1),""))</f>
        <v/>
      </c>
      <c r="AQ159" s="8">
        <f>IF(AQ$3="","",IFERROR(LEFT(TRIM(INDEX(Forms貼り付け!$A:$AZ,158,AQ$3)),1),""))</f>
        <v/>
      </c>
      <c r="AR159" s="8">
        <f>IF(AR$3="","",IFERROR(LEFT(TRIM(INDEX(Forms貼り付け!$A:$AZ,158,AR$3)),1),""))</f>
        <v/>
      </c>
      <c r="AS159" s="8">
        <f>IF(AS$3="","",IFERROR(LEFT(TRIM(INDEX(Forms貼り付け!$A:$AZ,158,AS$3)),1),""))</f>
        <v/>
      </c>
      <c r="AT159" s="8">
        <f>IF(AT$3="","",IFERROR(LEFT(TRIM(INDEX(Forms貼り付け!$A:$AZ,158,AT$3)),1),""))</f>
        <v/>
      </c>
      <c r="AU159" s="8">
        <f>IF(AU$3="","",IFERROR(LEFT(TRIM(INDEX(Forms貼り付け!$A:$AZ,158,AU$3)),1),""))</f>
        <v/>
      </c>
      <c r="AV159" s="8">
        <f>IF(AV$3="","",IFERROR(LEFT(TRIM(INDEX(Forms貼り付け!$A:$AZ,158,AV$3)),1),""))</f>
        <v/>
      </c>
      <c r="AW159" s="8">
        <f>IF(AW$3="","",IFERROR(LEFT(TRIM(INDEX(Forms貼り付け!$A:$AZ,158,AW$3)),1),""))</f>
        <v/>
      </c>
      <c r="AX159" s="8">
        <f>IF(AX$3="","",IFERROR(LEFT(TRIM(INDEX(Forms貼り付け!$A:$AZ,158,AX$3)),1),""))</f>
        <v/>
      </c>
      <c r="AY159" s="8">
        <f>IF(AY$3="","",IFERROR(LEFT(TRIM(INDEX(Forms貼り付け!$A:$AZ,158,AY$3)),1),""))</f>
        <v/>
      </c>
      <c r="AZ159" s="8">
        <f>IF(AZ$3="","",IFERROR(LEFT(TRIM(INDEX(Forms貼り付け!$A:$AZ,158,AZ$3)),1),""))</f>
        <v/>
      </c>
      <c r="BA159" s="8">
        <f>IF(BA$3="","",IFERROR(LEFT(TRIM(INDEX(Forms貼り付け!$A:$AZ,158,BA$3)),1),""))</f>
        <v/>
      </c>
      <c r="BB159" s="8">
        <f>IF(BB$3="","",IFERROR(LEFT(TRIM(INDEX(Forms貼り付け!$A:$AZ,158,BB$3)),1),""))</f>
        <v/>
      </c>
      <c r="BC159" s="8">
        <f>IF(BC$3="","",IFERROR(LEFT(TRIM(INDEX(Forms貼り付け!$A:$AZ,158,BC$3)),1),""))</f>
        <v/>
      </c>
    </row>
    <row r="160">
      <c r="A160" s="8" t="inlineStr">
        <is>
          <t>U156</t>
        </is>
      </c>
      <c r="B160" s="9">
        <f>IF($B$3="","",INDEX(Forms貼り付け!$A:$AZ,159,$B$3))</f>
        <v/>
      </c>
      <c r="C160" s="9">
        <f>IF($C$3="","",INDEX(Forms貼り付け!$A:$AZ,159,$C$3))</f>
        <v/>
      </c>
      <c r="D160" s="8">
        <f>IF($D$3="","",INDEX(Forms貼り付け!$A:$AZ,159,$D$3))</f>
        <v/>
      </c>
      <c r="E160" s="8">
        <f>IF($E$3="","",INDEX(Forms貼り付け!$A:$AZ,159,$E$3))</f>
        <v/>
      </c>
      <c r="F160" s="8">
        <f>IF(F$3="","",IFERROR(LEFT(TRIM(INDEX(Forms貼り付け!$A:$AZ,159,F$3)),1),""))</f>
        <v/>
      </c>
      <c r="G160" s="8">
        <f>IF(G$3="","",IFERROR(LEFT(TRIM(INDEX(Forms貼り付け!$A:$AZ,159,G$3)),1),""))</f>
        <v/>
      </c>
      <c r="H160" s="8">
        <f>IF(H$3="","",IFERROR(LEFT(TRIM(INDEX(Forms貼り付け!$A:$AZ,159,H$3)),1),""))</f>
        <v/>
      </c>
      <c r="I160" s="8">
        <f>IF(I$3="","",IFERROR(LEFT(TRIM(INDEX(Forms貼り付け!$A:$AZ,159,I$3)),1),""))</f>
        <v/>
      </c>
      <c r="J160" s="8">
        <f>IF(J$3="","",IFERROR(LEFT(TRIM(INDEX(Forms貼り付け!$A:$AZ,159,J$3)),1),""))</f>
        <v/>
      </c>
      <c r="K160" s="8">
        <f>IF(K$3="","",IFERROR(LEFT(TRIM(INDEX(Forms貼り付け!$A:$AZ,159,K$3)),1),""))</f>
        <v/>
      </c>
      <c r="L160" s="8">
        <f>IF(L$3="","",IFERROR(LEFT(TRIM(INDEX(Forms貼り付け!$A:$AZ,159,L$3)),1),""))</f>
        <v/>
      </c>
      <c r="M160" s="8">
        <f>IF(M$3="","",IFERROR(LEFT(TRIM(INDEX(Forms貼り付け!$A:$AZ,159,M$3)),1),""))</f>
        <v/>
      </c>
      <c r="N160" s="8">
        <f>IF(N$3="","",IFERROR(LEFT(TRIM(INDEX(Forms貼り付け!$A:$AZ,159,N$3)),1),""))</f>
        <v/>
      </c>
      <c r="O160" s="8">
        <f>IF(O$3="","",IFERROR(LEFT(TRIM(INDEX(Forms貼り付け!$A:$AZ,159,O$3)),1),""))</f>
        <v/>
      </c>
      <c r="P160" s="8">
        <f>IF(P$3="","",IFERROR(LEFT(TRIM(INDEX(Forms貼り付け!$A:$AZ,159,P$3)),1),""))</f>
        <v/>
      </c>
      <c r="Q160" s="8">
        <f>IF(Q$3="","",IFERROR(LEFT(TRIM(INDEX(Forms貼り付け!$A:$AZ,159,Q$3)),1),""))</f>
        <v/>
      </c>
      <c r="R160" s="8">
        <f>IF(R$3="","",IFERROR(LEFT(TRIM(INDEX(Forms貼り付け!$A:$AZ,159,R$3)),1),""))</f>
        <v/>
      </c>
      <c r="S160" s="8">
        <f>IF(S$3="","",IFERROR(LEFT(TRIM(INDEX(Forms貼り付け!$A:$AZ,159,S$3)),1),""))</f>
        <v/>
      </c>
      <c r="T160" s="8">
        <f>IF(T$3="","",IFERROR(LEFT(TRIM(INDEX(Forms貼り付け!$A:$AZ,159,T$3)),1),""))</f>
        <v/>
      </c>
      <c r="U160" s="8">
        <f>IF(U$3="","",IFERROR(LEFT(TRIM(INDEX(Forms貼り付け!$A:$AZ,159,U$3)),1),""))</f>
        <v/>
      </c>
      <c r="V160" s="8">
        <f>IF(V$3="","",IFERROR(LEFT(TRIM(INDEX(Forms貼り付け!$A:$AZ,159,V$3)),1),""))</f>
        <v/>
      </c>
      <c r="W160" s="8">
        <f>IF(W$3="","",IFERROR(LEFT(TRIM(INDEX(Forms貼り付け!$A:$AZ,159,W$3)),1),""))</f>
        <v/>
      </c>
      <c r="X160" s="8">
        <f>IF(X$3="","",IFERROR(LEFT(TRIM(INDEX(Forms貼り付け!$A:$AZ,159,X$3)),1),""))</f>
        <v/>
      </c>
      <c r="Y160" s="8">
        <f>IF(Y$3="","",IFERROR(LEFT(TRIM(INDEX(Forms貼り付け!$A:$AZ,159,Y$3)),1),""))</f>
        <v/>
      </c>
      <c r="Z160" s="8">
        <f>IF(Z$3="","",IFERROR(LEFT(TRIM(INDEX(Forms貼り付け!$A:$AZ,159,Z$3)),1),""))</f>
        <v/>
      </c>
      <c r="AA160" s="8">
        <f>IF(AA$3="","",IFERROR(LEFT(TRIM(INDEX(Forms貼り付け!$A:$AZ,159,AA$3)),1),""))</f>
        <v/>
      </c>
      <c r="AB160" s="8">
        <f>IF(AB$3="","",IFERROR(LEFT(TRIM(INDEX(Forms貼り付け!$A:$AZ,159,AB$3)),1),""))</f>
        <v/>
      </c>
      <c r="AC160" s="8">
        <f>IF(AC$3="","",IFERROR(LEFT(TRIM(INDEX(Forms貼り付け!$A:$AZ,159,AC$3)),1),""))</f>
        <v/>
      </c>
      <c r="AD160" s="8">
        <f>IF(AD$3="","",IFERROR(LEFT(TRIM(INDEX(Forms貼り付け!$A:$AZ,159,AD$3)),1),""))</f>
        <v/>
      </c>
      <c r="AE160" s="8">
        <f>IF(AE$3="","",IFERROR(LEFT(TRIM(INDEX(Forms貼り付け!$A:$AZ,159,AE$3)),1),""))</f>
        <v/>
      </c>
      <c r="AF160" s="8">
        <f>IF(AF$3="","",IFERROR(LEFT(TRIM(INDEX(Forms貼り付け!$A:$AZ,159,AF$3)),1),""))</f>
        <v/>
      </c>
      <c r="AG160" s="8">
        <f>IF(AG$3="","",IFERROR(LEFT(TRIM(INDEX(Forms貼り付け!$A:$AZ,159,AG$3)),1),""))</f>
        <v/>
      </c>
      <c r="AH160" s="8">
        <f>IF(AH$3="","",IFERROR(LEFT(TRIM(INDEX(Forms貼り付け!$A:$AZ,159,AH$3)),1),""))</f>
        <v/>
      </c>
      <c r="AI160" s="8">
        <f>IF(AI$3="","",IFERROR(LEFT(TRIM(INDEX(Forms貼り付け!$A:$AZ,159,AI$3)),1),""))</f>
        <v/>
      </c>
      <c r="AJ160" s="8">
        <f>IF(AJ$3="","",IFERROR(LEFT(TRIM(INDEX(Forms貼り付け!$A:$AZ,159,AJ$3)),1),""))</f>
        <v/>
      </c>
      <c r="AK160" s="8">
        <f>IF(AK$3="","",IFERROR(LEFT(TRIM(INDEX(Forms貼り付け!$A:$AZ,159,AK$3)),1),""))</f>
        <v/>
      </c>
      <c r="AL160" s="8">
        <f>IF(AL$3="","",IFERROR(LEFT(TRIM(INDEX(Forms貼り付け!$A:$AZ,159,AL$3)),1),""))</f>
        <v/>
      </c>
      <c r="AM160" s="8">
        <f>IF(AM$3="","",IFERROR(LEFT(TRIM(INDEX(Forms貼り付け!$A:$AZ,159,AM$3)),1),""))</f>
        <v/>
      </c>
      <c r="AN160" s="8">
        <f>IF(AN$3="","",IFERROR(LEFT(TRIM(INDEX(Forms貼り付け!$A:$AZ,159,AN$3)),1),""))</f>
        <v/>
      </c>
      <c r="AO160" s="8">
        <f>IF(AO$3="","",IFERROR(LEFT(TRIM(INDEX(Forms貼り付け!$A:$AZ,159,AO$3)),1),""))</f>
        <v/>
      </c>
      <c r="AP160" s="8">
        <f>IF(AP$3="","",IFERROR(LEFT(TRIM(INDEX(Forms貼り付け!$A:$AZ,159,AP$3)),1),""))</f>
        <v/>
      </c>
      <c r="AQ160" s="8">
        <f>IF(AQ$3="","",IFERROR(LEFT(TRIM(INDEX(Forms貼り付け!$A:$AZ,159,AQ$3)),1),""))</f>
        <v/>
      </c>
      <c r="AR160" s="8">
        <f>IF(AR$3="","",IFERROR(LEFT(TRIM(INDEX(Forms貼り付け!$A:$AZ,159,AR$3)),1),""))</f>
        <v/>
      </c>
      <c r="AS160" s="8">
        <f>IF(AS$3="","",IFERROR(LEFT(TRIM(INDEX(Forms貼り付け!$A:$AZ,159,AS$3)),1),""))</f>
        <v/>
      </c>
      <c r="AT160" s="8">
        <f>IF(AT$3="","",IFERROR(LEFT(TRIM(INDEX(Forms貼り付け!$A:$AZ,159,AT$3)),1),""))</f>
        <v/>
      </c>
      <c r="AU160" s="8">
        <f>IF(AU$3="","",IFERROR(LEFT(TRIM(INDEX(Forms貼り付け!$A:$AZ,159,AU$3)),1),""))</f>
        <v/>
      </c>
      <c r="AV160" s="8">
        <f>IF(AV$3="","",IFERROR(LEFT(TRIM(INDEX(Forms貼り付け!$A:$AZ,159,AV$3)),1),""))</f>
        <v/>
      </c>
      <c r="AW160" s="8">
        <f>IF(AW$3="","",IFERROR(LEFT(TRIM(INDEX(Forms貼り付け!$A:$AZ,159,AW$3)),1),""))</f>
        <v/>
      </c>
      <c r="AX160" s="8">
        <f>IF(AX$3="","",IFERROR(LEFT(TRIM(INDEX(Forms貼り付け!$A:$AZ,159,AX$3)),1),""))</f>
        <v/>
      </c>
      <c r="AY160" s="8">
        <f>IF(AY$3="","",IFERROR(LEFT(TRIM(INDEX(Forms貼り付け!$A:$AZ,159,AY$3)),1),""))</f>
        <v/>
      </c>
      <c r="AZ160" s="8">
        <f>IF(AZ$3="","",IFERROR(LEFT(TRIM(INDEX(Forms貼り付け!$A:$AZ,159,AZ$3)),1),""))</f>
        <v/>
      </c>
      <c r="BA160" s="8">
        <f>IF(BA$3="","",IFERROR(LEFT(TRIM(INDEX(Forms貼り付け!$A:$AZ,159,BA$3)),1),""))</f>
        <v/>
      </c>
      <c r="BB160" s="8">
        <f>IF(BB$3="","",IFERROR(LEFT(TRIM(INDEX(Forms貼り付け!$A:$AZ,159,BB$3)),1),""))</f>
        <v/>
      </c>
      <c r="BC160" s="8">
        <f>IF(BC$3="","",IFERROR(LEFT(TRIM(INDEX(Forms貼り付け!$A:$AZ,159,BC$3)),1),""))</f>
        <v/>
      </c>
    </row>
    <row r="161">
      <c r="A161" s="8" t="inlineStr">
        <is>
          <t>U157</t>
        </is>
      </c>
      <c r="B161" s="9">
        <f>IF($B$3="","",INDEX(Forms貼り付け!$A:$AZ,160,$B$3))</f>
        <v/>
      </c>
      <c r="C161" s="9">
        <f>IF($C$3="","",INDEX(Forms貼り付け!$A:$AZ,160,$C$3))</f>
        <v/>
      </c>
      <c r="D161" s="8">
        <f>IF($D$3="","",INDEX(Forms貼り付け!$A:$AZ,160,$D$3))</f>
        <v/>
      </c>
      <c r="E161" s="8">
        <f>IF($E$3="","",INDEX(Forms貼り付け!$A:$AZ,160,$E$3))</f>
        <v/>
      </c>
      <c r="F161" s="8">
        <f>IF(F$3="","",IFERROR(LEFT(TRIM(INDEX(Forms貼り付け!$A:$AZ,160,F$3)),1),""))</f>
        <v/>
      </c>
      <c r="G161" s="8">
        <f>IF(G$3="","",IFERROR(LEFT(TRIM(INDEX(Forms貼り付け!$A:$AZ,160,G$3)),1),""))</f>
        <v/>
      </c>
      <c r="H161" s="8">
        <f>IF(H$3="","",IFERROR(LEFT(TRIM(INDEX(Forms貼り付け!$A:$AZ,160,H$3)),1),""))</f>
        <v/>
      </c>
      <c r="I161" s="8">
        <f>IF(I$3="","",IFERROR(LEFT(TRIM(INDEX(Forms貼り付け!$A:$AZ,160,I$3)),1),""))</f>
        <v/>
      </c>
      <c r="J161" s="8">
        <f>IF(J$3="","",IFERROR(LEFT(TRIM(INDEX(Forms貼り付け!$A:$AZ,160,J$3)),1),""))</f>
        <v/>
      </c>
      <c r="K161" s="8">
        <f>IF(K$3="","",IFERROR(LEFT(TRIM(INDEX(Forms貼り付け!$A:$AZ,160,K$3)),1),""))</f>
        <v/>
      </c>
      <c r="L161" s="8">
        <f>IF(L$3="","",IFERROR(LEFT(TRIM(INDEX(Forms貼り付け!$A:$AZ,160,L$3)),1),""))</f>
        <v/>
      </c>
      <c r="M161" s="8">
        <f>IF(M$3="","",IFERROR(LEFT(TRIM(INDEX(Forms貼り付け!$A:$AZ,160,M$3)),1),""))</f>
        <v/>
      </c>
      <c r="N161" s="8">
        <f>IF(N$3="","",IFERROR(LEFT(TRIM(INDEX(Forms貼り付け!$A:$AZ,160,N$3)),1),""))</f>
        <v/>
      </c>
      <c r="O161" s="8">
        <f>IF(O$3="","",IFERROR(LEFT(TRIM(INDEX(Forms貼り付け!$A:$AZ,160,O$3)),1),""))</f>
        <v/>
      </c>
      <c r="P161" s="8">
        <f>IF(P$3="","",IFERROR(LEFT(TRIM(INDEX(Forms貼り付け!$A:$AZ,160,P$3)),1),""))</f>
        <v/>
      </c>
      <c r="Q161" s="8">
        <f>IF(Q$3="","",IFERROR(LEFT(TRIM(INDEX(Forms貼り付け!$A:$AZ,160,Q$3)),1),""))</f>
        <v/>
      </c>
      <c r="R161" s="8">
        <f>IF(R$3="","",IFERROR(LEFT(TRIM(INDEX(Forms貼り付け!$A:$AZ,160,R$3)),1),""))</f>
        <v/>
      </c>
      <c r="S161" s="8">
        <f>IF(S$3="","",IFERROR(LEFT(TRIM(INDEX(Forms貼り付け!$A:$AZ,160,S$3)),1),""))</f>
        <v/>
      </c>
      <c r="T161" s="8">
        <f>IF(T$3="","",IFERROR(LEFT(TRIM(INDEX(Forms貼り付け!$A:$AZ,160,T$3)),1),""))</f>
        <v/>
      </c>
      <c r="U161" s="8">
        <f>IF(U$3="","",IFERROR(LEFT(TRIM(INDEX(Forms貼り付け!$A:$AZ,160,U$3)),1),""))</f>
        <v/>
      </c>
      <c r="V161" s="8">
        <f>IF(V$3="","",IFERROR(LEFT(TRIM(INDEX(Forms貼り付け!$A:$AZ,160,V$3)),1),""))</f>
        <v/>
      </c>
      <c r="W161" s="8">
        <f>IF(W$3="","",IFERROR(LEFT(TRIM(INDEX(Forms貼り付け!$A:$AZ,160,W$3)),1),""))</f>
        <v/>
      </c>
      <c r="X161" s="8">
        <f>IF(X$3="","",IFERROR(LEFT(TRIM(INDEX(Forms貼り付け!$A:$AZ,160,X$3)),1),""))</f>
        <v/>
      </c>
      <c r="Y161" s="8">
        <f>IF(Y$3="","",IFERROR(LEFT(TRIM(INDEX(Forms貼り付け!$A:$AZ,160,Y$3)),1),""))</f>
        <v/>
      </c>
      <c r="Z161" s="8">
        <f>IF(Z$3="","",IFERROR(LEFT(TRIM(INDEX(Forms貼り付け!$A:$AZ,160,Z$3)),1),""))</f>
        <v/>
      </c>
      <c r="AA161" s="8">
        <f>IF(AA$3="","",IFERROR(LEFT(TRIM(INDEX(Forms貼り付け!$A:$AZ,160,AA$3)),1),""))</f>
        <v/>
      </c>
      <c r="AB161" s="8">
        <f>IF(AB$3="","",IFERROR(LEFT(TRIM(INDEX(Forms貼り付け!$A:$AZ,160,AB$3)),1),""))</f>
        <v/>
      </c>
      <c r="AC161" s="8">
        <f>IF(AC$3="","",IFERROR(LEFT(TRIM(INDEX(Forms貼り付け!$A:$AZ,160,AC$3)),1),""))</f>
        <v/>
      </c>
      <c r="AD161" s="8">
        <f>IF(AD$3="","",IFERROR(LEFT(TRIM(INDEX(Forms貼り付け!$A:$AZ,160,AD$3)),1),""))</f>
        <v/>
      </c>
      <c r="AE161" s="8">
        <f>IF(AE$3="","",IFERROR(LEFT(TRIM(INDEX(Forms貼り付け!$A:$AZ,160,AE$3)),1),""))</f>
        <v/>
      </c>
      <c r="AF161" s="8">
        <f>IF(AF$3="","",IFERROR(LEFT(TRIM(INDEX(Forms貼り付け!$A:$AZ,160,AF$3)),1),""))</f>
        <v/>
      </c>
      <c r="AG161" s="8">
        <f>IF(AG$3="","",IFERROR(LEFT(TRIM(INDEX(Forms貼り付け!$A:$AZ,160,AG$3)),1),""))</f>
        <v/>
      </c>
      <c r="AH161" s="8">
        <f>IF(AH$3="","",IFERROR(LEFT(TRIM(INDEX(Forms貼り付け!$A:$AZ,160,AH$3)),1),""))</f>
        <v/>
      </c>
      <c r="AI161" s="8">
        <f>IF(AI$3="","",IFERROR(LEFT(TRIM(INDEX(Forms貼り付け!$A:$AZ,160,AI$3)),1),""))</f>
        <v/>
      </c>
      <c r="AJ161" s="8">
        <f>IF(AJ$3="","",IFERROR(LEFT(TRIM(INDEX(Forms貼り付け!$A:$AZ,160,AJ$3)),1),""))</f>
        <v/>
      </c>
      <c r="AK161" s="8">
        <f>IF(AK$3="","",IFERROR(LEFT(TRIM(INDEX(Forms貼り付け!$A:$AZ,160,AK$3)),1),""))</f>
        <v/>
      </c>
      <c r="AL161" s="8">
        <f>IF(AL$3="","",IFERROR(LEFT(TRIM(INDEX(Forms貼り付け!$A:$AZ,160,AL$3)),1),""))</f>
        <v/>
      </c>
      <c r="AM161" s="8">
        <f>IF(AM$3="","",IFERROR(LEFT(TRIM(INDEX(Forms貼り付け!$A:$AZ,160,AM$3)),1),""))</f>
        <v/>
      </c>
      <c r="AN161" s="8">
        <f>IF(AN$3="","",IFERROR(LEFT(TRIM(INDEX(Forms貼り付け!$A:$AZ,160,AN$3)),1),""))</f>
        <v/>
      </c>
      <c r="AO161" s="8">
        <f>IF(AO$3="","",IFERROR(LEFT(TRIM(INDEX(Forms貼り付け!$A:$AZ,160,AO$3)),1),""))</f>
        <v/>
      </c>
      <c r="AP161" s="8">
        <f>IF(AP$3="","",IFERROR(LEFT(TRIM(INDEX(Forms貼り付け!$A:$AZ,160,AP$3)),1),""))</f>
        <v/>
      </c>
      <c r="AQ161" s="8">
        <f>IF(AQ$3="","",IFERROR(LEFT(TRIM(INDEX(Forms貼り付け!$A:$AZ,160,AQ$3)),1),""))</f>
        <v/>
      </c>
      <c r="AR161" s="8">
        <f>IF(AR$3="","",IFERROR(LEFT(TRIM(INDEX(Forms貼り付け!$A:$AZ,160,AR$3)),1),""))</f>
        <v/>
      </c>
      <c r="AS161" s="8">
        <f>IF(AS$3="","",IFERROR(LEFT(TRIM(INDEX(Forms貼り付け!$A:$AZ,160,AS$3)),1),""))</f>
        <v/>
      </c>
      <c r="AT161" s="8">
        <f>IF(AT$3="","",IFERROR(LEFT(TRIM(INDEX(Forms貼り付け!$A:$AZ,160,AT$3)),1),""))</f>
        <v/>
      </c>
      <c r="AU161" s="8">
        <f>IF(AU$3="","",IFERROR(LEFT(TRIM(INDEX(Forms貼り付け!$A:$AZ,160,AU$3)),1),""))</f>
        <v/>
      </c>
      <c r="AV161" s="8">
        <f>IF(AV$3="","",IFERROR(LEFT(TRIM(INDEX(Forms貼り付け!$A:$AZ,160,AV$3)),1),""))</f>
        <v/>
      </c>
      <c r="AW161" s="8">
        <f>IF(AW$3="","",IFERROR(LEFT(TRIM(INDEX(Forms貼り付け!$A:$AZ,160,AW$3)),1),""))</f>
        <v/>
      </c>
      <c r="AX161" s="8">
        <f>IF(AX$3="","",IFERROR(LEFT(TRIM(INDEX(Forms貼り付け!$A:$AZ,160,AX$3)),1),""))</f>
        <v/>
      </c>
      <c r="AY161" s="8">
        <f>IF(AY$3="","",IFERROR(LEFT(TRIM(INDEX(Forms貼り付け!$A:$AZ,160,AY$3)),1),""))</f>
        <v/>
      </c>
      <c r="AZ161" s="8">
        <f>IF(AZ$3="","",IFERROR(LEFT(TRIM(INDEX(Forms貼り付け!$A:$AZ,160,AZ$3)),1),""))</f>
        <v/>
      </c>
      <c r="BA161" s="8">
        <f>IF(BA$3="","",IFERROR(LEFT(TRIM(INDEX(Forms貼り付け!$A:$AZ,160,BA$3)),1),""))</f>
        <v/>
      </c>
      <c r="BB161" s="8">
        <f>IF(BB$3="","",IFERROR(LEFT(TRIM(INDEX(Forms貼り付け!$A:$AZ,160,BB$3)),1),""))</f>
        <v/>
      </c>
      <c r="BC161" s="8">
        <f>IF(BC$3="","",IFERROR(LEFT(TRIM(INDEX(Forms貼り付け!$A:$AZ,160,BC$3)),1),""))</f>
        <v/>
      </c>
    </row>
    <row r="162">
      <c r="A162" s="8" t="inlineStr">
        <is>
          <t>U158</t>
        </is>
      </c>
      <c r="B162" s="9">
        <f>IF($B$3="","",INDEX(Forms貼り付け!$A:$AZ,161,$B$3))</f>
        <v/>
      </c>
      <c r="C162" s="9">
        <f>IF($C$3="","",INDEX(Forms貼り付け!$A:$AZ,161,$C$3))</f>
        <v/>
      </c>
      <c r="D162" s="8">
        <f>IF($D$3="","",INDEX(Forms貼り付け!$A:$AZ,161,$D$3))</f>
        <v/>
      </c>
      <c r="E162" s="8">
        <f>IF($E$3="","",INDEX(Forms貼り付け!$A:$AZ,161,$E$3))</f>
        <v/>
      </c>
      <c r="F162" s="8">
        <f>IF(F$3="","",IFERROR(LEFT(TRIM(INDEX(Forms貼り付け!$A:$AZ,161,F$3)),1),""))</f>
        <v/>
      </c>
      <c r="G162" s="8">
        <f>IF(G$3="","",IFERROR(LEFT(TRIM(INDEX(Forms貼り付け!$A:$AZ,161,G$3)),1),""))</f>
        <v/>
      </c>
      <c r="H162" s="8">
        <f>IF(H$3="","",IFERROR(LEFT(TRIM(INDEX(Forms貼り付け!$A:$AZ,161,H$3)),1),""))</f>
        <v/>
      </c>
      <c r="I162" s="8">
        <f>IF(I$3="","",IFERROR(LEFT(TRIM(INDEX(Forms貼り付け!$A:$AZ,161,I$3)),1),""))</f>
        <v/>
      </c>
      <c r="J162" s="8">
        <f>IF(J$3="","",IFERROR(LEFT(TRIM(INDEX(Forms貼り付け!$A:$AZ,161,J$3)),1),""))</f>
        <v/>
      </c>
      <c r="K162" s="8">
        <f>IF(K$3="","",IFERROR(LEFT(TRIM(INDEX(Forms貼り付け!$A:$AZ,161,K$3)),1),""))</f>
        <v/>
      </c>
      <c r="L162" s="8">
        <f>IF(L$3="","",IFERROR(LEFT(TRIM(INDEX(Forms貼り付け!$A:$AZ,161,L$3)),1),""))</f>
        <v/>
      </c>
      <c r="M162" s="8">
        <f>IF(M$3="","",IFERROR(LEFT(TRIM(INDEX(Forms貼り付け!$A:$AZ,161,M$3)),1),""))</f>
        <v/>
      </c>
      <c r="N162" s="8">
        <f>IF(N$3="","",IFERROR(LEFT(TRIM(INDEX(Forms貼り付け!$A:$AZ,161,N$3)),1),""))</f>
        <v/>
      </c>
      <c r="O162" s="8">
        <f>IF(O$3="","",IFERROR(LEFT(TRIM(INDEX(Forms貼り付け!$A:$AZ,161,O$3)),1),""))</f>
        <v/>
      </c>
      <c r="P162" s="8">
        <f>IF(P$3="","",IFERROR(LEFT(TRIM(INDEX(Forms貼り付け!$A:$AZ,161,P$3)),1),""))</f>
        <v/>
      </c>
      <c r="Q162" s="8">
        <f>IF(Q$3="","",IFERROR(LEFT(TRIM(INDEX(Forms貼り付け!$A:$AZ,161,Q$3)),1),""))</f>
        <v/>
      </c>
      <c r="R162" s="8">
        <f>IF(R$3="","",IFERROR(LEFT(TRIM(INDEX(Forms貼り付け!$A:$AZ,161,R$3)),1),""))</f>
        <v/>
      </c>
      <c r="S162" s="8">
        <f>IF(S$3="","",IFERROR(LEFT(TRIM(INDEX(Forms貼り付け!$A:$AZ,161,S$3)),1),""))</f>
        <v/>
      </c>
      <c r="T162" s="8">
        <f>IF(T$3="","",IFERROR(LEFT(TRIM(INDEX(Forms貼り付け!$A:$AZ,161,T$3)),1),""))</f>
        <v/>
      </c>
      <c r="U162" s="8">
        <f>IF(U$3="","",IFERROR(LEFT(TRIM(INDEX(Forms貼り付け!$A:$AZ,161,U$3)),1),""))</f>
        <v/>
      </c>
      <c r="V162" s="8">
        <f>IF(V$3="","",IFERROR(LEFT(TRIM(INDEX(Forms貼り付け!$A:$AZ,161,V$3)),1),""))</f>
        <v/>
      </c>
      <c r="W162" s="8">
        <f>IF(W$3="","",IFERROR(LEFT(TRIM(INDEX(Forms貼り付け!$A:$AZ,161,W$3)),1),""))</f>
        <v/>
      </c>
      <c r="X162" s="8">
        <f>IF(X$3="","",IFERROR(LEFT(TRIM(INDEX(Forms貼り付け!$A:$AZ,161,X$3)),1),""))</f>
        <v/>
      </c>
      <c r="Y162" s="8">
        <f>IF(Y$3="","",IFERROR(LEFT(TRIM(INDEX(Forms貼り付け!$A:$AZ,161,Y$3)),1),""))</f>
        <v/>
      </c>
      <c r="Z162" s="8">
        <f>IF(Z$3="","",IFERROR(LEFT(TRIM(INDEX(Forms貼り付け!$A:$AZ,161,Z$3)),1),""))</f>
        <v/>
      </c>
      <c r="AA162" s="8">
        <f>IF(AA$3="","",IFERROR(LEFT(TRIM(INDEX(Forms貼り付け!$A:$AZ,161,AA$3)),1),""))</f>
        <v/>
      </c>
      <c r="AB162" s="8">
        <f>IF(AB$3="","",IFERROR(LEFT(TRIM(INDEX(Forms貼り付け!$A:$AZ,161,AB$3)),1),""))</f>
        <v/>
      </c>
      <c r="AC162" s="8">
        <f>IF(AC$3="","",IFERROR(LEFT(TRIM(INDEX(Forms貼り付け!$A:$AZ,161,AC$3)),1),""))</f>
        <v/>
      </c>
      <c r="AD162" s="8">
        <f>IF(AD$3="","",IFERROR(LEFT(TRIM(INDEX(Forms貼り付け!$A:$AZ,161,AD$3)),1),""))</f>
        <v/>
      </c>
      <c r="AE162" s="8">
        <f>IF(AE$3="","",IFERROR(LEFT(TRIM(INDEX(Forms貼り付け!$A:$AZ,161,AE$3)),1),""))</f>
        <v/>
      </c>
      <c r="AF162" s="8">
        <f>IF(AF$3="","",IFERROR(LEFT(TRIM(INDEX(Forms貼り付け!$A:$AZ,161,AF$3)),1),""))</f>
        <v/>
      </c>
      <c r="AG162" s="8">
        <f>IF(AG$3="","",IFERROR(LEFT(TRIM(INDEX(Forms貼り付け!$A:$AZ,161,AG$3)),1),""))</f>
        <v/>
      </c>
      <c r="AH162" s="8">
        <f>IF(AH$3="","",IFERROR(LEFT(TRIM(INDEX(Forms貼り付け!$A:$AZ,161,AH$3)),1),""))</f>
        <v/>
      </c>
      <c r="AI162" s="8">
        <f>IF(AI$3="","",IFERROR(LEFT(TRIM(INDEX(Forms貼り付け!$A:$AZ,161,AI$3)),1),""))</f>
        <v/>
      </c>
      <c r="AJ162" s="8">
        <f>IF(AJ$3="","",IFERROR(LEFT(TRIM(INDEX(Forms貼り付け!$A:$AZ,161,AJ$3)),1),""))</f>
        <v/>
      </c>
      <c r="AK162" s="8">
        <f>IF(AK$3="","",IFERROR(LEFT(TRIM(INDEX(Forms貼り付け!$A:$AZ,161,AK$3)),1),""))</f>
        <v/>
      </c>
      <c r="AL162" s="8">
        <f>IF(AL$3="","",IFERROR(LEFT(TRIM(INDEX(Forms貼り付け!$A:$AZ,161,AL$3)),1),""))</f>
        <v/>
      </c>
      <c r="AM162" s="8">
        <f>IF(AM$3="","",IFERROR(LEFT(TRIM(INDEX(Forms貼り付け!$A:$AZ,161,AM$3)),1),""))</f>
        <v/>
      </c>
      <c r="AN162" s="8">
        <f>IF(AN$3="","",IFERROR(LEFT(TRIM(INDEX(Forms貼り付け!$A:$AZ,161,AN$3)),1),""))</f>
        <v/>
      </c>
      <c r="AO162" s="8">
        <f>IF(AO$3="","",IFERROR(LEFT(TRIM(INDEX(Forms貼り付け!$A:$AZ,161,AO$3)),1),""))</f>
        <v/>
      </c>
      <c r="AP162" s="8">
        <f>IF(AP$3="","",IFERROR(LEFT(TRIM(INDEX(Forms貼り付け!$A:$AZ,161,AP$3)),1),""))</f>
        <v/>
      </c>
      <c r="AQ162" s="8">
        <f>IF(AQ$3="","",IFERROR(LEFT(TRIM(INDEX(Forms貼り付け!$A:$AZ,161,AQ$3)),1),""))</f>
        <v/>
      </c>
      <c r="AR162" s="8">
        <f>IF(AR$3="","",IFERROR(LEFT(TRIM(INDEX(Forms貼り付け!$A:$AZ,161,AR$3)),1),""))</f>
        <v/>
      </c>
      <c r="AS162" s="8">
        <f>IF(AS$3="","",IFERROR(LEFT(TRIM(INDEX(Forms貼り付け!$A:$AZ,161,AS$3)),1),""))</f>
        <v/>
      </c>
      <c r="AT162" s="8">
        <f>IF(AT$3="","",IFERROR(LEFT(TRIM(INDEX(Forms貼り付け!$A:$AZ,161,AT$3)),1),""))</f>
        <v/>
      </c>
      <c r="AU162" s="8">
        <f>IF(AU$3="","",IFERROR(LEFT(TRIM(INDEX(Forms貼り付け!$A:$AZ,161,AU$3)),1),""))</f>
        <v/>
      </c>
      <c r="AV162" s="8">
        <f>IF(AV$3="","",IFERROR(LEFT(TRIM(INDEX(Forms貼り付け!$A:$AZ,161,AV$3)),1),""))</f>
        <v/>
      </c>
      <c r="AW162" s="8">
        <f>IF(AW$3="","",IFERROR(LEFT(TRIM(INDEX(Forms貼り付け!$A:$AZ,161,AW$3)),1),""))</f>
        <v/>
      </c>
      <c r="AX162" s="8">
        <f>IF(AX$3="","",IFERROR(LEFT(TRIM(INDEX(Forms貼り付け!$A:$AZ,161,AX$3)),1),""))</f>
        <v/>
      </c>
      <c r="AY162" s="8">
        <f>IF(AY$3="","",IFERROR(LEFT(TRIM(INDEX(Forms貼り付け!$A:$AZ,161,AY$3)),1),""))</f>
        <v/>
      </c>
      <c r="AZ162" s="8">
        <f>IF(AZ$3="","",IFERROR(LEFT(TRIM(INDEX(Forms貼り付け!$A:$AZ,161,AZ$3)),1),""))</f>
        <v/>
      </c>
      <c r="BA162" s="8">
        <f>IF(BA$3="","",IFERROR(LEFT(TRIM(INDEX(Forms貼り付け!$A:$AZ,161,BA$3)),1),""))</f>
        <v/>
      </c>
      <c r="BB162" s="8">
        <f>IF(BB$3="","",IFERROR(LEFT(TRIM(INDEX(Forms貼り付け!$A:$AZ,161,BB$3)),1),""))</f>
        <v/>
      </c>
      <c r="BC162" s="8">
        <f>IF(BC$3="","",IFERROR(LEFT(TRIM(INDEX(Forms貼り付け!$A:$AZ,161,BC$3)),1),""))</f>
        <v/>
      </c>
    </row>
    <row r="163">
      <c r="A163" s="8" t="inlineStr">
        <is>
          <t>U159</t>
        </is>
      </c>
      <c r="B163" s="9">
        <f>IF($B$3="","",INDEX(Forms貼り付け!$A:$AZ,162,$B$3))</f>
        <v/>
      </c>
      <c r="C163" s="9">
        <f>IF($C$3="","",INDEX(Forms貼り付け!$A:$AZ,162,$C$3))</f>
        <v/>
      </c>
      <c r="D163" s="8">
        <f>IF($D$3="","",INDEX(Forms貼り付け!$A:$AZ,162,$D$3))</f>
        <v/>
      </c>
      <c r="E163" s="8">
        <f>IF($E$3="","",INDEX(Forms貼り付け!$A:$AZ,162,$E$3))</f>
        <v/>
      </c>
      <c r="F163" s="8">
        <f>IF(F$3="","",IFERROR(LEFT(TRIM(INDEX(Forms貼り付け!$A:$AZ,162,F$3)),1),""))</f>
        <v/>
      </c>
      <c r="G163" s="8">
        <f>IF(G$3="","",IFERROR(LEFT(TRIM(INDEX(Forms貼り付け!$A:$AZ,162,G$3)),1),""))</f>
        <v/>
      </c>
      <c r="H163" s="8">
        <f>IF(H$3="","",IFERROR(LEFT(TRIM(INDEX(Forms貼り付け!$A:$AZ,162,H$3)),1),""))</f>
        <v/>
      </c>
      <c r="I163" s="8">
        <f>IF(I$3="","",IFERROR(LEFT(TRIM(INDEX(Forms貼り付け!$A:$AZ,162,I$3)),1),""))</f>
        <v/>
      </c>
      <c r="J163" s="8">
        <f>IF(J$3="","",IFERROR(LEFT(TRIM(INDEX(Forms貼り付け!$A:$AZ,162,J$3)),1),""))</f>
        <v/>
      </c>
      <c r="K163" s="8">
        <f>IF(K$3="","",IFERROR(LEFT(TRIM(INDEX(Forms貼り付け!$A:$AZ,162,K$3)),1),""))</f>
        <v/>
      </c>
      <c r="L163" s="8">
        <f>IF(L$3="","",IFERROR(LEFT(TRIM(INDEX(Forms貼り付け!$A:$AZ,162,L$3)),1),""))</f>
        <v/>
      </c>
      <c r="M163" s="8">
        <f>IF(M$3="","",IFERROR(LEFT(TRIM(INDEX(Forms貼り付け!$A:$AZ,162,M$3)),1),""))</f>
        <v/>
      </c>
      <c r="N163" s="8">
        <f>IF(N$3="","",IFERROR(LEFT(TRIM(INDEX(Forms貼り付け!$A:$AZ,162,N$3)),1),""))</f>
        <v/>
      </c>
      <c r="O163" s="8">
        <f>IF(O$3="","",IFERROR(LEFT(TRIM(INDEX(Forms貼り付け!$A:$AZ,162,O$3)),1),""))</f>
        <v/>
      </c>
      <c r="P163" s="8">
        <f>IF(P$3="","",IFERROR(LEFT(TRIM(INDEX(Forms貼り付け!$A:$AZ,162,P$3)),1),""))</f>
        <v/>
      </c>
      <c r="Q163" s="8">
        <f>IF(Q$3="","",IFERROR(LEFT(TRIM(INDEX(Forms貼り付け!$A:$AZ,162,Q$3)),1),""))</f>
        <v/>
      </c>
      <c r="R163" s="8">
        <f>IF(R$3="","",IFERROR(LEFT(TRIM(INDEX(Forms貼り付け!$A:$AZ,162,R$3)),1),""))</f>
        <v/>
      </c>
      <c r="S163" s="8">
        <f>IF(S$3="","",IFERROR(LEFT(TRIM(INDEX(Forms貼り付け!$A:$AZ,162,S$3)),1),""))</f>
        <v/>
      </c>
      <c r="T163" s="8">
        <f>IF(T$3="","",IFERROR(LEFT(TRIM(INDEX(Forms貼り付け!$A:$AZ,162,T$3)),1),""))</f>
        <v/>
      </c>
      <c r="U163" s="8">
        <f>IF(U$3="","",IFERROR(LEFT(TRIM(INDEX(Forms貼り付け!$A:$AZ,162,U$3)),1),""))</f>
        <v/>
      </c>
      <c r="V163" s="8">
        <f>IF(V$3="","",IFERROR(LEFT(TRIM(INDEX(Forms貼り付け!$A:$AZ,162,V$3)),1),""))</f>
        <v/>
      </c>
      <c r="W163" s="8">
        <f>IF(W$3="","",IFERROR(LEFT(TRIM(INDEX(Forms貼り付け!$A:$AZ,162,W$3)),1),""))</f>
        <v/>
      </c>
      <c r="X163" s="8">
        <f>IF(X$3="","",IFERROR(LEFT(TRIM(INDEX(Forms貼り付け!$A:$AZ,162,X$3)),1),""))</f>
        <v/>
      </c>
      <c r="Y163" s="8">
        <f>IF(Y$3="","",IFERROR(LEFT(TRIM(INDEX(Forms貼り付け!$A:$AZ,162,Y$3)),1),""))</f>
        <v/>
      </c>
      <c r="Z163" s="8">
        <f>IF(Z$3="","",IFERROR(LEFT(TRIM(INDEX(Forms貼り付け!$A:$AZ,162,Z$3)),1),""))</f>
        <v/>
      </c>
      <c r="AA163" s="8">
        <f>IF(AA$3="","",IFERROR(LEFT(TRIM(INDEX(Forms貼り付け!$A:$AZ,162,AA$3)),1),""))</f>
        <v/>
      </c>
      <c r="AB163" s="8">
        <f>IF(AB$3="","",IFERROR(LEFT(TRIM(INDEX(Forms貼り付け!$A:$AZ,162,AB$3)),1),""))</f>
        <v/>
      </c>
      <c r="AC163" s="8">
        <f>IF(AC$3="","",IFERROR(LEFT(TRIM(INDEX(Forms貼り付け!$A:$AZ,162,AC$3)),1),""))</f>
        <v/>
      </c>
      <c r="AD163" s="8">
        <f>IF(AD$3="","",IFERROR(LEFT(TRIM(INDEX(Forms貼り付け!$A:$AZ,162,AD$3)),1),""))</f>
        <v/>
      </c>
      <c r="AE163" s="8">
        <f>IF(AE$3="","",IFERROR(LEFT(TRIM(INDEX(Forms貼り付け!$A:$AZ,162,AE$3)),1),""))</f>
        <v/>
      </c>
      <c r="AF163" s="8">
        <f>IF(AF$3="","",IFERROR(LEFT(TRIM(INDEX(Forms貼り付け!$A:$AZ,162,AF$3)),1),""))</f>
        <v/>
      </c>
      <c r="AG163" s="8">
        <f>IF(AG$3="","",IFERROR(LEFT(TRIM(INDEX(Forms貼り付け!$A:$AZ,162,AG$3)),1),""))</f>
        <v/>
      </c>
      <c r="AH163" s="8">
        <f>IF(AH$3="","",IFERROR(LEFT(TRIM(INDEX(Forms貼り付け!$A:$AZ,162,AH$3)),1),""))</f>
        <v/>
      </c>
      <c r="AI163" s="8">
        <f>IF(AI$3="","",IFERROR(LEFT(TRIM(INDEX(Forms貼り付け!$A:$AZ,162,AI$3)),1),""))</f>
        <v/>
      </c>
      <c r="AJ163" s="8">
        <f>IF(AJ$3="","",IFERROR(LEFT(TRIM(INDEX(Forms貼り付け!$A:$AZ,162,AJ$3)),1),""))</f>
        <v/>
      </c>
      <c r="AK163" s="8">
        <f>IF(AK$3="","",IFERROR(LEFT(TRIM(INDEX(Forms貼り付け!$A:$AZ,162,AK$3)),1),""))</f>
        <v/>
      </c>
      <c r="AL163" s="8">
        <f>IF(AL$3="","",IFERROR(LEFT(TRIM(INDEX(Forms貼り付け!$A:$AZ,162,AL$3)),1),""))</f>
        <v/>
      </c>
      <c r="AM163" s="8">
        <f>IF(AM$3="","",IFERROR(LEFT(TRIM(INDEX(Forms貼り付け!$A:$AZ,162,AM$3)),1),""))</f>
        <v/>
      </c>
      <c r="AN163" s="8">
        <f>IF(AN$3="","",IFERROR(LEFT(TRIM(INDEX(Forms貼り付け!$A:$AZ,162,AN$3)),1),""))</f>
        <v/>
      </c>
      <c r="AO163" s="8">
        <f>IF(AO$3="","",IFERROR(LEFT(TRIM(INDEX(Forms貼り付け!$A:$AZ,162,AO$3)),1),""))</f>
        <v/>
      </c>
      <c r="AP163" s="8">
        <f>IF(AP$3="","",IFERROR(LEFT(TRIM(INDEX(Forms貼り付け!$A:$AZ,162,AP$3)),1),""))</f>
        <v/>
      </c>
      <c r="AQ163" s="8">
        <f>IF(AQ$3="","",IFERROR(LEFT(TRIM(INDEX(Forms貼り付け!$A:$AZ,162,AQ$3)),1),""))</f>
        <v/>
      </c>
      <c r="AR163" s="8">
        <f>IF(AR$3="","",IFERROR(LEFT(TRIM(INDEX(Forms貼り付け!$A:$AZ,162,AR$3)),1),""))</f>
        <v/>
      </c>
      <c r="AS163" s="8">
        <f>IF(AS$3="","",IFERROR(LEFT(TRIM(INDEX(Forms貼り付け!$A:$AZ,162,AS$3)),1),""))</f>
        <v/>
      </c>
      <c r="AT163" s="8">
        <f>IF(AT$3="","",IFERROR(LEFT(TRIM(INDEX(Forms貼り付け!$A:$AZ,162,AT$3)),1),""))</f>
        <v/>
      </c>
      <c r="AU163" s="8">
        <f>IF(AU$3="","",IFERROR(LEFT(TRIM(INDEX(Forms貼り付け!$A:$AZ,162,AU$3)),1),""))</f>
        <v/>
      </c>
      <c r="AV163" s="8">
        <f>IF(AV$3="","",IFERROR(LEFT(TRIM(INDEX(Forms貼り付け!$A:$AZ,162,AV$3)),1),""))</f>
        <v/>
      </c>
      <c r="AW163" s="8">
        <f>IF(AW$3="","",IFERROR(LEFT(TRIM(INDEX(Forms貼り付け!$A:$AZ,162,AW$3)),1),""))</f>
        <v/>
      </c>
      <c r="AX163" s="8">
        <f>IF(AX$3="","",IFERROR(LEFT(TRIM(INDEX(Forms貼り付け!$A:$AZ,162,AX$3)),1),""))</f>
        <v/>
      </c>
      <c r="AY163" s="8">
        <f>IF(AY$3="","",IFERROR(LEFT(TRIM(INDEX(Forms貼り付け!$A:$AZ,162,AY$3)),1),""))</f>
        <v/>
      </c>
      <c r="AZ163" s="8">
        <f>IF(AZ$3="","",IFERROR(LEFT(TRIM(INDEX(Forms貼り付け!$A:$AZ,162,AZ$3)),1),""))</f>
        <v/>
      </c>
      <c r="BA163" s="8">
        <f>IF(BA$3="","",IFERROR(LEFT(TRIM(INDEX(Forms貼り付け!$A:$AZ,162,BA$3)),1),""))</f>
        <v/>
      </c>
      <c r="BB163" s="8">
        <f>IF(BB$3="","",IFERROR(LEFT(TRIM(INDEX(Forms貼り付け!$A:$AZ,162,BB$3)),1),""))</f>
        <v/>
      </c>
      <c r="BC163" s="8">
        <f>IF(BC$3="","",IFERROR(LEFT(TRIM(INDEX(Forms貼り付け!$A:$AZ,162,BC$3)),1),""))</f>
        <v/>
      </c>
    </row>
    <row r="164">
      <c r="A164" s="8" t="inlineStr">
        <is>
          <t>U160</t>
        </is>
      </c>
      <c r="B164" s="9">
        <f>IF($B$3="","",INDEX(Forms貼り付け!$A:$AZ,163,$B$3))</f>
        <v/>
      </c>
      <c r="C164" s="9">
        <f>IF($C$3="","",INDEX(Forms貼り付け!$A:$AZ,163,$C$3))</f>
        <v/>
      </c>
      <c r="D164" s="8">
        <f>IF($D$3="","",INDEX(Forms貼り付け!$A:$AZ,163,$D$3))</f>
        <v/>
      </c>
      <c r="E164" s="8">
        <f>IF($E$3="","",INDEX(Forms貼り付け!$A:$AZ,163,$E$3))</f>
        <v/>
      </c>
      <c r="F164" s="8">
        <f>IF(F$3="","",IFERROR(LEFT(TRIM(INDEX(Forms貼り付け!$A:$AZ,163,F$3)),1),""))</f>
        <v/>
      </c>
      <c r="G164" s="8">
        <f>IF(G$3="","",IFERROR(LEFT(TRIM(INDEX(Forms貼り付け!$A:$AZ,163,G$3)),1),""))</f>
        <v/>
      </c>
      <c r="H164" s="8">
        <f>IF(H$3="","",IFERROR(LEFT(TRIM(INDEX(Forms貼り付け!$A:$AZ,163,H$3)),1),""))</f>
        <v/>
      </c>
      <c r="I164" s="8">
        <f>IF(I$3="","",IFERROR(LEFT(TRIM(INDEX(Forms貼り付け!$A:$AZ,163,I$3)),1),""))</f>
        <v/>
      </c>
      <c r="J164" s="8">
        <f>IF(J$3="","",IFERROR(LEFT(TRIM(INDEX(Forms貼り付け!$A:$AZ,163,J$3)),1),""))</f>
        <v/>
      </c>
      <c r="K164" s="8">
        <f>IF(K$3="","",IFERROR(LEFT(TRIM(INDEX(Forms貼り付け!$A:$AZ,163,K$3)),1),""))</f>
        <v/>
      </c>
      <c r="L164" s="8">
        <f>IF(L$3="","",IFERROR(LEFT(TRIM(INDEX(Forms貼り付け!$A:$AZ,163,L$3)),1),""))</f>
        <v/>
      </c>
      <c r="M164" s="8">
        <f>IF(M$3="","",IFERROR(LEFT(TRIM(INDEX(Forms貼り付け!$A:$AZ,163,M$3)),1),""))</f>
        <v/>
      </c>
      <c r="N164" s="8">
        <f>IF(N$3="","",IFERROR(LEFT(TRIM(INDEX(Forms貼り付け!$A:$AZ,163,N$3)),1),""))</f>
        <v/>
      </c>
      <c r="O164" s="8">
        <f>IF(O$3="","",IFERROR(LEFT(TRIM(INDEX(Forms貼り付け!$A:$AZ,163,O$3)),1),""))</f>
        <v/>
      </c>
      <c r="P164" s="8">
        <f>IF(P$3="","",IFERROR(LEFT(TRIM(INDEX(Forms貼り付け!$A:$AZ,163,P$3)),1),""))</f>
        <v/>
      </c>
      <c r="Q164" s="8">
        <f>IF(Q$3="","",IFERROR(LEFT(TRIM(INDEX(Forms貼り付け!$A:$AZ,163,Q$3)),1),""))</f>
        <v/>
      </c>
      <c r="R164" s="8">
        <f>IF(R$3="","",IFERROR(LEFT(TRIM(INDEX(Forms貼り付け!$A:$AZ,163,R$3)),1),""))</f>
        <v/>
      </c>
      <c r="S164" s="8">
        <f>IF(S$3="","",IFERROR(LEFT(TRIM(INDEX(Forms貼り付け!$A:$AZ,163,S$3)),1),""))</f>
        <v/>
      </c>
      <c r="T164" s="8">
        <f>IF(T$3="","",IFERROR(LEFT(TRIM(INDEX(Forms貼り付け!$A:$AZ,163,T$3)),1),""))</f>
        <v/>
      </c>
      <c r="U164" s="8">
        <f>IF(U$3="","",IFERROR(LEFT(TRIM(INDEX(Forms貼り付け!$A:$AZ,163,U$3)),1),""))</f>
        <v/>
      </c>
      <c r="V164" s="8">
        <f>IF(V$3="","",IFERROR(LEFT(TRIM(INDEX(Forms貼り付け!$A:$AZ,163,V$3)),1),""))</f>
        <v/>
      </c>
      <c r="W164" s="8">
        <f>IF(W$3="","",IFERROR(LEFT(TRIM(INDEX(Forms貼り付け!$A:$AZ,163,W$3)),1),""))</f>
        <v/>
      </c>
      <c r="X164" s="8">
        <f>IF(X$3="","",IFERROR(LEFT(TRIM(INDEX(Forms貼り付け!$A:$AZ,163,X$3)),1),""))</f>
        <v/>
      </c>
      <c r="Y164" s="8">
        <f>IF(Y$3="","",IFERROR(LEFT(TRIM(INDEX(Forms貼り付け!$A:$AZ,163,Y$3)),1),""))</f>
        <v/>
      </c>
      <c r="Z164" s="8">
        <f>IF(Z$3="","",IFERROR(LEFT(TRIM(INDEX(Forms貼り付け!$A:$AZ,163,Z$3)),1),""))</f>
        <v/>
      </c>
      <c r="AA164" s="8">
        <f>IF(AA$3="","",IFERROR(LEFT(TRIM(INDEX(Forms貼り付け!$A:$AZ,163,AA$3)),1),""))</f>
        <v/>
      </c>
      <c r="AB164" s="8">
        <f>IF(AB$3="","",IFERROR(LEFT(TRIM(INDEX(Forms貼り付け!$A:$AZ,163,AB$3)),1),""))</f>
        <v/>
      </c>
      <c r="AC164" s="8">
        <f>IF(AC$3="","",IFERROR(LEFT(TRIM(INDEX(Forms貼り付け!$A:$AZ,163,AC$3)),1),""))</f>
        <v/>
      </c>
      <c r="AD164" s="8">
        <f>IF(AD$3="","",IFERROR(LEFT(TRIM(INDEX(Forms貼り付け!$A:$AZ,163,AD$3)),1),""))</f>
        <v/>
      </c>
      <c r="AE164" s="8">
        <f>IF(AE$3="","",IFERROR(LEFT(TRIM(INDEX(Forms貼り付け!$A:$AZ,163,AE$3)),1),""))</f>
        <v/>
      </c>
      <c r="AF164" s="8">
        <f>IF(AF$3="","",IFERROR(LEFT(TRIM(INDEX(Forms貼り付け!$A:$AZ,163,AF$3)),1),""))</f>
        <v/>
      </c>
      <c r="AG164" s="8">
        <f>IF(AG$3="","",IFERROR(LEFT(TRIM(INDEX(Forms貼り付け!$A:$AZ,163,AG$3)),1),""))</f>
        <v/>
      </c>
      <c r="AH164" s="8">
        <f>IF(AH$3="","",IFERROR(LEFT(TRIM(INDEX(Forms貼り付け!$A:$AZ,163,AH$3)),1),""))</f>
        <v/>
      </c>
      <c r="AI164" s="8">
        <f>IF(AI$3="","",IFERROR(LEFT(TRIM(INDEX(Forms貼り付け!$A:$AZ,163,AI$3)),1),""))</f>
        <v/>
      </c>
      <c r="AJ164" s="8">
        <f>IF(AJ$3="","",IFERROR(LEFT(TRIM(INDEX(Forms貼り付け!$A:$AZ,163,AJ$3)),1),""))</f>
        <v/>
      </c>
      <c r="AK164" s="8">
        <f>IF(AK$3="","",IFERROR(LEFT(TRIM(INDEX(Forms貼り付け!$A:$AZ,163,AK$3)),1),""))</f>
        <v/>
      </c>
      <c r="AL164" s="8">
        <f>IF(AL$3="","",IFERROR(LEFT(TRIM(INDEX(Forms貼り付け!$A:$AZ,163,AL$3)),1),""))</f>
        <v/>
      </c>
      <c r="AM164" s="8">
        <f>IF(AM$3="","",IFERROR(LEFT(TRIM(INDEX(Forms貼り付け!$A:$AZ,163,AM$3)),1),""))</f>
        <v/>
      </c>
      <c r="AN164" s="8">
        <f>IF(AN$3="","",IFERROR(LEFT(TRIM(INDEX(Forms貼り付け!$A:$AZ,163,AN$3)),1),""))</f>
        <v/>
      </c>
      <c r="AO164" s="8">
        <f>IF(AO$3="","",IFERROR(LEFT(TRIM(INDEX(Forms貼り付け!$A:$AZ,163,AO$3)),1),""))</f>
        <v/>
      </c>
      <c r="AP164" s="8">
        <f>IF(AP$3="","",IFERROR(LEFT(TRIM(INDEX(Forms貼り付け!$A:$AZ,163,AP$3)),1),""))</f>
        <v/>
      </c>
      <c r="AQ164" s="8">
        <f>IF(AQ$3="","",IFERROR(LEFT(TRIM(INDEX(Forms貼り付け!$A:$AZ,163,AQ$3)),1),""))</f>
        <v/>
      </c>
      <c r="AR164" s="8">
        <f>IF(AR$3="","",IFERROR(LEFT(TRIM(INDEX(Forms貼り付け!$A:$AZ,163,AR$3)),1),""))</f>
        <v/>
      </c>
      <c r="AS164" s="8">
        <f>IF(AS$3="","",IFERROR(LEFT(TRIM(INDEX(Forms貼り付け!$A:$AZ,163,AS$3)),1),""))</f>
        <v/>
      </c>
      <c r="AT164" s="8">
        <f>IF(AT$3="","",IFERROR(LEFT(TRIM(INDEX(Forms貼り付け!$A:$AZ,163,AT$3)),1),""))</f>
        <v/>
      </c>
      <c r="AU164" s="8">
        <f>IF(AU$3="","",IFERROR(LEFT(TRIM(INDEX(Forms貼り付け!$A:$AZ,163,AU$3)),1),""))</f>
        <v/>
      </c>
      <c r="AV164" s="8">
        <f>IF(AV$3="","",IFERROR(LEFT(TRIM(INDEX(Forms貼り付け!$A:$AZ,163,AV$3)),1),""))</f>
        <v/>
      </c>
      <c r="AW164" s="8">
        <f>IF(AW$3="","",IFERROR(LEFT(TRIM(INDEX(Forms貼り付け!$A:$AZ,163,AW$3)),1),""))</f>
        <v/>
      </c>
      <c r="AX164" s="8">
        <f>IF(AX$3="","",IFERROR(LEFT(TRIM(INDEX(Forms貼り付け!$A:$AZ,163,AX$3)),1),""))</f>
        <v/>
      </c>
      <c r="AY164" s="8">
        <f>IF(AY$3="","",IFERROR(LEFT(TRIM(INDEX(Forms貼り付け!$A:$AZ,163,AY$3)),1),""))</f>
        <v/>
      </c>
      <c r="AZ164" s="8">
        <f>IF(AZ$3="","",IFERROR(LEFT(TRIM(INDEX(Forms貼り付け!$A:$AZ,163,AZ$3)),1),""))</f>
        <v/>
      </c>
      <c r="BA164" s="8">
        <f>IF(BA$3="","",IFERROR(LEFT(TRIM(INDEX(Forms貼り付け!$A:$AZ,163,BA$3)),1),""))</f>
        <v/>
      </c>
      <c r="BB164" s="8">
        <f>IF(BB$3="","",IFERROR(LEFT(TRIM(INDEX(Forms貼り付け!$A:$AZ,163,BB$3)),1),""))</f>
        <v/>
      </c>
      <c r="BC164" s="8">
        <f>IF(BC$3="","",IFERROR(LEFT(TRIM(INDEX(Forms貼り付け!$A:$AZ,163,BC$3)),1),""))</f>
        <v/>
      </c>
    </row>
    <row r="165">
      <c r="A165" s="8" t="inlineStr">
        <is>
          <t>U161</t>
        </is>
      </c>
      <c r="B165" s="9">
        <f>IF($B$3="","",INDEX(Forms貼り付け!$A:$AZ,164,$B$3))</f>
        <v/>
      </c>
      <c r="C165" s="9">
        <f>IF($C$3="","",INDEX(Forms貼り付け!$A:$AZ,164,$C$3))</f>
        <v/>
      </c>
      <c r="D165" s="8">
        <f>IF($D$3="","",INDEX(Forms貼り付け!$A:$AZ,164,$D$3))</f>
        <v/>
      </c>
      <c r="E165" s="8">
        <f>IF($E$3="","",INDEX(Forms貼り付け!$A:$AZ,164,$E$3))</f>
        <v/>
      </c>
      <c r="F165" s="8">
        <f>IF(F$3="","",IFERROR(LEFT(TRIM(INDEX(Forms貼り付け!$A:$AZ,164,F$3)),1),""))</f>
        <v/>
      </c>
      <c r="G165" s="8">
        <f>IF(G$3="","",IFERROR(LEFT(TRIM(INDEX(Forms貼り付け!$A:$AZ,164,G$3)),1),""))</f>
        <v/>
      </c>
      <c r="H165" s="8">
        <f>IF(H$3="","",IFERROR(LEFT(TRIM(INDEX(Forms貼り付け!$A:$AZ,164,H$3)),1),""))</f>
        <v/>
      </c>
      <c r="I165" s="8">
        <f>IF(I$3="","",IFERROR(LEFT(TRIM(INDEX(Forms貼り付け!$A:$AZ,164,I$3)),1),""))</f>
        <v/>
      </c>
      <c r="J165" s="8">
        <f>IF(J$3="","",IFERROR(LEFT(TRIM(INDEX(Forms貼り付け!$A:$AZ,164,J$3)),1),""))</f>
        <v/>
      </c>
      <c r="K165" s="8">
        <f>IF(K$3="","",IFERROR(LEFT(TRIM(INDEX(Forms貼り付け!$A:$AZ,164,K$3)),1),""))</f>
        <v/>
      </c>
      <c r="L165" s="8">
        <f>IF(L$3="","",IFERROR(LEFT(TRIM(INDEX(Forms貼り付け!$A:$AZ,164,L$3)),1),""))</f>
        <v/>
      </c>
      <c r="M165" s="8">
        <f>IF(M$3="","",IFERROR(LEFT(TRIM(INDEX(Forms貼り付け!$A:$AZ,164,M$3)),1),""))</f>
        <v/>
      </c>
      <c r="N165" s="8">
        <f>IF(N$3="","",IFERROR(LEFT(TRIM(INDEX(Forms貼り付け!$A:$AZ,164,N$3)),1),""))</f>
        <v/>
      </c>
      <c r="O165" s="8">
        <f>IF(O$3="","",IFERROR(LEFT(TRIM(INDEX(Forms貼り付け!$A:$AZ,164,O$3)),1),""))</f>
        <v/>
      </c>
      <c r="P165" s="8">
        <f>IF(P$3="","",IFERROR(LEFT(TRIM(INDEX(Forms貼り付け!$A:$AZ,164,P$3)),1),""))</f>
        <v/>
      </c>
      <c r="Q165" s="8">
        <f>IF(Q$3="","",IFERROR(LEFT(TRIM(INDEX(Forms貼り付け!$A:$AZ,164,Q$3)),1),""))</f>
        <v/>
      </c>
      <c r="R165" s="8">
        <f>IF(R$3="","",IFERROR(LEFT(TRIM(INDEX(Forms貼り付け!$A:$AZ,164,R$3)),1),""))</f>
        <v/>
      </c>
      <c r="S165" s="8">
        <f>IF(S$3="","",IFERROR(LEFT(TRIM(INDEX(Forms貼り付け!$A:$AZ,164,S$3)),1),""))</f>
        <v/>
      </c>
      <c r="T165" s="8">
        <f>IF(T$3="","",IFERROR(LEFT(TRIM(INDEX(Forms貼り付け!$A:$AZ,164,T$3)),1),""))</f>
        <v/>
      </c>
      <c r="U165" s="8">
        <f>IF(U$3="","",IFERROR(LEFT(TRIM(INDEX(Forms貼り付け!$A:$AZ,164,U$3)),1),""))</f>
        <v/>
      </c>
      <c r="V165" s="8">
        <f>IF(V$3="","",IFERROR(LEFT(TRIM(INDEX(Forms貼り付け!$A:$AZ,164,V$3)),1),""))</f>
        <v/>
      </c>
      <c r="W165" s="8">
        <f>IF(W$3="","",IFERROR(LEFT(TRIM(INDEX(Forms貼り付け!$A:$AZ,164,W$3)),1),""))</f>
        <v/>
      </c>
      <c r="X165" s="8">
        <f>IF(X$3="","",IFERROR(LEFT(TRIM(INDEX(Forms貼り付け!$A:$AZ,164,X$3)),1),""))</f>
        <v/>
      </c>
      <c r="Y165" s="8">
        <f>IF(Y$3="","",IFERROR(LEFT(TRIM(INDEX(Forms貼り付け!$A:$AZ,164,Y$3)),1),""))</f>
        <v/>
      </c>
      <c r="Z165" s="8">
        <f>IF(Z$3="","",IFERROR(LEFT(TRIM(INDEX(Forms貼り付け!$A:$AZ,164,Z$3)),1),""))</f>
        <v/>
      </c>
      <c r="AA165" s="8">
        <f>IF(AA$3="","",IFERROR(LEFT(TRIM(INDEX(Forms貼り付け!$A:$AZ,164,AA$3)),1),""))</f>
        <v/>
      </c>
      <c r="AB165" s="8">
        <f>IF(AB$3="","",IFERROR(LEFT(TRIM(INDEX(Forms貼り付け!$A:$AZ,164,AB$3)),1),""))</f>
        <v/>
      </c>
      <c r="AC165" s="8">
        <f>IF(AC$3="","",IFERROR(LEFT(TRIM(INDEX(Forms貼り付け!$A:$AZ,164,AC$3)),1),""))</f>
        <v/>
      </c>
      <c r="AD165" s="8">
        <f>IF(AD$3="","",IFERROR(LEFT(TRIM(INDEX(Forms貼り付け!$A:$AZ,164,AD$3)),1),""))</f>
        <v/>
      </c>
      <c r="AE165" s="8">
        <f>IF(AE$3="","",IFERROR(LEFT(TRIM(INDEX(Forms貼り付け!$A:$AZ,164,AE$3)),1),""))</f>
        <v/>
      </c>
      <c r="AF165" s="8">
        <f>IF(AF$3="","",IFERROR(LEFT(TRIM(INDEX(Forms貼り付け!$A:$AZ,164,AF$3)),1),""))</f>
        <v/>
      </c>
      <c r="AG165" s="8">
        <f>IF(AG$3="","",IFERROR(LEFT(TRIM(INDEX(Forms貼り付け!$A:$AZ,164,AG$3)),1),""))</f>
        <v/>
      </c>
      <c r="AH165" s="8">
        <f>IF(AH$3="","",IFERROR(LEFT(TRIM(INDEX(Forms貼り付け!$A:$AZ,164,AH$3)),1),""))</f>
        <v/>
      </c>
      <c r="AI165" s="8">
        <f>IF(AI$3="","",IFERROR(LEFT(TRIM(INDEX(Forms貼り付け!$A:$AZ,164,AI$3)),1),""))</f>
        <v/>
      </c>
      <c r="AJ165" s="8">
        <f>IF(AJ$3="","",IFERROR(LEFT(TRIM(INDEX(Forms貼り付け!$A:$AZ,164,AJ$3)),1),""))</f>
        <v/>
      </c>
      <c r="AK165" s="8">
        <f>IF(AK$3="","",IFERROR(LEFT(TRIM(INDEX(Forms貼り付け!$A:$AZ,164,AK$3)),1),""))</f>
        <v/>
      </c>
      <c r="AL165" s="8">
        <f>IF(AL$3="","",IFERROR(LEFT(TRIM(INDEX(Forms貼り付け!$A:$AZ,164,AL$3)),1),""))</f>
        <v/>
      </c>
      <c r="AM165" s="8">
        <f>IF(AM$3="","",IFERROR(LEFT(TRIM(INDEX(Forms貼り付け!$A:$AZ,164,AM$3)),1),""))</f>
        <v/>
      </c>
      <c r="AN165" s="8">
        <f>IF(AN$3="","",IFERROR(LEFT(TRIM(INDEX(Forms貼り付け!$A:$AZ,164,AN$3)),1),""))</f>
        <v/>
      </c>
      <c r="AO165" s="8">
        <f>IF(AO$3="","",IFERROR(LEFT(TRIM(INDEX(Forms貼り付け!$A:$AZ,164,AO$3)),1),""))</f>
        <v/>
      </c>
      <c r="AP165" s="8">
        <f>IF(AP$3="","",IFERROR(LEFT(TRIM(INDEX(Forms貼り付け!$A:$AZ,164,AP$3)),1),""))</f>
        <v/>
      </c>
      <c r="AQ165" s="8">
        <f>IF(AQ$3="","",IFERROR(LEFT(TRIM(INDEX(Forms貼り付け!$A:$AZ,164,AQ$3)),1),""))</f>
        <v/>
      </c>
      <c r="AR165" s="8">
        <f>IF(AR$3="","",IFERROR(LEFT(TRIM(INDEX(Forms貼り付け!$A:$AZ,164,AR$3)),1),""))</f>
        <v/>
      </c>
      <c r="AS165" s="8">
        <f>IF(AS$3="","",IFERROR(LEFT(TRIM(INDEX(Forms貼り付け!$A:$AZ,164,AS$3)),1),""))</f>
        <v/>
      </c>
      <c r="AT165" s="8">
        <f>IF(AT$3="","",IFERROR(LEFT(TRIM(INDEX(Forms貼り付け!$A:$AZ,164,AT$3)),1),""))</f>
        <v/>
      </c>
      <c r="AU165" s="8">
        <f>IF(AU$3="","",IFERROR(LEFT(TRIM(INDEX(Forms貼り付け!$A:$AZ,164,AU$3)),1),""))</f>
        <v/>
      </c>
      <c r="AV165" s="8">
        <f>IF(AV$3="","",IFERROR(LEFT(TRIM(INDEX(Forms貼り付け!$A:$AZ,164,AV$3)),1),""))</f>
        <v/>
      </c>
      <c r="AW165" s="8">
        <f>IF(AW$3="","",IFERROR(LEFT(TRIM(INDEX(Forms貼り付け!$A:$AZ,164,AW$3)),1),""))</f>
        <v/>
      </c>
      <c r="AX165" s="8">
        <f>IF(AX$3="","",IFERROR(LEFT(TRIM(INDEX(Forms貼り付け!$A:$AZ,164,AX$3)),1),""))</f>
        <v/>
      </c>
      <c r="AY165" s="8">
        <f>IF(AY$3="","",IFERROR(LEFT(TRIM(INDEX(Forms貼り付け!$A:$AZ,164,AY$3)),1),""))</f>
        <v/>
      </c>
      <c r="AZ165" s="8">
        <f>IF(AZ$3="","",IFERROR(LEFT(TRIM(INDEX(Forms貼り付け!$A:$AZ,164,AZ$3)),1),""))</f>
        <v/>
      </c>
      <c r="BA165" s="8">
        <f>IF(BA$3="","",IFERROR(LEFT(TRIM(INDEX(Forms貼り付け!$A:$AZ,164,BA$3)),1),""))</f>
        <v/>
      </c>
      <c r="BB165" s="8">
        <f>IF(BB$3="","",IFERROR(LEFT(TRIM(INDEX(Forms貼り付け!$A:$AZ,164,BB$3)),1),""))</f>
        <v/>
      </c>
      <c r="BC165" s="8">
        <f>IF(BC$3="","",IFERROR(LEFT(TRIM(INDEX(Forms貼り付け!$A:$AZ,164,BC$3)),1),""))</f>
        <v/>
      </c>
    </row>
    <row r="166">
      <c r="A166" s="8" t="inlineStr">
        <is>
          <t>U162</t>
        </is>
      </c>
      <c r="B166" s="9">
        <f>IF($B$3="","",INDEX(Forms貼り付け!$A:$AZ,165,$B$3))</f>
        <v/>
      </c>
      <c r="C166" s="9">
        <f>IF($C$3="","",INDEX(Forms貼り付け!$A:$AZ,165,$C$3))</f>
        <v/>
      </c>
      <c r="D166" s="8">
        <f>IF($D$3="","",INDEX(Forms貼り付け!$A:$AZ,165,$D$3))</f>
        <v/>
      </c>
      <c r="E166" s="8">
        <f>IF($E$3="","",INDEX(Forms貼り付け!$A:$AZ,165,$E$3))</f>
        <v/>
      </c>
      <c r="F166" s="8">
        <f>IF(F$3="","",IFERROR(LEFT(TRIM(INDEX(Forms貼り付け!$A:$AZ,165,F$3)),1),""))</f>
        <v/>
      </c>
      <c r="G166" s="8">
        <f>IF(G$3="","",IFERROR(LEFT(TRIM(INDEX(Forms貼り付け!$A:$AZ,165,G$3)),1),""))</f>
        <v/>
      </c>
      <c r="H166" s="8">
        <f>IF(H$3="","",IFERROR(LEFT(TRIM(INDEX(Forms貼り付け!$A:$AZ,165,H$3)),1),""))</f>
        <v/>
      </c>
      <c r="I166" s="8">
        <f>IF(I$3="","",IFERROR(LEFT(TRIM(INDEX(Forms貼り付け!$A:$AZ,165,I$3)),1),""))</f>
        <v/>
      </c>
      <c r="J166" s="8">
        <f>IF(J$3="","",IFERROR(LEFT(TRIM(INDEX(Forms貼り付け!$A:$AZ,165,J$3)),1),""))</f>
        <v/>
      </c>
      <c r="K166" s="8">
        <f>IF(K$3="","",IFERROR(LEFT(TRIM(INDEX(Forms貼り付け!$A:$AZ,165,K$3)),1),""))</f>
        <v/>
      </c>
      <c r="L166" s="8">
        <f>IF(L$3="","",IFERROR(LEFT(TRIM(INDEX(Forms貼り付け!$A:$AZ,165,L$3)),1),""))</f>
        <v/>
      </c>
      <c r="M166" s="8">
        <f>IF(M$3="","",IFERROR(LEFT(TRIM(INDEX(Forms貼り付け!$A:$AZ,165,M$3)),1),""))</f>
        <v/>
      </c>
      <c r="N166" s="8">
        <f>IF(N$3="","",IFERROR(LEFT(TRIM(INDEX(Forms貼り付け!$A:$AZ,165,N$3)),1),""))</f>
        <v/>
      </c>
      <c r="O166" s="8">
        <f>IF(O$3="","",IFERROR(LEFT(TRIM(INDEX(Forms貼り付け!$A:$AZ,165,O$3)),1),""))</f>
        <v/>
      </c>
      <c r="P166" s="8">
        <f>IF(P$3="","",IFERROR(LEFT(TRIM(INDEX(Forms貼り付け!$A:$AZ,165,P$3)),1),""))</f>
        <v/>
      </c>
      <c r="Q166" s="8">
        <f>IF(Q$3="","",IFERROR(LEFT(TRIM(INDEX(Forms貼り付け!$A:$AZ,165,Q$3)),1),""))</f>
        <v/>
      </c>
      <c r="R166" s="8">
        <f>IF(R$3="","",IFERROR(LEFT(TRIM(INDEX(Forms貼り付け!$A:$AZ,165,R$3)),1),""))</f>
        <v/>
      </c>
      <c r="S166" s="8">
        <f>IF(S$3="","",IFERROR(LEFT(TRIM(INDEX(Forms貼り付け!$A:$AZ,165,S$3)),1),""))</f>
        <v/>
      </c>
      <c r="T166" s="8">
        <f>IF(T$3="","",IFERROR(LEFT(TRIM(INDEX(Forms貼り付け!$A:$AZ,165,T$3)),1),""))</f>
        <v/>
      </c>
      <c r="U166" s="8">
        <f>IF(U$3="","",IFERROR(LEFT(TRIM(INDEX(Forms貼り付け!$A:$AZ,165,U$3)),1),""))</f>
        <v/>
      </c>
      <c r="V166" s="8">
        <f>IF(V$3="","",IFERROR(LEFT(TRIM(INDEX(Forms貼り付け!$A:$AZ,165,V$3)),1),""))</f>
        <v/>
      </c>
      <c r="W166" s="8">
        <f>IF(W$3="","",IFERROR(LEFT(TRIM(INDEX(Forms貼り付け!$A:$AZ,165,W$3)),1),""))</f>
        <v/>
      </c>
      <c r="X166" s="8">
        <f>IF(X$3="","",IFERROR(LEFT(TRIM(INDEX(Forms貼り付け!$A:$AZ,165,X$3)),1),""))</f>
        <v/>
      </c>
      <c r="Y166" s="8">
        <f>IF(Y$3="","",IFERROR(LEFT(TRIM(INDEX(Forms貼り付け!$A:$AZ,165,Y$3)),1),""))</f>
        <v/>
      </c>
      <c r="Z166" s="8">
        <f>IF(Z$3="","",IFERROR(LEFT(TRIM(INDEX(Forms貼り付け!$A:$AZ,165,Z$3)),1),""))</f>
        <v/>
      </c>
      <c r="AA166" s="8">
        <f>IF(AA$3="","",IFERROR(LEFT(TRIM(INDEX(Forms貼り付け!$A:$AZ,165,AA$3)),1),""))</f>
        <v/>
      </c>
      <c r="AB166" s="8">
        <f>IF(AB$3="","",IFERROR(LEFT(TRIM(INDEX(Forms貼り付け!$A:$AZ,165,AB$3)),1),""))</f>
        <v/>
      </c>
      <c r="AC166" s="8">
        <f>IF(AC$3="","",IFERROR(LEFT(TRIM(INDEX(Forms貼り付け!$A:$AZ,165,AC$3)),1),""))</f>
        <v/>
      </c>
      <c r="AD166" s="8">
        <f>IF(AD$3="","",IFERROR(LEFT(TRIM(INDEX(Forms貼り付け!$A:$AZ,165,AD$3)),1),""))</f>
        <v/>
      </c>
      <c r="AE166" s="8">
        <f>IF(AE$3="","",IFERROR(LEFT(TRIM(INDEX(Forms貼り付け!$A:$AZ,165,AE$3)),1),""))</f>
        <v/>
      </c>
      <c r="AF166" s="8">
        <f>IF(AF$3="","",IFERROR(LEFT(TRIM(INDEX(Forms貼り付け!$A:$AZ,165,AF$3)),1),""))</f>
        <v/>
      </c>
      <c r="AG166" s="8">
        <f>IF(AG$3="","",IFERROR(LEFT(TRIM(INDEX(Forms貼り付け!$A:$AZ,165,AG$3)),1),""))</f>
        <v/>
      </c>
      <c r="AH166" s="8">
        <f>IF(AH$3="","",IFERROR(LEFT(TRIM(INDEX(Forms貼り付け!$A:$AZ,165,AH$3)),1),""))</f>
        <v/>
      </c>
      <c r="AI166" s="8">
        <f>IF(AI$3="","",IFERROR(LEFT(TRIM(INDEX(Forms貼り付け!$A:$AZ,165,AI$3)),1),""))</f>
        <v/>
      </c>
      <c r="AJ166" s="8">
        <f>IF(AJ$3="","",IFERROR(LEFT(TRIM(INDEX(Forms貼り付け!$A:$AZ,165,AJ$3)),1),""))</f>
        <v/>
      </c>
      <c r="AK166" s="8">
        <f>IF(AK$3="","",IFERROR(LEFT(TRIM(INDEX(Forms貼り付け!$A:$AZ,165,AK$3)),1),""))</f>
        <v/>
      </c>
      <c r="AL166" s="8">
        <f>IF(AL$3="","",IFERROR(LEFT(TRIM(INDEX(Forms貼り付け!$A:$AZ,165,AL$3)),1),""))</f>
        <v/>
      </c>
      <c r="AM166" s="8">
        <f>IF(AM$3="","",IFERROR(LEFT(TRIM(INDEX(Forms貼り付け!$A:$AZ,165,AM$3)),1),""))</f>
        <v/>
      </c>
      <c r="AN166" s="8">
        <f>IF(AN$3="","",IFERROR(LEFT(TRIM(INDEX(Forms貼り付け!$A:$AZ,165,AN$3)),1),""))</f>
        <v/>
      </c>
      <c r="AO166" s="8">
        <f>IF(AO$3="","",IFERROR(LEFT(TRIM(INDEX(Forms貼り付け!$A:$AZ,165,AO$3)),1),""))</f>
        <v/>
      </c>
      <c r="AP166" s="8">
        <f>IF(AP$3="","",IFERROR(LEFT(TRIM(INDEX(Forms貼り付け!$A:$AZ,165,AP$3)),1),""))</f>
        <v/>
      </c>
      <c r="AQ166" s="8">
        <f>IF(AQ$3="","",IFERROR(LEFT(TRIM(INDEX(Forms貼り付け!$A:$AZ,165,AQ$3)),1),""))</f>
        <v/>
      </c>
      <c r="AR166" s="8">
        <f>IF(AR$3="","",IFERROR(LEFT(TRIM(INDEX(Forms貼り付け!$A:$AZ,165,AR$3)),1),""))</f>
        <v/>
      </c>
      <c r="AS166" s="8">
        <f>IF(AS$3="","",IFERROR(LEFT(TRIM(INDEX(Forms貼り付け!$A:$AZ,165,AS$3)),1),""))</f>
        <v/>
      </c>
      <c r="AT166" s="8">
        <f>IF(AT$3="","",IFERROR(LEFT(TRIM(INDEX(Forms貼り付け!$A:$AZ,165,AT$3)),1),""))</f>
        <v/>
      </c>
      <c r="AU166" s="8">
        <f>IF(AU$3="","",IFERROR(LEFT(TRIM(INDEX(Forms貼り付け!$A:$AZ,165,AU$3)),1),""))</f>
        <v/>
      </c>
      <c r="AV166" s="8">
        <f>IF(AV$3="","",IFERROR(LEFT(TRIM(INDEX(Forms貼り付け!$A:$AZ,165,AV$3)),1),""))</f>
        <v/>
      </c>
      <c r="AW166" s="8">
        <f>IF(AW$3="","",IFERROR(LEFT(TRIM(INDEX(Forms貼り付け!$A:$AZ,165,AW$3)),1),""))</f>
        <v/>
      </c>
      <c r="AX166" s="8">
        <f>IF(AX$3="","",IFERROR(LEFT(TRIM(INDEX(Forms貼り付け!$A:$AZ,165,AX$3)),1),""))</f>
        <v/>
      </c>
      <c r="AY166" s="8">
        <f>IF(AY$3="","",IFERROR(LEFT(TRIM(INDEX(Forms貼り付け!$A:$AZ,165,AY$3)),1),""))</f>
        <v/>
      </c>
      <c r="AZ166" s="8">
        <f>IF(AZ$3="","",IFERROR(LEFT(TRIM(INDEX(Forms貼り付け!$A:$AZ,165,AZ$3)),1),""))</f>
        <v/>
      </c>
      <c r="BA166" s="8">
        <f>IF(BA$3="","",IFERROR(LEFT(TRIM(INDEX(Forms貼り付け!$A:$AZ,165,BA$3)),1),""))</f>
        <v/>
      </c>
      <c r="BB166" s="8">
        <f>IF(BB$3="","",IFERROR(LEFT(TRIM(INDEX(Forms貼り付け!$A:$AZ,165,BB$3)),1),""))</f>
        <v/>
      </c>
      <c r="BC166" s="8">
        <f>IF(BC$3="","",IFERROR(LEFT(TRIM(INDEX(Forms貼り付け!$A:$AZ,165,BC$3)),1),""))</f>
        <v/>
      </c>
    </row>
    <row r="167">
      <c r="A167" s="8" t="inlineStr">
        <is>
          <t>U163</t>
        </is>
      </c>
      <c r="B167" s="9">
        <f>IF($B$3="","",INDEX(Forms貼り付け!$A:$AZ,166,$B$3))</f>
        <v/>
      </c>
      <c r="C167" s="9">
        <f>IF($C$3="","",INDEX(Forms貼り付け!$A:$AZ,166,$C$3))</f>
        <v/>
      </c>
      <c r="D167" s="8">
        <f>IF($D$3="","",INDEX(Forms貼り付け!$A:$AZ,166,$D$3))</f>
        <v/>
      </c>
      <c r="E167" s="8">
        <f>IF($E$3="","",INDEX(Forms貼り付け!$A:$AZ,166,$E$3))</f>
        <v/>
      </c>
      <c r="F167" s="8">
        <f>IF(F$3="","",IFERROR(LEFT(TRIM(INDEX(Forms貼り付け!$A:$AZ,166,F$3)),1),""))</f>
        <v/>
      </c>
      <c r="G167" s="8">
        <f>IF(G$3="","",IFERROR(LEFT(TRIM(INDEX(Forms貼り付け!$A:$AZ,166,G$3)),1),""))</f>
        <v/>
      </c>
      <c r="H167" s="8">
        <f>IF(H$3="","",IFERROR(LEFT(TRIM(INDEX(Forms貼り付け!$A:$AZ,166,H$3)),1),""))</f>
        <v/>
      </c>
      <c r="I167" s="8">
        <f>IF(I$3="","",IFERROR(LEFT(TRIM(INDEX(Forms貼り付け!$A:$AZ,166,I$3)),1),""))</f>
        <v/>
      </c>
      <c r="J167" s="8">
        <f>IF(J$3="","",IFERROR(LEFT(TRIM(INDEX(Forms貼り付け!$A:$AZ,166,J$3)),1),""))</f>
        <v/>
      </c>
      <c r="K167" s="8">
        <f>IF(K$3="","",IFERROR(LEFT(TRIM(INDEX(Forms貼り付け!$A:$AZ,166,K$3)),1),""))</f>
        <v/>
      </c>
      <c r="L167" s="8">
        <f>IF(L$3="","",IFERROR(LEFT(TRIM(INDEX(Forms貼り付け!$A:$AZ,166,L$3)),1),""))</f>
        <v/>
      </c>
      <c r="M167" s="8">
        <f>IF(M$3="","",IFERROR(LEFT(TRIM(INDEX(Forms貼り付け!$A:$AZ,166,M$3)),1),""))</f>
        <v/>
      </c>
      <c r="N167" s="8">
        <f>IF(N$3="","",IFERROR(LEFT(TRIM(INDEX(Forms貼り付け!$A:$AZ,166,N$3)),1),""))</f>
        <v/>
      </c>
      <c r="O167" s="8">
        <f>IF(O$3="","",IFERROR(LEFT(TRIM(INDEX(Forms貼り付け!$A:$AZ,166,O$3)),1),""))</f>
        <v/>
      </c>
      <c r="P167" s="8">
        <f>IF(P$3="","",IFERROR(LEFT(TRIM(INDEX(Forms貼り付け!$A:$AZ,166,P$3)),1),""))</f>
        <v/>
      </c>
      <c r="Q167" s="8">
        <f>IF(Q$3="","",IFERROR(LEFT(TRIM(INDEX(Forms貼り付け!$A:$AZ,166,Q$3)),1),""))</f>
        <v/>
      </c>
      <c r="R167" s="8">
        <f>IF(R$3="","",IFERROR(LEFT(TRIM(INDEX(Forms貼り付け!$A:$AZ,166,R$3)),1),""))</f>
        <v/>
      </c>
      <c r="S167" s="8">
        <f>IF(S$3="","",IFERROR(LEFT(TRIM(INDEX(Forms貼り付け!$A:$AZ,166,S$3)),1),""))</f>
        <v/>
      </c>
      <c r="T167" s="8">
        <f>IF(T$3="","",IFERROR(LEFT(TRIM(INDEX(Forms貼り付け!$A:$AZ,166,T$3)),1),""))</f>
        <v/>
      </c>
      <c r="U167" s="8">
        <f>IF(U$3="","",IFERROR(LEFT(TRIM(INDEX(Forms貼り付け!$A:$AZ,166,U$3)),1),""))</f>
        <v/>
      </c>
      <c r="V167" s="8">
        <f>IF(V$3="","",IFERROR(LEFT(TRIM(INDEX(Forms貼り付け!$A:$AZ,166,V$3)),1),""))</f>
        <v/>
      </c>
      <c r="W167" s="8">
        <f>IF(W$3="","",IFERROR(LEFT(TRIM(INDEX(Forms貼り付け!$A:$AZ,166,W$3)),1),""))</f>
        <v/>
      </c>
      <c r="X167" s="8">
        <f>IF(X$3="","",IFERROR(LEFT(TRIM(INDEX(Forms貼り付け!$A:$AZ,166,X$3)),1),""))</f>
        <v/>
      </c>
      <c r="Y167" s="8">
        <f>IF(Y$3="","",IFERROR(LEFT(TRIM(INDEX(Forms貼り付け!$A:$AZ,166,Y$3)),1),""))</f>
        <v/>
      </c>
      <c r="Z167" s="8">
        <f>IF(Z$3="","",IFERROR(LEFT(TRIM(INDEX(Forms貼り付け!$A:$AZ,166,Z$3)),1),""))</f>
        <v/>
      </c>
      <c r="AA167" s="8">
        <f>IF(AA$3="","",IFERROR(LEFT(TRIM(INDEX(Forms貼り付け!$A:$AZ,166,AA$3)),1),""))</f>
        <v/>
      </c>
      <c r="AB167" s="8">
        <f>IF(AB$3="","",IFERROR(LEFT(TRIM(INDEX(Forms貼り付け!$A:$AZ,166,AB$3)),1),""))</f>
        <v/>
      </c>
      <c r="AC167" s="8">
        <f>IF(AC$3="","",IFERROR(LEFT(TRIM(INDEX(Forms貼り付け!$A:$AZ,166,AC$3)),1),""))</f>
        <v/>
      </c>
      <c r="AD167" s="8">
        <f>IF(AD$3="","",IFERROR(LEFT(TRIM(INDEX(Forms貼り付け!$A:$AZ,166,AD$3)),1),""))</f>
        <v/>
      </c>
      <c r="AE167" s="8">
        <f>IF(AE$3="","",IFERROR(LEFT(TRIM(INDEX(Forms貼り付け!$A:$AZ,166,AE$3)),1),""))</f>
        <v/>
      </c>
      <c r="AF167" s="8">
        <f>IF(AF$3="","",IFERROR(LEFT(TRIM(INDEX(Forms貼り付け!$A:$AZ,166,AF$3)),1),""))</f>
        <v/>
      </c>
      <c r="AG167" s="8">
        <f>IF(AG$3="","",IFERROR(LEFT(TRIM(INDEX(Forms貼り付け!$A:$AZ,166,AG$3)),1),""))</f>
        <v/>
      </c>
      <c r="AH167" s="8">
        <f>IF(AH$3="","",IFERROR(LEFT(TRIM(INDEX(Forms貼り付け!$A:$AZ,166,AH$3)),1),""))</f>
        <v/>
      </c>
      <c r="AI167" s="8">
        <f>IF(AI$3="","",IFERROR(LEFT(TRIM(INDEX(Forms貼り付け!$A:$AZ,166,AI$3)),1),""))</f>
        <v/>
      </c>
      <c r="AJ167" s="8">
        <f>IF(AJ$3="","",IFERROR(LEFT(TRIM(INDEX(Forms貼り付け!$A:$AZ,166,AJ$3)),1),""))</f>
        <v/>
      </c>
      <c r="AK167" s="8">
        <f>IF(AK$3="","",IFERROR(LEFT(TRIM(INDEX(Forms貼り付け!$A:$AZ,166,AK$3)),1),""))</f>
        <v/>
      </c>
      <c r="AL167" s="8">
        <f>IF(AL$3="","",IFERROR(LEFT(TRIM(INDEX(Forms貼り付け!$A:$AZ,166,AL$3)),1),""))</f>
        <v/>
      </c>
      <c r="AM167" s="8">
        <f>IF(AM$3="","",IFERROR(LEFT(TRIM(INDEX(Forms貼り付け!$A:$AZ,166,AM$3)),1),""))</f>
        <v/>
      </c>
      <c r="AN167" s="8">
        <f>IF(AN$3="","",IFERROR(LEFT(TRIM(INDEX(Forms貼り付け!$A:$AZ,166,AN$3)),1),""))</f>
        <v/>
      </c>
      <c r="AO167" s="8">
        <f>IF(AO$3="","",IFERROR(LEFT(TRIM(INDEX(Forms貼り付け!$A:$AZ,166,AO$3)),1),""))</f>
        <v/>
      </c>
      <c r="AP167" s="8">
        <f>IF(AP$3="","",IFERROR(LEFT(TRIM(INDEX(Forms貼り付け!$A:$AZ,166,AP$3)),1),""))</f>
        <v/>
      </c>
      <c r="AQ167" s="8">
        <f>IF(AQ$3="","",IFERROR(LEFT(TRIM(INDEX(Forms貼り付け!$A:$AZ,166,AQ$3)),1),""))</f>
        <v/>
      </c>
      <c r="AR167" s="8">
        <f>IF(AR$3="","",IFERROR(LEFT(TRIM(INDEX(Forms貼り付け!$A:$AZ,166,AR$3)),1),""))</f>
        <v/>
      </c>
      <c r="AS167" s="8">
        <f>IF(AS$3="","",IFERROR(LEFT(TRIM(INDEX(Forms貼り付け!$A:$AZ,166,AS$3)),1),""))</f>
        <v/>
      </c>
      <c r="AT167" s="8">
        <f>IF(AT$3="","",IFERROR(LEFT(TRIM(INDEX(Forms貼り付け!$A:$AZ,166,AT$3)),1),""))</f>
        <v/>
      </c>
      <c r="AU167" s="8">
        <f>IF(AU$3="","",IFERROR(LEFT(TRIM(INDEX(Forms貼り付け!$A:$AZ,166,AU$3)),1),""))</f>
        <v/>
      </c>
      <c r="AV167" s="8">
        <f>IF(AV$3="","",IFERROR(LEFT(TRIM(INDEX(Forms貼り付け!$A:$AZ,166,AV$3)),1),""))</f>
        <v/>
      </c>
      <c r="AW167" s="8">
        <f>IF(AW$3="","",IFERROR(LEFT(TRIM(INDEX(Forms貼り付け!$A:$AZ,166,AW$3)),1),""))</f>
        <v/>
      </c>
      <c r="AX167" s="8">
        <f>IF(AX$3="","",IFERROR(LEFT(TRIM(INDEX(Forms貼り付け!$A:$AZ,166,AX$3)),1),""))</f>
        <v/>
      </c>
      <c r="AY167" s="8">
        <f>IF(AY$3="","",IFERROR(LEFT(TRIM(INDEX(Forms貼り付け!$A:$AZ,166,AY$3)),1),""))</f>
        <v/>
      </c>
      <c r="AZ167" s="8">
        <f>IF(AZ$3="","",IFERROR(LEFT(TRIM(INDEX(Forms貼り付け!$A:$AZ,166,AZ$3)),1),""))</f>
        <v/>
      </c>
      <c r="BA167" s="8">
        <f>IF(BA$3="","",IFERROR(LEFT(TRIM(INDEX(Forms貼り付け!$A:$AZ,166,BA$3)),1),""))</f>
        <v/>
      </c>
      <c r="BB167" s="8">
        <f>IF(BB$3="","",IFERROR(LEFT(TRIM(INDEX(Forms貼り付け!$A:$AZ,166,BB$3)),1),""))</f>
        <v/>
      </c>
      <c r="BC167" s="8">
        <f>IF(BC$3="","",IFERROR(LEFT(TRIM(INDEX(Forms貼り付け!$A:$AZ,166,BC$3)),1),""))</f>
        <v/>
      </c>
    </row>
    <row r="168">
      <c r="A168" s="8" t="inlineStr">
        <is>
          <t>U164</t>
        </is>
      </c>
      <c r="B168" s="9">
        <f>IF($B$3="","",INDEX(Forms貼り付け!$A:$AZ,167,$B$3))</f>
        <v/>
      </c>
      <c r="C168" s="9">
        <f>IF($C$3="","",INDEX(Forms貼り付け!$A:$AZ,167,$C$3))</f>
        <v/>
      </c>
      <c r="D168" s="8">
        <f>IF($D$3="","",INDEX(Forms貼り付け!$A:$AZ,167,$D$3))</f>
        <v/>
      </c>
      <c r="E168" s="8">
        <f>IF($E$3="","",INDEX(Forms貼り付け!$A:$AZ,167,$E$3))</f>
        <v/>
      </c>
      <c r="F168" s="8">
        <f>IF(F$3="","",IFERROR(LEFT(TRIM(INDEX(Forms貼り付け!$A:$AZ,167,F$3)),1),""))</f>
        <v/>
      </c>
      <c r="G168" s="8">
        <f>IF(G$3="","",IFERROR(LEFT(TRIM(INDEX(Forms貼り付け!$A:$AZ,167,G$3)),1),""))</f>
        <v/>
      </c>
      <c r="H168" s="8">
        <f>IF(H$3="","",IFERROR(LEFT(TRIM(INDEX(Forms貼り付け!$A:$AZ,167,H$3)),1),""))</f>
        <v/>
      </c>
      <c r="I168" s="8">
        <f>IF(I$3="","",IFERROR(LEFT(TRIM(INDEX(Forms貼り付け!$A:$AZ,167,I$3)),1),""))</f>
        <v/>
      </c>
      <c r="J168" s="8">
        <f>IF(J$3="","",IFERROR(LEFT(TRIM(INDEX(Forms貼り付け!$A:$AZ,167,J$3)),1),""))</f>
        <v/>
      </c>
      <c r="K168" s="8">
        <f>IF(K$3="","",IFERROR(LEFT(TRIM(INDEX(Forms貼り付け!$A:$AZ,167,K$3)),1),""))</f>
        <v/>
      </c>
      <c r="L168" s="8">
        <f>IF(L$3="","",IFERROR(LEFT(TRIM(INDEX(Forms貼り付け!$A:$AZ,167,L$3)),1),""))</f>
        <v/>
      </c>
      <c r="M168" s="8">
        <f>IF(M$3="","",IFERROR(LEFT(TRIM(INDEX(Forms貼り付け!$A:$AZ,167,M$3)),1),""))</f>
        <v/>
      </c>
      <c r="N168" s="8">
        <f>IF(N$3="","",IFERROR(LEFT(TRIM(INDEX(Forms貼り付け!$A:$AZ,167,N$3)),1),""))</f>
        <v/>
      </c>
      <c r="O168" s="8">
        <f>IF(O$3="","",IFERROR(LEFT(TRIM(INDEX(Forms貼り付け!$A:$AZ,167,O$3)),1),""))</f>
        <v/>
      </c>
      <c r="P168" s="8">
        <f>IF(P$3="","",IFERROR(LEFT(TRIM(INDEX(Forms貼り付け!$A:$AZ,167,P$3)),1),""))</f>
        <v/>
      </c>
      <c r="Q168" s="8">
        <f>IF(Q$3="","",IFERROR(LEFT(TRIM(INDEX(Forms貼り付け!$A:$AZ,167,Q$3)),1),""))</f>
        <v/>
      </c>
      <c r="R168" s="8">
        <f>IF(R$3="","",IFERROR(LEFT(TRIM(INDEX(Forms貼り付け!$A:$AZ,167,R$3)),1),""))</f>
        <v/>
      </c>
      <c r="S168" s="8">
        <f>IF(S$3="","",IFERROR(LEFT(TRIM(INDEX(Forms貼り付け!$A:$AZ,167,S$3)),1),""))</f>
        <v/>
      </c>
      <c r="T168" s="8">
        <f>IF(T$3="","",IFERROR(LEFT(TRIM(INDEX(Forms貼り付け!$A:$AZ,167,T$3)),1),""))</f>
        <v/>
      </c>
      <c r="U168" s="8">
        <f>IF(U$3="","",IFERROR(LEFT(TRIM(INDEX(Forms貼り付け!$A:$AZ,167,U$3)),1),""))</f>
        <v/>
      </c>
      <c r="V168" s="8">
        <f>IF(V$3="","",IFERROR(LEFT(TRIM(INDEX(Forms貼り付け!$A:$AZ,167,V$3)),1),""))</f>
        <v/>
      </c>
      <c r="W168" s="8">
        <f>IF(W$3="","",IFERROR(LEFT(TRIM(INDEX(Forms貼り付け!$A:$AZ,167,W$3)),1),""))</f>
        <v/>
      </c>
      <c r="X168" s="8">
        <f>IF(X$3="","",IFERROR(LEFT(TRIM(INDEX(Forms貼り付け!$A:$AZ,167,X$3)),1),""))</f>
        <v/>
      </c>
      <c r="Y168" s="8">
        <f>IF(Y$3="","",IFERROR(LEFT(TRIM(INDEX(Forms貼り付け!$A:$AZ,167,Y$3)),1),""))</f>
        <v/>
      </c>
      <c r="Z168" s="8">
        <f>IF(Z$3="","",IFERROR(LEFT(TRIM(INDEX(Forms貼り付け!$A:$AZ,167,Z$3)),1),""))</f>
        <v/>
      </c>
      <c r="AA168" s="8">
        <f>IF(AA$3="","",IFERROR(LEFT(TRIM(INDEX(Forms貼り付け!$A:$AZ,167,AA$3)),1),""))</f>
        <v/>
      </c>
      <c r="AB168" s="8">
        <f>IF(AB$3="","",IFERROR(LEFT(TRIM(INDEX(Forms貼り付け!$A:$AZ,167,AB$3)),1),""))</f>
        <v/>
      </c>
      <c r="AC168" s="8">
        <f>IF(AC$3="","",IFERROR(LEFT(TRIM(INDEX(Forms貼り付け!$A:$AZ,167,AC$3)),1),""))</f>
        <v/>
      </c>
      <c r="AD168" s="8">
        <f>IF(AD$3="","",IFERROR(LEFT(TRIM(INDEX(Forms貼り付け!$A:$AZ,167,AD$3)),1),""))</f>
        <v/>
      </c>
      <c r="AE168" s="8">
        <f>IF(AE$3="","",IFERROR(LEFT(TRIM(INDEX(Forms貼り付け!$A:$AZ,167,AE$3)),1),""))</f>
        <v/>
      </c>
      <c r="AF168" s="8">
        <f>IF(AF$3="","",IFERROR(LEFT(TRIM(INDEX(Forms貼り付け!$A:$AZ,167,AF$3)),1),""))</f>
        <v/>
      </c>
      <c r="AG168" s="8">
        <f>IF(AG$3="","",IFERROR(LEFT(TRIM(INDEX(Forms貼り付け!$A:$AZ,167,AG$3)),1),""))</f>
        <v/>
      </c>
      <c r="AH168" s="8">
        <f>IF(AH$3="","",IFERROR(LEFT(TRIM(INDEX(Forms貼り付け!$A:$AZ,167,AH$3)),1),""))</f>
        <v/>
      </c>
      <c r="AI168" s="8">
        <f>IF(AI$3="","",IFERROR(LEFT(TRIM(INDEX(Forms貼り付け!$A:$AZ,167,AI$3)),1),""))</f>
        <v/>
      </c>
      <c r="AJ168" s="8">
        <f>IF(AJ$3="","",IFERROR(LEFT(TRIM(INDEX(Forms貼り付け!$A:$AZ,167,AJ$3)),1),""))</f>
        <v/>
      </c>
      <c r="AK168" s="8">
        <f>IF(AK$3="","",IFERROR(LEFT(TRIM(INDEX(Forms貼り付け!$A:$AZ,167,AK$3)),1),""))</f>
        <v/>
      </c>
      <c r="AL168" s="8">
        <f>IF(AL$3="","",IFERROR(LEFT(TRIM(INDEX(Forms貼り付け!$A:$AZ,167,AL$3)),1),""))</f>
        <v/>
      </c>
      <c r="AM168" s="8">
        <f>IF(AM$3="","",IFERROR(LEFT(TRIM(INDEX(Forms貼り付け!$A:$AZ,167,AM$3)),1),""))</f>
        <v/>
      </c>
      <c r="AN168" s="8">
        <f>IF(AN$3="","",IFERROR(LEFT(TRIM(INDEX(Forms貼り付け!$A:$AZ,167,AN$3)),1),""))</f>
        <v/>
      </c>
      <c r="AO168" s="8">
        <f>IF(AO$3="","",IFERROR(LEFT(TRIM(INDEX(Forms貼り付け!$A:$AZ,167,AO$3)),1),""))</f>
        <v/>
      </c>
      <c r="AP168" s="8">
        <f>IF(AP$3="","",IFERROR(LEFT(TRIM(INDEX(Forms貼り付け!$A:$AZ,167,AP$3)),1),""))</f>
        <v/>
      </c>
      <c r="AQ168" s="8">
        <f>IF(AQ$3="","",IFERROR(LEFT(TRIM(INDEX(Forms貼り付け!$A:$AZ,167,AQ$3)),1),""))</f>
        <v/>
      </c>
      <c r="AR168" s="8">
        <f>IF(AR$3="","",IFERROR(LEFT(TRIM(INDEX(Forms貼り付け!$A:$AZ,167,AR$3)),1),""))</f>
        <v/>
      </c>
      <c r="AS168" s="8">
        <f>IF(AS$3="","",IFERROR(LEFT(TRIM(INDEX(Forms貼り付け!$A:$AZ,167,AS$3)),1),""))</f>
        <v/>
      </c>
      <c r="AT168" s="8">
        <f>IF(AT$3="","",IFERROR(LEFT(TRIM(INDEX(Forms貼り付け!$A:$AZ,167,AT$3)),1),""))</f>
        <v/>
      </c>
      <c r="AU168" s="8">
        <f>IF(AU$3="","",IFERROR(LEFT(TRIM(INDEX(Forms貼り付け!$A:$AZ,167,AU$3)),1),""))</f>
        <v/>
      </c>
      <c r="AV168" s="8">
        <f>IF(AV$3="","",IFERROR(LEFT(TRIM(INDEX(Forms貼り付け!$A:$AZ,167,AV$3)),1),""))</f>
        <v/>
      </c>
      <c r="AW168" s="8">
        <f>IF(AW$3="","",IFERROR(LEFT(TRIM(INDEX(Forms貼り付け!$A:$AZ,167,AW$3)),1),""))</f>
        <v/>
      </c>
      <c r="AX168" s="8">
        <f>IF(AX$3="","",IFERROR(LEFT(TRIM(INDEX(Forms貼り付け!$A:$AZ,167,AX$3)),1),""))</f>
        <v/>
      </c>
      <c r="AY168" s="8">
        <f>IF(AY$3="","",IFERROR(LEFT(TRIM(INDEX(Forms貼り付け!$A:$AZ,167,AY$3)),1),""))</f>
        <v/>
      </c>
      <c r="AZ168" s="8">
        <f>IF(AZ$3="","",IFERROR(LEFT(TRIM(INDEX(Forms貼り付け!$A:$AZ,167,AZ$3)),1),""))</f>
        <v/>
      </c>
      <c r="BA168" s="8">
        <f>IF(BA$3="","",IFERROR(LEFT(TRIM(INDEX(Forms貼り付け!$A:$AZ,167,BA$3)),1),""))</f>
        <v/>
      </c>
      <c r="BB168" s="8">
        <f>IF(BB$3="","",IFERROR(LEFT(TRIM(INDEX(Forms貼り付け!$A:$AZ,167,BB$3)),1),""))</f>
        <v/>
      </c>
      <c r="BC168" s="8">
        <f>IF(BC$3="","",IFERROR(LEFT(TRIM(INDEX(Forms貼り付け!$A:$AZ,167,BC$3)),1),""))</f>
        <v/>
      </c>
    </row>
    <row r="169">
      <c r="A169" s="8" t="inlineStr">
        <is>
          <t>U165</t>
        </is>
      </c>
      <c r="B169" s="9">
        <f>IF($B$3="","",INDEX(Forms貼り付け!$A:$AZ,168,$B$3))</f>
        <v/>
      </c>
      <c r="C169" s="9">
        <f>IF($C$3="","",INDEX(Forms貼り付け!$A:$AZ,168,$C$3))</f>
        <v/>
      </c>
      <c r="D169" s="8">
        <f>IF($D$3="","",INDEX(Forms貼り付け!$A:$AZ,168,$D$3))</f>
        <v/>
      </c>
      <c r="E169" s="8">
        <f>IF($E$3="","",INDEX(Forms貼り付け!$A:$AZ,168,$E$3))</f>
        <v/>
      </c>
      <c r="F169" s="8">
        <f>IF(F$3="","",IFERROR(LEFT(TRIM(INDEX(Forms貼り付け!$A:$AZ,168,F$3)),1),""))</f>
        <v/>
      </c>
      <c r="G169" s="8">
        <f>IF(G$3="","",IFERROR(LEFT(TRIM(INDEX(Forms貼り付け!$A:$AZ,168,G$3)),1),""))</f>
        <v/>
      </c>
      <c r="H169" s="8">
        <f>IF(H$3="","",IFERROR(LEFT(TRIM(INDEX(Forms貼り付け!$A:$AZ,168,H$3)),1),""))</f>
        <v/>
      </c>
      <c r="I169" s="8">
        <f>IF(I$3="","",IFERROR(LEFT(TRIM(INDEX(Forms貼り付け!$A:$AZ,168,I$3)),1),""))</f>
        <v/>
      </c>
      <c r="J169" s="8">
        <f>IF(J$3="","",IFERROR(LEFT(TRIM(INDEX(Forms貼り付け!$A:$AZ,168,J$3)),1),""))</f>
        <v/>
      </c>
      <c r="K169" s="8">
        <f>IF(K$3="","",IFERROR(LEFT(TRIM(INDEX(Forms貼り付け!$A:$AZ,168,K$3)),1),""))</f>
        <v/>
      </c>
      <c r="L169" s="8">
        <f>IF(L$3="","",IFERROR(LEFT(TRIM(INDEX(Forms貼り付け!$A:$AZ,168,L$3)),1),""))</f>
        <v/>
      </c>
      <c r="M169" s="8">
        <f>IF(M$3="","",IFERROR(LEFT(TRIM(INDEX(Forms貼り付け!$A:$AZ,168,M$3)),1),""))</f>
        <v/>
      </c>
      <c r="N169" s="8">
        <f>IF(N$3="","",IFERROR(LEFT(TRIM(INDEX(Forms貼り付け!$A:$AZ,168,N$3)),1),""))</f>
        <v/>
      </c>
      <c r="O169" s="8">
        <f>IF(O$3="","",IFERROR(LEFT(TRIM(INDEX(Forms貼り付け!$A:$AZ,168,O$3)),1),""))</f>
        <v/>
      </c>
      <c r="P169" s="8">
        <f>IF(P$3="","",IFERROR(LEFT(TRIM(INDEX(Forms貼り付け!$A:$AZ,168,P$3)),1),""))</f>
        <v/>
      </c>
      <c r="Q169" s="8">
        <f>IF(Q$3="","",IFERROR(LEFT(TRIM(INDEX(Forms貼り付け!$A:$AZ,168,Q$3)),1),""))</f>
        <v/>
      </c>
      <c r="R169" s="8">
        <f>IF(R$3="","",IFERROR(LEFT(TRIM(INDEX(Forms貼り付け!$A:$AZ,168,R$3)),1),""))</f>
        <v/>
      </c>
      <c r="S169" s="8">
        <f>IF(S$3="","",IFERROR(LEFT(TRIM(INDEX(Forms貼り付け!$A:$AZ,168,S$3)),1),""))</f>
        <v/>
      </c>
      <c r="T169" s="8">
        <f>IF(T$3="","",IFERROR(LEFT(TRIM(INDEX(Forms貼り付け!$A:$AZ,168,T$3)),1),""))</f>
        <v/>
      </c>
      <c r="U169" s="8">
        <f>IF(U$3="","",IFERROR(LEFT(TRIM(INDEX(Forms貼り付け!$A:$AZ,168,U$3)),1),""))</f>
        <v/>
      </c>
      <c r="V169" s="8">
        <f>IF(V$3="","",IFERROR(LEFT(TRIM(INDEX(Forms貼り付け!$A:$AZ,168,V$3)),1),""))</f>
        <v/>
      </c>
      <c r="W169" s="8">
        <f>IF(W$3="","",IFERROR(LEFT(TRIM(INDEX(Forms貼り付け!$A:$AZ,168,W$3)),1),""))</f>
        <v/>
      </c>
      <c r="X169" s="8">
        <f>IF(X$3="","",IFERROR(LEFT(TRIM(INDEX(Forms貼り付け!$A:$AZ,168,X$3)),1),""))</f>
        <v/>
      </c>
      <c r="Y169" s="8">
        <f>IF(Y$3="","",IFERROR(LEFT(TRIM(INDEX(Forms貼り付け!$A:$AZ,168,Y$3)),1),""))</f>
        <v/>
      </c>
      <c r="Z169" s="8">
        <f>IF(Z$3="","",IFERROR(LEFT(TRIM(INDEX(Forms貼り付け!$A:$AZ,168,Z$3)),1),""))</f>
        <v/>
      </c>
      <c r="AA169" s="8">
        <f>IF(AA$3="","",IFERROR(LEFT(TRIM(INDEX(Forms貼り付け!$A:$AZ,168,AA$3)),1),""))</f>
        <v/>
      </c>
      <c r="AB169" s="8">
        <f>IF(AB$3="","",IFERROR(LEFT(TRIM(INDEX(Forms貼り付け!$A:$AZ,168,AB$3)),1),""))</f>
        <v/>
      </c>
      <c r="AC169" s="8">
        <f>IF(AC$3="","",IFERROR(LEFT(TRIM(INDEX(Forms貼り付け!$A:$AZ,168,AC$3)),1),""))</f>
        <v/>
      </c>
      <c r="AD169" s="8">
        <f>IF(AD$3="","",IFERROR(LEFT(TRIM(INDEX(Forms貼り付け!$A:$AZ,168,AD$3)),1),""))</f>
        <v/>
      </c>
      <c r="AE169" s="8">
        <f>IF(AE$3="","",IFERROR(LEFT(TRIM(INDEX(Forms貼り付け!$A:$AZ,168,AE$3)),1),""))</f>
        <v/>
      </c>
      <c r="AF169" s="8">
        <f>IF(AF$3="","",IFERROR(LEFT(TRIM(INDEX(Forms貼り付け!$A:$AZ,168,AF$3)),1),""))</f>
        <v/>
      </c>
      <c r="AG169" s="8">
        <f>IF(AG$3="","",IFERROR(LEFT(TRIM(INDEX(Forms貼り付け!$A:$AZ,168,AG$3)),1),""))</f>
        <v/>
      </c>
      <c r="AH169" s="8">
        <f>IF(AH$3="","",IFERROR(LEFT(TRIM(INDEX(Forms貼り付け!$A:$AZ,168,AH$3)),1),""))</f>
        <v/>
      </c>
      <c r="AI169" s="8">
        <f>IF(AI$3="","",IFERROR(LEFT(TRIM(INDEX(Forms貼り付け!$A:$AZ,168,AI$3)),1),""))</f>
        <v/>
      </c>
      <c r="AJ169" s="8">
        <f>IF(AJ$3="","",IFERROR(LEFT(TRIM(INDEX(Forms貼り付け!$A:$AZ,168,AJ$3)),1),""))</f>
        <v/>
      </c>
      <c r="AK169" s="8">
        <f>IF(AK$3="","",IFERROR(LEFT(TRIM(INDEX(Forms貼り付け!$A:$AZ,168,AK$3)),1),""))</f>
        <v/>
      </c>
      <c r="AL169" s="8">
        <f>IF(AL$3="","",IFERROR(LEFT(TRIM(INDEX(Forms貼り付け!$A:$AZ,168,AL$3)),1),""))</f>
        <v/>
      </c>
      <c r="AM169" s="8">
        <f>IF(AM$3="","",IFERROR(LEFT(TRIM(INDEX(Forms貼り付け!$A:$AZ,168,AM$3)),1),""))</f>
        <v/>
      </c>
      <c r="AN169" s="8">
        <f>IF(AN$3="","",IFERROR(LEFT(TRIM(INDEX(Forms貼り付け!$A:$AZ,168,AN$3)),1),""))</f>
        <v/>
      </c>
      <c r="AO169" s="8">
        <f>IF(AO$3="","",IFERROR(LEFT(TRIM(INDEX(Forms貼り付け!$A:$AZ,168,AO$3)),1),""))</f>
        <v/>
      </c>
      <c r="AP169" s="8">
        <f>IF(AP$3="","",IFERROR(LEFT(TRIM(INDEX(Forms貼り付け!$A:$AZ,168,AP$3)),1),""))</f>
        <v/>
      </c>
      <c r="AQ169" s="8">
        <f>IF(AQ$3="","",IFERROR(LEFT(TRIM(INDEX(Forms貼り付け!$A:$AZ,168,AQ$3)),1),""))</f>
        <v/>
      </c>
      <c r="AR169" s="8">
        <f>IF(AR$3="","",IFERROR(LEFT(TRIM(INDEX(Forms貼り付け!$A:$AZ,168,AR$3)),1),""))</f>
        <v/>
      </c>
      <c r="AS169" s="8">
        <f>IF(AS$3="","",IFERROR(LEFT(TRIM(INDEX(Forms貼り付け!$A:$AZ,168,AS$3)),1),""))</f>
        <v/>
      </c>
      <c r="AT169" s="8">
        <f>IF(AT$3="","",IFERROR(LEFT(TRIM(INDEX(Forms貼り付け!$A:$AZ,168,AT$3)),1),""))</f>
        <v/>
      </c>
      <c r="AU169" s="8">
        <f>IF(AU$3="","",IFERROR(LEFT(TRIM(INDEX(Forms貼り付け!$A:$AZ,168,AU$3)),1),""))</f>
        <v/>
      </c>
      <c r="AV169" s="8">
        <f>IF(AV$3="","",IFERROR(LEFT(TRIM(INDEX(Forms貼り付け!$A:$AZ,168,AV$3)),1),""))</f>
        <v/>
      </c>
      <c r="AW169" s="8">
        <f>IF(AW$3="","",IFERROR(LEFT(TRIM(INDEX(Forms貼り付け!$A:$AZ,168,AW$3)),1),""))</f>
        <v/>
      </c>
      <c r="AX169" s="8">
        <f>IF(AX$3="","",IFERROR(LEFT(TRIM(INDEX(Forms貼り付け!$A:$AZ,168,AX$3)),1),""))</f>
        <v/>
      </c>
      <c r="AY169" s="8">
        <f>IF(AY$3="","",IFERROR(LEFT(TRIM(INDEX(Forms貼り付け!$A:$AZ,168,AY$3)),1),""))</f>
        <v/>
      </c>
      <c r="AZ169" s="8">
        <f>IF(AZ$3="","",IFERROR(LEFT(TRIM(INDEX(Forms貼り付け!$A:$AZ,168,AZ$3)),1),""))</f>
        <v/>
      </c>
      <c r="BA169" s="8">
        <f>IF(BA$3="","",IFERROR(LEFT(TRIM(INDEX(Forms貼り付け!$A:$AZ,168,BA$3)),1),""))</f>
        <v/>
      </c>
      <c r="BB169" s="8">
        <f>IF(BB$3="","",IFERROR(LEFT(TRIM(INDEX(Forms貼り付け!$A:$AZ,168,BB$3)),1),""))</f>
        <v/>
      </c>
      <c r="BC169" s="8">
        <f>IF(BC$3="","",IFERROR(LEFT(TRIM(INDEX(Forms貼り付け!$A:$AZ,168,BC$3)),1),""))</f>
        <v/>
      </c>
    </row>
    <row r="170">
      <c r="A170" s="8" t="inlineStr">
        <is>
          <t>U166</t>
        </is>
      </c>
      <c r="B170" s="9">
        <f>IF($B$3="","",INDEX(Forms貼り付け!$A:$AZ,169,$B$3))</f>
        <v/>
      </c>
      <c r="C170" s="9">
        <f>IF($C$3="","",INDEX(Forms貼り付け!$A:$AZ,169,$C$3))</f>
        <v/>
      </c>
      <c r="D170" s="8">
        <f>IF($D$3="","",INDEX(Forms貼り付け!$A:$AZ,169,$D$3))</f>
        <v/>
      </c>
      <c r="E170" s="8">
        <f>IF($E$3="","",INDEX(Forms貼り付け!$A:$AZ,169,$E$3))</f>
        <v/>
      </c>
      <c r="F170" s="8">
        <f>IF(F$3="","",IFERROR(LEFT(TRIM(INDEX(Forms貼り付け!$A:$AZ,169,F$3)),1),""))</f>
        <v/>
      </c>
      <c r="G170" s="8">
        <f>IF(G$3="","",IFERROR(LEFT(TRIM(INDEX(Forms貼り付け!$A:$AZ,169,G$3)),1),""))</f>
        <v/>
      </c>
      <c r="H170" s="8">
        <f>IF(H$3="","",IFERROR(LEFT(TRIM(INDEX(Forms貼り付け!$A:$AZ,169,H$3)),1),""))</f>
        <v/>
      </c>
      <c r="I170" s="8">
        <f>IF(I$3="","",IFERROR(LEFT(TRIM(INDEX(Forms貼り付け!$A:$AZ,169,I$3)),1),""))</f>
        <v/>
      </c>
      <c r="J170" s="8">
        <f>IF(J$3="","",IFERROR(LEFT(TRIM(INDEX(Forms貼り付け!$A:$AZ,169,J$3)),1),""))</f>
        <v/>
      </c>
      <c r="K170" s="8">
        <f>IF(K$3="","",IFERROR(LEFT(TRIM(INDEX(Forms貼り付け!$A:$AZ,169,K$3)),1),""))</f>
        <v/>
      </c>
      <c r="L170" s="8">
        <f>IF(L$3="","",IFERROR(LEFT(TRIM(INDEX(Forms貼り付け!$A:$AZ,169,L$3)),1),""))</f>
        <v/>
      </c>
      <c r="M170" s="8">
        <f>IF(M$3="","",IFERROR(LEFT(TRIM(INDEX(Forms貼り付け!$A:$AZ,169,M$3)),1),""))</f>
        <v/>
      </c>
      <c r="N170" s="8">
        <f>IF(N$3="","",IFERROR(LEFT(TRIM(INDEX(Forms貼り付け!$A:$AZ,169,N$3)),1),""))</f>
        <v/>
      </c>
      <c r="O170" s="8">
        <f>IF(O$3="","",IFERROR(LEFT(TRIM(INDEX(Forms貼り付け!$A:$AZ,169,O$3)),1),""))</f>
        <v/>
      </c>
      <c r="P170" s="8">
        <f>IF(P$3="","",IFERROR(LEFT(TRIM(INDEX(Forms貼り付け!$A:$AZ,169,P$3)),1),""))</f>
        <v/>
      </c>
      <c r="Q170" s="8">
        <f>IF(Q$3="","",IFERROR(LEFT(TRIM(INDEX(Forms貼り付け!$A:$AZ,169,Q$3)),1),""))</f>
        <v/>
      </c>
      <c r="R170" s="8">
        <f>IF(R$3="","",IFERROR(LEFT(TRIM(INDEX(Forms貼り付け!$A:$AZ,169,R$3)),1),""))</f>
        <v/>
      </c>
      <c r="S170" s="8">
        <f>IF(S$3="","",IFERROR(LEFT(TRIM(INDEX(Forms貼り付け!$A:$AZ,169,S$3)),1),""))</f>
        <v/>
      </c>
      <c r="T170" s="8">
        <f>IF(T$3="","",IFERROR(LEFT(TRIM(INDEX(Forms貼り付け!$A:$AZ,169,T$3)),1),""))</f>
        <v/>
      </c>
      <c r="U170" s="8">
        <f>IF(U$3="","",IFERROR(LEFT(TRIM(INDEX(Forms貼り付け!$A:$AZ,169,U$3)),1),""))</f>
        <v/>
      </c>
      <c r="V170" s="8">
        <f>IF(V$3="","",IFERROR(LEFT(TRIM(INDEX(Forms貼り付け!$A:$AZ,169,V$3)),1),""))</f>
        <v/>
      </c>
      <c r="W170" s="8">
        <f>IF(W$3="","",IFERROR(LEFT(TRIM(INDEX(Forms貼り付け!$A:$AZ,169,W$3)),1),""))</f>
        <v/>
      </c>
      <c r="X170" s="8">
        <f>IF(X$3="","",IFERROR(LEFT(TRIM(INDEX(Forms貼り付け!$A:$AZ,169,X$3)),1),""))</f>
        <v/>
      </c>
      <c r="Y170" s="8">
        <f>IF(Y$3="","",IFERROR(LEFT(TRIM(INDEX(Forms貼り付け!$A:$AZ,169,Y$3)),1),""))</f>
        <v/>
      </c>
      <c r="Z170" s="8">
        <f>IF(Z$3="","",IFERROR(LEFT(TRIM(INDEX(Forms貼り付け!$A:$AZ,169,Z$3)),1),""))</f>
        <v/>
      </c>
      <c r="AA170" s="8">
        <f>IF(AA$3="","",IFERROR(LEFT(TRIM(INDEX(Forms貼り付け!$A:$AZ,169,AA$3)),1),""))</f>
        <v/>
      </c>
      <c r="AB170" s="8">
        <f>IF(AB$3="","",IFERROR(LEFT(TRIM(INDEX(Forms貼り付け!$A:$AZ,169,AB$3)),1),""))</f>
        <v/>
      </c>
      <c r="AC170" s="8">
        <f>IF(AC$3="","",IFERROR(LEFT(TRIM(INDEX(Forms貼り付け!$A:$AZ,169,AC$3)),1),""))</f>
        <v/>
      </c>
      <c r="AD170" s="8">
        <f>IF(AD$3="","",IFERROR(LEFT(TRIM(INDEX(Forms貼り付け!$A:$AZ,169,AD$3)),1),""))</f>
        <v/>
      </c>
      <c r="AE170" s="8">
        <f>IF(AE$3="","",IFERROR(LEFT(TRIM(INDEX(Forms貼り付け!$A:$AZ,169,AE$3)),1),""))</f>
        <v/>
      </c>
      <c r="AF170" s="8">
        <f>IF(AF$3="","",IFERROR(LEFT(TRIM(INDEX(Forms貼り付け!$A:$AZ,169,AF$3)),1),""))</f>
        <v/>
      </c>
      <c r="AG170" s="8">
        <f>IF(AG$3="","",IFERROR(LEFT(TRIM(INDEX(Forms貼り付け!$A:$AZ,169,AG$3)),1),""))</f>
        <v/>
      </c>
      <c r="AH170" s="8">
        <f>IF(AH$3="","",IFERROR(LEFT(TRIM(INDEX(Forms貼り付け!$A:$AZ,169,AH$3)),1),""))</f>
        <v/>
      </c>
      <c r="AI170" s="8">
        <f>IF(AI$3="","",IFERROR(LEFT(TRIM(INDEX(Forms貼り付け!$A:$AZ,169,AI$3)),1),""))</f>
        <v/>
      </c>
      <c r="AJ170" s="8">
        <f>IF(AJ$3="","",IFERROR(LEFT(TRIM(INDEX(Forms貼り付け!$A:$AZ,169,AJ$3)),1),""))</f>
        <v/>
      </c>
      <c r="AK170" s="8">
        <f>IF(AK$3="","",IFERROR(LEFT(TRIM(INDEX(Forms貼り付け!$A:$AZ,169,AK$3)),1),""))</f>
        <v/>
      </c>
      <c r="AL170" s="8">
        <f>IF(AL$3="","",IFERROR(LEFT(TRIM(INDEX(Forms貼り付け!$A:$AZ,169,AL$3)),1),""))</f>
        <v/>
      </c>
      <c r="AM170" s="8">
        <f>IF(AM$3="","",IFERROR(LEFT(TRIM(INDEX(Forms貼り付け!$A:$AZ,169,AM$3)),1),""))</f>
        <v/>
      </c>
      <c r="AN170" s="8">
        <f>IF(AN$3="","",IFERROR(LEFT(TRIM(INDEX(Forms貼り付け!$A:$AZ,169,AN$3)),1),""))</f>
        <v/>
      </c>
      <c r="AO170" s="8">
        <f>IF(AO$3="","",IFERROR(LEFT(TRIM(INDEX(Forms貼り付け!$A:$AZ,169,AO$3)),1),""))</f>
        <v/>
      </c>
      <c r="AP170" s="8">
        <f>IF(AP$3="","",IFERROR(LEFT(TRIM(INDEX(Forms貼り付け!$A:$AZ,169,AP$3)),1),""))</f>
        <v/>
      </c>
      <c r="AQ170" s="8">
        <f>IF(AQ$3="","",IFERROR(LEFT(TRIM(INDEX(Forms貼り付け!$A:$AZ,169,AQ$3)),1),""))</f>
        <v/>
      </c>
      <c r="AR170" s="8">
        <f>IF(AR$3="","",IFERROR(LEFT(TRIM(INDEX(Forms貼り付け!$A:$AZ,169,AR$3)),1),""))</f>
        <v/>
      </c>
      <c r="AS170" s="8">
        <f>IF(AS$3="","",IFERROR(LEFT(TRIM(INDEX(Forms貼り付け!$A:$AZ,169,AS$3)),1),""))</f>
        <v/>
      </c>
      <c r="AT170" s="8">
        <f>IF(AT$3="","",IFERROR(LEFT(TRIM(INDEX(Forms貼り付け!$A:$AZ,169,AT$3)),1),""))</f>
        <v/>
      </c>
      <c r="AU170" s="8">
        <f>IF(AU$3="","",IFERROR(LEFT(TRIM(INDEX(Forms貼り付け!$A:$AZ,169,AU$3)),1),""))</f>
        <v/>
      </c>
      <c r="AV170" s="8">
        <f>IF(AV$3="","",IFERROR(LEFT(TRIM(INDEX(Forms貼り付け!$A:$AZ,169,AV$3)),1),""))</f>
        <v/>
      </c>
      <c r="AW170" s="8">
        <f>IF(AW$3="","",IFERROR(LEFT(TRIM(INDEX(Forms貼り付け!$A:$AZ,169,AW$3)),1),""))</f>
        <v/>
      </c>
      <c r="AX170" s="8">
        <f>IF(AX$3="","",IFERROR(LEFT(TRIM(INDEX(Forms貼り付け!$A:$AZ,169,AX$3)),1),""))</f>
        <v/>
      </c>
      <c r="AY170" s="8">
        <f>IF(AY$3="","",IFERROR(LEFT(TRIM(INDEX(Forms貼り付け!$A:$AZ,169,AY$3)),1),""))</f>
        <v/>
      </c>
      <c r="AZ170" s="8">
        <f>IF(AZ$3="","",IFERROR(LEFT(TRIM(INDEX(Forms貼り付け!$A:$AZ,169,AZ$3)),1),""))</f>
        <v/>
      </c>
      <c r="BA170" s="8">
        <f>IF(BA$3="","",IFERROR(LEFT(TRIM(INDEX(Forms貼り付け!$A:$AZ,169,BA$3)),1),""))</f>
        <v/>
      </c>
      <c r="BB170" s="8">
        <f>IF(BB$3="","",IFERROR(LEFT(TRIM(INDEX(Forms貼り付け!$A:$AZ,169,BB$3)),1),""))</f>
        <v/>
      </c>
      <c r="BC170" s="8">
        <f>IF(BC$3="","",IFERROR(LEFT(TRIM(INDEX(Forms貼り付け!$A:$AZ,169,BC$3)),1),""))</f>
        <v/>
      </c>
    </row>
    <row r="171">
      <c r="A171" s="8" t="inlineStr">
        <is>
          <t>U167</t>
        </is>
      </c>
      <c r="B171" s="9">
        <f>IF($B$3="","",INDEX(Forms貼り付け!$A:$AZ,170,$B$3))</f>
        <v/>
      </c>
      <c r="C171" s="9">
        <f>IF($C$3="","",INDEX(Forms貼り付け!$A:$AZ,170,$C$3))</f>
        <v/>
      </c>
      <c r="D171" s="8">
        <f>IF($D$3="","",INDEX(Forms貼り付け!$A:$AZ,170,$D$3))</f>
        <v/>
      </c>
      <c r="E171" s="8">
        <f>IF($E$3="","",INDEX(Forms貼り付け!$A:$AZ,170,$E$3))</f>
        <v/>
      </c>
      <c r="F171" s="8">
        <f>IF(F$3="","",IFERROR(LEFT(TRIM(INDEX(Forms貼り付け!$A:$AZ,170,F$3)),1),""))</f>
        <v/>
      </c>
      <c r="G171" s="8">
        <f>IF(G$3="","",IFERROR(LEFT(TRIM(INDEX(Forms貼り付け!$A:$AZ,170,G$3)),1),""))</f>
        <v/>
      </c>
      <c r="H171" s="8">
        <f>IF(H$3="","",IFERROR(LEFT(TRIM(INDEX(Forms貼り付け!$A:$AZ,170,H$3)),1),""))</f>
        <v/>
      </c>
      <c r="I171" s="8">
        <f>IF(I$3="","",IFERROR(LEFT(TRIM(INDEX(Forms貼り付け!$A:$AZ,170,I$3)),1),""))</f>
        <v/>
      </c>
      <c r="J171" s="8">
        <f>IF(J$3="","",IFERROR(LEFT(TRIM(INDEX(Forms貼り付け!$A:$AZ,170,J$3)),1),""))</f>
        <v/>
      </c>
      <c r="K171" s="8">
        <f>IF(K$3="","",IFERROR(LEFT(TRIM(INDEX(Forms貼り付け!$A:$AZ,170,K$3)),1),""))</f>
        <v/>
      </c>
      <c r="L171" s="8">
        <f>IF(L$3="","",IFERROR(LEFT(TRIM(INDEX(Forms貼り付け!$A:$AZ,170,L$3)),1),""))</f>
        <v/>
      </c>
      <c r="M171" s="8">
        <f>IF(M$3="","",IFERROR(LEFT(TRIM(INDEX(Forms貼り付け!$A:$AZ,170,M$3)),1),""))</f>
        <v/>
      </c>
      <c r="N171" s="8">
        <f>IF(N$3="","",IFERROR(LEFT(TRIM(INDEX(Forms貼り付け!$A:$AZ,170,N$3)),1),""))</f>
        <v/>
      </c>
      <c r="O171" s="8">
        <f>IF(O$3="","",IFERROR(LEFT(TRIM(INDEX(Forms貼り付け!$A:$AZ,170,O$3)),1),""))</f>
        <v/>
      </c>
      <c r="P171" s="8">
        <f>IF(P$3="","",IFERROR(LEFT(TRIM(INDEX(Forms貼り付け!$A:$AZ,170,P$3)),1),""))</f>
        <v/>
      </c>
      <c r="Q171" s="8">
        <f>IF(Q$3="","",IFERROR(LEFT(TRIM(INDEX(Forms貼り付け!$A:$AZ,170,Q$3)),1),""))</f>
        <v/>
      </c>
      <c r="R171" s="8">
        <f>IF(R$3="","",IFERROR(LEFT(TRIM(INDEX(Forms貼り付け!$A:$AZ,170,R$3)),1),""))</f>
        <v/>
      </c>
      <c r="S171" s="8">
        <f>IF(S$3="","",IFERROR(LEFT(TRIM(INDEX(Forms貼り付け!$A:$AZ,170,S$3)),1),""))</f>
        <v/>
      </c>
      <c r="T171" s="8">
        <f>IF(T$3="","",IFERROR(LEFT(TRIM(INDEX(Forms貼り付け!$A:$AZ,170,T$3)),1),""))</f>
        <v/>
      </c>
      <c r="U171" s="8">
        <f>IF(U$3="","",IFERROR(LEFT(TRIM(INDEX(Forms貼り付け!$A:$AZ,170,U$3)),1),""))</f>
        <v/>
      </c>
      <c r="V171" s="8">
        <f>IF(V$3="","",IFERROR(LEFT(TRIM(INDEX(Forms貼り付け!$A:$AZ,170,V$3)),1),""))</f>
        <v/>
      </c>
      <c r="W171" s="8">
        <f>IF(W$3="","",IFERROR(LEFT(TRIM(INDEX(Forms貼り付け!$A:$AZ,170,W$3)),1),""))</f>
        <v/>
      </c>
      <c r="X171" s="8">
        <f>IF(X$3="","",IFERROR(LEFT(TRIM(INDEX(Forms貼り付け!$A:$AZ,170,X$3)),1),""))</f>
        <v/>
      </c>
      <c r="Y171" s="8">
        <f>IF(Y$3="","",IFERROR(LEFT(TRIM(INDEX(Forms貼り付け!$A:$AZ,170,Y$3)),1),""))</f>
        <v/>
      </c>
      <c r="Z171" s="8">
        <f>IF(Z$3="","",IFERROR(LEFT(TRIM(INDEX(Forms貼り付け!$A:$AZ,170,Z$3)),1),""))</f>
        <v/>
      </c>
      <c r="AA171" s="8">
        <f>IF(AA$3="","",IFERROR(LEFT(TRIM(INDEX(Forms貼り付け!$A:$AZ,170,AA$3)),1),""))</f>
        <v/>
      </c>
      <c r="AB171" s="8">
        <f>IF(AB$3="","",IFERROR(LEFT(TRIM(INDEX(Forms貼り付け!$A:$AZ,170,AB$3)),1),""))</f>
        <v/>
      </c>
      <c r="AC171" s="8">
        <f>IF(AC$3="","",IFERROR(LEFT(TRIM(INDEX(Forms貼り付け!$A:$AZ,170,AC$3)),1),""))</f>
        <v/>
      </c>
      <c r="AD171" s="8">
        <f>IF(AD$3="","",IFERROR(LEFT(TRIM(INDEX(Forms貼り付け!$A:$AZ,170,AD$3)),1),""))</f>
        <v/>
      </c>
      <c r="AE171" s="8">
        <f>IF(AE$3="","",IFERROR(LEFT(TRIM(INDEX(Forms貼り付け!$A:$AZ,170,AE$3)),1),""))</f>
        <v/>
      </c>
      <c r="AF171" s="8">
        <f>IF(AF$3="","",IFERROR(LEFT(TRIM(INDEX(Forms貼り付け!$A:$AZ,170,AF$3)),1),""))</f>
        <v/>
      </c>
      <c r="AG171" s="8">
        <f>IF(AG$3="","",IFERROR(LEFT(TRIM(INDEX(Forms貼り付け!$A:$AZ,170,AG$3)),1),""))</f>
        <v/>
      </c>
      <c r="AH171" s="8">
        <f>IF(AH$3="","",IFERROR(LEFT(TRIM(INDEX(Forms貼り付け!$A:$AZ,170,AH$3)),1),""))</f>
        <v/>
      </c>
      <c r="AI171" s="8">
        <f>IF(AI$3="","",IFERROR(LEFT(TRIM(INDEX(Forms貼り付け!$A:$AZ,170,AI$3)),1),""))</f>
        <v/>
      </c>
      <c r="AJ171" s="8">
        <f>IF(AJ$3="","",IFERROR(LEFT(TRIM(INDEX(Forms貼り付け!$A:$AZ,170,AJ$3)),1),""))</f>
        <v/>
      </c>
      <c r="AK171" s="8">
        <f>IF(AK$3="","",IFERROR(LEFT(TRIM(INDEX(Forms貼り付け!$A:$AZ,170,AK$3)),1),""))</f>
        <v/>
      </c>
      <c r="AL171" s="8">
        <f>IF(AL$3="","",IFERROR(LEFT(TRIM(INDEX(Forms貼り付け!$A:$AZ,170,AL$3)),1),""))</f>
        <v/>
      </c>
      <c r="AM171" s="8">
        <f>IF(AM$3="","",IFERROR(LEFT(TRIM(INDEX(Forms貼り付け!$A:$AZ,170,AM$3)),1),""))</f>
        <v/>
      </c>
      <c r="AN171" s="8">
        <f>IF(AN$3="","",IFERROR(LEFT(TRIM(INDEX(Forms貼り付け!$A:$AZ,170,AN$3)),1),""))</f>
        <v/>
      </c>
      <c r="AO171" s="8">
        <f>IF(AO$3="","",IFERROR(LEFT(TRIM(INDEX(Forms貼り付け!$A:$AZ,170,AO$3)),1),""))</f>
        <v/>
      </c>
      <c r="AP171" s="8">
        <f>IF(AP$3="","",IFERROR(LEFT(TRIM(INDEX(Forms貼り付け!$A:$AZ,170,AP$3)),1),""))</f>
        <v/>
      </c>
      <c r="AQ171" s="8">
        <f>IF(AQ$3="","",IFERROR(LEFT(TRIM(INDEX(Forms貼り付け!$A:$AZ,170,AQ$3)),1),""))</f>
        <v/>
      </c>
      <c r="AR171" s="8">
        <f>IF(AR$3="","",IFERROR(LEFT(TRIM(INDEX(Forms貼り付け!$A:$AZ,170,AR$3)),1),""))</f>
        <v/>
      </c>
      <c r="AS171" s="8">
        <f>IF(AS$3="","",IFERROR(LEFT(TRIM(INDEX(Forms貼り付け!$A:$AZ,170,AS$3)),1),""))</f>
        <v/>
      </c>
      <c r="AT171" s="8">
        <f>IF(AT$3="","",IFERROR(LEFT(TRIM(INDEX(Forms貼り付け!$A:$AZ,170,AT$3)),1),""))</f>
        <v/>
      </c>
      <c r="AU171" s="8">
        <f>IF(AU$3="","",IFERROR(LEFT(TRIM(INDEX(Forms貼り付け!$A:$AZ,170,AU$3)),1),""))</f>
        <v/>
      </c>
      <c r="AV171" s="8">
        <f>IF(AV$3="","",IFERROR(LEFT(TRIM(INDEX(Forms貼り付け!$A:$AZ,170,AV$3)),1),""))</f>
        <v/>
      </c>
      <c r="AW171" s="8">
        <f>IF(AW$3="","",IFERROR(LEFT(TRIM(INDEX(Forms貼り付け!$A:$AZ,170,AW$3)),1),""))</f>
        <v/>
      </c>
      <c r="AX171" s="8">
        <f>IF(AX$3="","",IFERROR(LEFT(TRIM(INDEX(Forms貼り付け!$A:$AZ,170,AX$3)),1),""))</f>
        <v/>
      </c>
      <c r="AY171" s="8">
        <f>IF(AY$3="","",IFERROR(LEFT(TRIM(INDEX(Forms貼り付け!$A:$AZ,170,AY$3)),1),""))</f>
        <v/>
      </c>
      <c r="AZ171" s="8">
        <f>IF(AZ$3="","",IFERROR(LEFT(TRIM(INDEX(Forms貼り付け!$A:$AZ,170,AZ$3)),1),""))</f>
        <v/>
      </c>
      <c r="BA171" s="8">
        <f>IF(BA$3="","",IFERROR(LEFT(TRIM(INDEX(Forms貼り付け!$A:$AZ,170,BA$3)),1),""))</f>
        <v/>
      </c>
      <c r="BB171" s="8">
        <f>IF(BB$3="","",IFERROR(LEFT(TRIM(INDEX(Forms貼り付け!$A:$AZ,170,BB$3)),1),""))</f>
        <v/>
      </c>
      <c r="BC171" s="8">
        <f>IF(BC$3="","",IFERROR(LEFT(TRIM(INDEX(Forms貼り付け!$A:$AZ,170,BC$3)),1),""))</f>
        <v/>
      </c>
    </row>
    <row r="172">
      <c r="A172" s="8" t="inlineStr">
        <is>
          <t>U168</t>
        </is>
      </c>
      <c r="B172" s="9">
        <f>IF($B$3="","",INDEX(Forms貼り付け!$A:$AZ,171,$B$3))</f>
        <v/>
      </c>
      <c r="C172" s="9">
        <f>IF($C$3="","",INDEX(Forms貼り付け!$A:$AZ,171,$C$3))</f>
        <v/>
      </c>
      <c r="D172" s="8">
        <f>IF($D$3="","",INDEX(Forms貼り付け!$A:$AZ,171,$D$3))</f>
        <v/>
      </c>
      <c r="E172" s="8">
        <f>IF($E$3="","",INDEX(Forms貼り付け!$A:$AZ,171,$E$3))</f>
        <v/>
      </c>
      <c r="F172" s="8">
        <f>IF(F$3="","",IFERROR(LEFT(TRIM(INDEX(Forms貼り付け!$A:$AZ,171,F$3)),1),""))</f>
        <v/>
      </c>
      <c r="G172" s="8">
        <f>IF(G$3="","",IFERROR(LEFT(TRIM(INDEX(Forms貼り付け!$A:$AZ,171,G$3)),1),""))</f>
        <v/>
      </c>
      <c r="H172" s="8">
        <f>IF(H$3="","",IFERROR(LEFT(TRIM(INDEX(Forms貼り付け!$A:$AZ,171,H$3)),1),""))</f>
        <v/>
      </c>
      <c r="I172" s="8">
        <f>IF(I$3="","",IFERROR(LEFT(TRIM(INDEX(Forms貼り付け!$A:$AZ,171,I$3)),1),""))</f>
        <v/>
      </c>
      <c r="J172" s="8">
        <f>IF(J$3="","",IFERROR(LEFT(TRIM(INDEX(Forms貼り付け!$A:$AZ,171,J$3)),1),""))</f>
        <v/>
      </c>
      <c r="K172" s="8">
        <f>IF(K$3="","",IFERROR(LEFT(TRIM(INDEX(Forms貼り付け!$A:$AZ,171,K$3)),1),""))</f>
        <v/>
      </c>
      <c r="L172" s="8">
        <f>IF(L$3="","",IFERROR(LEFT(TRIM(INDEX(Forms貼り付け!$A:$AZ,171,L$3)),1),""))</f>
        <v/>
      </c>
      <c r="M172" s="8">
        <f>IF(M$3="","",IFERROR(LEFT(TRIM(INDEX(Forms貼り付け!$A:$AZ,171,M$3)),1),""))</f>
        <v/>
      </c>
      <c r="N172" s="8">
        <f>IF(N$3="","",IFERROR(LEFT(TRIM(INDEX(Forms貼り付け!$A:$AZ,171,N$3)),1),""))</f>
        <v/>
      </c>
      <c r="O172" s="8">
        <f>IF(O$3="","",IFERROR(LEFT(TRIM(INDEX(Forms貼り付け!$A:$AZ,171,O$3)),1),""))</f>
        <v/>
      </c>
      <c r="P172" s="8">
        <f>IF(P$3="","",IFERROR(LEFT(TRIM(INDEX(Forms貼り付け!$A:$AZ,171,P$3)),1),""))</f>
        <v/>
      </c>
      <c r="Q172" s="8">
        <f>IF(Q$3="","",IFERROR(LEFT(TRIM(INDEX(Forms貼り付け!$A:$AZ,171,Q$3)),1),""))</f>
        <v/>
      </c>
      <c r="R172" s="8">
        <f>IF(R$3="","",IFERROR(LEFT(TRIM(INDEX(Forms貼り付け!$A:$AZ,171,R$3)),1),""))</f>
        <v/>
      </c>
      <c r="S172" s="8">
        <f>IF(S$3="","",IFERROR(LEFT(TRIM(INDEX(Forms貼り付け!$A:$AZ,171,S$3)),1),""))</f>
        <v/>
      </c>
      <c r="T172" s="8">
        <f>IF(T$3="","",IFERROR(LEFT(TRIM(INDEX(Forms貼り付け!$A:$AZ,171,T$3)),1),""))</f>
        <v/>
      </c>
      <c r="U172" s="8">
        <f>IF(U$3="","",IFERROR(LEFT(TRIM(INDEX(Forms貼り付け!$A:$AZ,171,U$3)),1),""))</f>
        <v/>
      </c>
      <c r="V172" s="8">
        <f>IF(V$3="","",IFERROR(LEFT(TRIM(INDEX(Forms貼り付け!$A:$AZ,171,V$3)),1),""))</f>
        <v/>
      </c>
      <c r="W172" s="8">
        <f>IF(W$3="","",IFERROR(LEFT(TRIM(INDEX(Forms貼り付け!$A:$AZ,171,W$3)),1),""))</f>
        <v/>
      </c>
      <c r="X172" s="8">
        <f>IF(X$3="","",IFERROR(LEFT(TRIM(INDEX(Forms貼り付け!$A:$AZ,171,X$3)),1),""))</f>
        <v/>
      </c>
      <c r="Y172" s="8">
        <f>IF(Y$3="","",IFERROR(LEFT(TRIM(INDEX(Forms貼り付け!$A:$AZ,171,Y$3)),1),""))</f>
        <v/>
      </c>
      <c r="Z172" s="8">
        <f>IF(Z$3="","",IFERROR(LEFT(TRIM(INDEX(Forms貼り付け!$A:$AZ,171,Z$3)),1),""))</f>
        <v/>
      </c>
      <c r="AA172" s="8">
        <f>IF(AA$3="","",IFERROR(LEFT(TRIM(INDEX(Forms貼り付け!$A:$AZ,171,AA$3)),1),""))</f>
        <v/>
      </c>
      <c r="AB172" s="8">
        <f>IF(AB$3="","",IFERROR(LEFT(TRIM(INDEX(Forms貼り付け!$A:$AZ,171,AB$3)),1),""))</f>
        <v/>
      </c>
      <c r="AC172" s="8">
        <f>IF(AC$3="","",IFERROR(LEFT(TRIM(INDEX(Forms貼り付け!$A:$AZ,171,AC$3)),1),""))</f>
        <v/>
      </c>
      <c r="AD172" s="8">
        <f>IF(AD$3="","",IFERROR(LEFT(TRIM(INDEX(Forms貼り付け!$A:$AZ,171,AD$3)),1),""))</f>
        <v/>
      </c>
      <c r="AE172" s="8">
        <f>IF(AE$3="","",IFERROR(LEFT(TRIM(INDEX(Forms貼り付け!$A:$AZ,171,AE$3)),1),""))</f>
        <v/>
      </c>
      <c r="AF172" s="8">
        <f>IF(AF$3="","",IFERROR(LEFT(TRIM(INDEX(Forms貼り付け!$A:$AZ,171,AF$3)),1),""))</f>
        <v/>
      </c>
      <c r="AG172" s="8">
        <f>IF(AG$3="","",IFERROR(LEFT(TRIM(INDEX(Forms貼り付け!$A:$AZ,171,AG$3)),1),""))</f>
        <v/>
      </c>
      <c r="AH172" s="8">
        <f>IF(AH$3="","",IFERROR(LEFT(TRIM(INDEX(Forms貼り付け!$A:$AZ,171,AH$3)),1),""))</f>
        <v/>
      </c>
      <c r="AI172" s="8">
        <f>IF(AI$3="","",IFERROR(LEFT(TRIM(INDEX(Forms貼り付け!$A:$AZ,171,AI$3)),1),""))</f>
        <v/>
      </c>
      <c r="AJ172" s="8">
        <f>IF(AJ$3="","",IFERROR(LEFT(TRIM(INDEX(Forms貼り付け!$A:$AZ,171,AJ$3)),1),""))</f>
        <v/>
      </c>
      <c r="AK172" s="8">
        <f>IF(AK$3="","",IFERROR(LEFT(TRIM(INDEX(Forms貼り付け!$A:$AZ,171,AK$3)),1),""))</f>
        <v/>
      </c>
      <c r="AL172" s="8">
        <f>IF(AL$3="","",IFERROR(LEFT(TRIM(INDEX(Forms貼り付け!$A:$AZ,171,AL$3)),1),""))</f>
        <v/>
      </c>
      <c r="AM172" s="8">
        <f>IF(AM$3="","",IFERROR(LEFT(TRIM(INDEX(Forms貼り付け!$A:$AZ,171,AM$3)),1),""))</f>
        <v/>
      </c>
      <c r="AN172" s="8">
        <f>IF(AN$3="","",IFERROR(LEFT(TRIM(INDEX(Forms貼り付け!$A:$AZ,171,AN$3)),1),""))</f>
        <v/>
      </c>
      <c r="AO172" s="8">
        <f>IF(AO$3="","",IFERROR(LEFT(TRIM(INDEX(Forms貼り付け!$A:$AZ,171,AO$3)),1),""))</f>
        <v/>
      </c>
      <c r="AP172" s="8">
        <f>IF(AP$3="","",IFERROR(LEFT(TRIM(INDEX(Forms貼り付け!$A:$AZ,171,AP$3)),1),""))</f>
        <v/>
      </c>
      <c r="AQ172" s="8">
        <f>IF(AQ$3="","",IFERROR(LEFT(TRIM(INDEX(Forms貼り付け!$A:$AZ,171,AQ$3)),1),""))</f>
        <v/>
      </c>
      <c r="AR172" s="8">
        <f>IF(AR$3="","",IFERROR(LEFT(TRIM(INDEX(Forms貼り付け!$A:$AZ,171,AR$3)),1),""))</f>
        <v/>
      </c>
      <c r="AS172" s="8">
        <f>IF(AS$3="","",IFERROR(LEFT(TRIM(INDEX(Forms貼り付け!$A:$AZ,171,AS$3)),1),""))</f>
        <v/>
      </c>
      <c r="AT172" s="8">
        <f>IF(AT$3="","",IFERROR(LEFT(TRIM(INDEX(Forms貼り付け!$A:$AZ,171,AT$3)),1),""))</f>
        <v/>
      </c>
      <c r="AU172" s="8">
        <f>IF(AU$3="","",IFERROR(LEFT(TRIM(INDEX(Forms貼り付け!$A:$AZ,171,AU$3)),1),""))</f>
        <v/>
      </c>
      <c r="AV172" s="8">
        <f>IF(AV$3="","",IFERROR(LEFT(TRIM(INDEX(Forms貼り付け!$A:$AZ,171,AV$3)),1),""))</f>
        <v/>
      </c>
      <c r="AW172" s="8">
        <f>IF(AW$3="","",IFERROR(LEFT(TRIM(INDEX(Forms貼り付け!$A:$AZ,171,AW$3)),1),""))</f>
        <v/>
      </c>
      <c r="AX172" s="8">
        <f>IF(AX$3="","",IFERROR(LEFT(TRIM(INDEX(Forms貼り付け!$A:$AZ,171,AX$3)),1),""))</f>
        <v/>
      </c>
      <c r="AY172" s="8">
        <f>IF(AY$3="","",IFERROR(LEFT(TRIM(INDEX(Forms貼り付け!$A:$AZ,171,AY$3)),1),""))</f>
        <v/>
      </c>
      <c r="AZ172" s="8">
        <f>IF(AZ$3="","",IFERROR(LEFT(TRIM(INDEX(Forms貼り付け!$A:$AZ,171,AZ$3)),1),""))</f>
        <v/>
      </c>
      <c r="BA172" s="8">
        <f>IF(BA$3="","",IFERROR(LEFT(TRIM(INDEX(Forms貼り付け!$A:$AZ,171,BA$3)),1),""))</f>
        <v/>
      </c>
      <c r="BB172" s="8">
        <f>IF(BB$3="","",IFERROR(LEFT(TRIM(INDEX(Forms貼り付け!$A:$AZ,171,BB$3)),1),""))</f>
        <v/>
      </c>
      <c r="BC172" s="8">
        <f>IF(BC$3="","",IFERROR(LEFT(TRIM(INDEX(Forms貼り付け!$A:$AZ,171,BC$3)),1),""))</f>
        <v/>
      </c>
    </row>
    <row r="173">
      <c r="A173" s="8" t="inlineStr">
        <is>
          <t>U169</t>
        </is>
      </c>
      <c r="B173" s="9">
        <f>IF($B$3="","",INDEX(Forms貼り付け!$A:$AZ,172,$B$3))</f>
        <v/>
      </c>
      <c r="C173" s="9">
        <f>IF($C$3="","",INDEX(Forms貼り付け!$A:$AZ,172,$C$3))</f>
        <v/>
      </c>
      <c r="D173" s="8">
        <f>IF($D$3="","",INDEX(Forms貼り付け!$A:$AZ,172,$D$3))</f>
        <v/>
      </c>
      <c r="E173" s="8">
        <f>IF($E$3="","",INDEX(Forms貼り付け!$A:$AZ,172,$E$3))</f>
        <v/>
      </c>
      <c r="F173" s="8">
        <f>IF(F$3="","",IFERROR(LEFT(TRIM(INDEX(Forms貼り付け!$A:$AZ,172,F$3)),1),""))</f>
        <v/>
      </c>
      <c r="G173" s="8">
        <f>IF(G$3="","",IFERROR(LEFT(TRIM(INDEX(Forms貼り付け!$A:$AZ,172,G$3)),1),""))</f>
        <v/>
      </c>
      <c r="H173" s="8">
        <f>IF(H$3="","",IFERROR(LEFT(TRIM(INDEX(Forms貼り付け!$A:$AZ,172,H$3)),1),""))</f>
        <v/>
      </c>
      <c r="I173" s="8">
        <f>IF(I$3="","",IFERROR(LEFT(TRIM(INDEX(Forms貼り付け!$A:$AZ,172,I$3)),1),""))</f>
        <v/>
      </c>
      <c r="J173" s="8">
        <f>IF(J$3="","",IFERROR(LEFT(TRIM(INDEX(Forms貼り付け!$A:$AZ,172,J$3)),1),""))</f>
        <v/>
      </c>
      <c r="K173" s="8">
        <f>IF(K$3="","",IFERROR(LEFT(TRIM(INDEX(Forms貼り付け!$A:$AZ,172,K$3)),1),""))</f>
        <v/>
      </c>
      <c r="L173" s="8">
        <f>IF(L$3="","",IFERROR(LEFT(TRIM(INDEX(Forms貼り付け!$A:$AZ,172,L$3)),1),""))</f>
        <v/>
      </c>
      <c r="M173" s="8">
        <f>IF(M$3="","",IFERROR(LEFT(TRIM(INDEX(Forms貼り付け!$A:$AZ,172,M$3)),1),""))</f>
        <v/>
      </c>
      <c r="N173" s="8">
        <f>IF(N$3="","",IFERROR(LEFT(TRIM(INDEX(Forms貼り付け!$A:$AZ,172,N$3)),1),""))</f>
        <v/>
      </c>
      <c r="O173" s="8">
        <f>IF(O$3="","",IFERROR(LEFT(TRIM(INDEX(Forms貼り付け!$A:$AZ,172,O$3)),1),""))</f>
        <v/>
      </c>
      <c r="P173" s="8">
        <f>IF(P$3="","",IFERROR(LEFT(TRIM(INDEX(Forms貼り付け!$A:$AZ,172,P$3)),1),""))</f>
        <v/>
      </c>
      <c r="Q173" s="8">
        <f>IF(Q$3="","",IFERROR(LEFT(TRIM(INDEX(Forms貼り付け!$A:$AZ,172,Q$3)),1),""))</f>
        <v/>
      </c>
      <c r="R173" s="8">
        <f>IF(R$3="","",IFERROR(LEFT(TRIM(INDEX(Forms貼り付け!$A:$AZ,172,R$3)),1),""))</f>
        <v/>
      </c>
      <c r="S173" s="8">
        <f>IF(S$3="","",IFERROR(LEFT(TRIM(INDEX(Forms貼り付け!$A:$AZ,172,S$3)),1),""))</f>
        <v/>
      </c>
      <c r="T173" s="8">
        <f>IF(T$3="","",IFERROR(LEFT(TRIM(INDEX(Forms貼り付け!$A:$AZ,172,T$3)),1),""))</f>
        <v/>
      </c>
      <c r="U173" s="8">
        <f>IF(U$3="","",IFERROR(LEFT(TRIM(INDEX(Forms貼り付け!$A:$AZ,172,U$3)),1),""))</f>
        <v/>
      </c>
      <c r="V173" s="8">
        <f>IF(V$3="","",IFERROR(LEFT(TRIM(INDEX(Forms貼り付け!$A:$AZ,172,V$3)),1),""))</f>
        <v/>
      </c>
      <c r="W173" s="8">
        <f>IF(W$3="","",IFERROR(LEFT(TRIM(INDEX(Forms貼り付け!$A:$AZ,172,W$3)),1),""))</f>
        <v/>
      </c>
      <c r="X173" s="8">
        <f>IF(X$3="","",IFERROR(LEFT(TRIM(INDEX(Forms貼り付け!$A:$AZ,172,X$3)),1),""))</f>
        <v/>
      </c>
      <c r="Y173" s="8">
        <f>IF(Y$3="","",IFERROR(LEFT(TRIM(INDEX(Forms貼り付け!$A:$AZ,172,Y$3)),1),""))</f>
        <v/>
      </c>
      <c r="Z173" s="8">
        <f>IF(Z$3="","",IFERROR(LEFT(TRIM(INDEX(Forms貼り付け!$A:$AZ,172,Z$3)),1),""))</f>
        <v/>
      </c>
      <c r="AA173" s="8">
        <f>IF(AA$3="","",IFERROR(LEFT(TRIM(INDEX(Forms貼り付け!$A:$AZ,172,AA$3)),1),""))</f>
        <v/>
      </c>
      <c r="AB173" s="8">
        <f>IF(AB$3="","",IFERROR(LEFT(TRIM(INDEX(Forms貼り付け!$A:$AZ,172,AB$3)),1),""))</f>
        <v/>
      </c>
      <c r="AC173" s="8">
        <f>IF(AC$3="","",IFERROR(LEFT(TRIM(INDEX(Forms貼り付け!$A:$AZ,172,AC$3)),1),""))</f>
        <v/>
      </c>
      <c r="AD173" s="8">
        <f>IF(AD$3="","",IFERROR(LEFT(TRIM(INDEX(Forms貼り付け!$A:$AZ,172,AD$3)),1),""))</f>
        <v/>
      </c>
      <c r="AE173" s="8">
        <f>IF(AE$3="","",IFERROR(LEFT(TRIM(INDEX(Forms貼り付け!$A:$AZ,172,AE$3)),1),""))</f>
        <v/>
      </c>
      <c r="AF173" s="8">
        <f>IF(AF$3="","",IFERROR(LEFT(TRIM(INDEX(Forms貼り付け!$A:$AZ,172,AF$3)),1),""))</f>
        <v/>
      </c>
      <c r="AG173" s="8">
        <f>IF(AG$3="","",IFERROR(LEFT(TRIM(INDEX(Forms貼り付け!$A:$AZ,172,AG$3)),1),""))</f>
        <v/>
      </c>
      <c r="AH173" s="8">
        <f>IF(AH$3="","",IFERROR(LEFT(TRIM(INDEX(Forms貼り付け!$A:$AZ,172,AH$3)),1),""))</f>
        <v/>
      </c>
      <c r="AI173" s="8">
        <f>IF(AI$3="","",IFERROR(LEFT(TRIM(INDEX(Forms貼り付け!$A:$AZ,172,AI$3)),1),""))</f>
        <v/>
      </c>
      <c r="AJ173" s="8">
        <f>IF(AJ$3="","",IFERROR(LEFT(TRIM(INDEX(Forms貼り付け!$A:$AZ,172,AJ$3)),1),""))</f>
        <v/>
      </c>
      <c r="AK173" s="8">
        <f>IF(AK$3="","",IFERROR(LEFT(TRIM(INDEX(Forms貼り付け!$A:$AZ,172,AK$3)),1),""))</f>
        <v/>
      </c>
      <c r="AL173" s="8">
        <f>IF(AL$3="","",IFERROR(LEFT(TRIM(INDEX(Forms貼り付け!$A:$AZ,172,AL$3)),1),""))</f>
        <v/>
      </c>
      <c r="AM173" s="8">
        <f>IF(AM$3="","",IFERROR(LEFT(TRIM(INDEX(Forms貼り付け!$A:$AZ,172,AM$3)),1),""))</f>
        <v/>
      </c>
      <c r="AN173" s="8">
        <f>IF(AN$3="","",IFERROR(LEFT(TRIM(INDEX(Forms貼り付け!$A:$AZ,172,AN$3)),1),""))</f>
        <v/>
      </c>
      <c r="AO173" s="8">
        <f>IF(AO$3="","",IFERROR(LEFT(TRIM(INDEX(Forms貼り付け!$A:$AZ,172,AO$3)),1),""))</f>
        <v/>
      </c>
      <c r="AP173" s="8">
        <f>IF(AP$3="","",IFERROR(LEFT(TRIM(INDEX(Forms貼り付け!$A:$AZ,172,AP$3)),1),""))</f>
        <v/>
      </c>
      <c r="AQ173" s="8">
        <f>IF(AQ$3="","",IFERROR(LEFT(TRIM(INDEX(Forms貼り付け!$A:$AZ,172,AQ$3)),1),""))</f>
        <v/>
      </c>
      <c r="AR173" s="8">
        <f>IF(AR$3="","",IFERROR(LEFT(TRIM(INDEX(Forms貼り付け!$A:$AZ,172,AR$3)),1),""))</f>
        <v/>
      </c>
      <c r="AS173" s="8">
        <f>IF(AS$3="","",IFERROR(LEFT(TRIM(INDEX(Forms貼り付け!$A:$AZ,172,AS$3)),1),""))</f>
        <v/>
      </c>
      <c r="AT173" s="8">
        <f>IF(AT$3="","",IFERROR(LEFT(TRIM(INDEX(Forms貼り付け!$A:$AZ,172,AT$3)),1),""))</f>
        <v/>
      </c>
      <c r="AU173" s="8">
        <f>IF(AU$3="","",IFERROR(LEFT(TRIM(INDEX(Forms貼り付け!$A:$AZ,172,AU$3)),1),""))</f>
        <v/>
      </c>
      <c r="AV173" s="8">
        <f>IF(AV$3="","",IFERROR(LEFT(TRIM(INDEX(Forms貼り付け!$A:$AZ,172,AV$3)),1),""))</f>
        <v/>
      </c>
      <c r="AW173" s="8">
        <f>IF(AW$3="","",IFERROR(LEFT(TRIM(INDEX(Forms貼り付け!$A:$AZ,172,AW$3)),1),""))</f>
        <v/>
      </c>
      <c r="AX173" s="8">
        <f>IF(AX$3="","",IFERROR(LEFT(TRIM(INDEX(Forms貼り付け!$A:$AZ,172,AX$3)),1),""))</f>
        <v/>
      </c>
      <c r="AY173" s="8">
        <f>IF(AY$3="","",IFERROR(LEFT(TRIM(INDEX(Forms貼り付け!$A:$AZ,172,AY$3)),1),""))</f>
        <v/>
      </c>
      <c r="AZ173" s="8">
        <f>IF(AZ$3="","",IFERROR(LEFT(TRIM(INDEX(Forms貼り付け!$A:$AZ,172,AZ$3)),1),""))</f>
        <v/>
      </c>
      <c r="BA173" s="8">
        <f>IF(BA$3="","",IFERROR(LEFT(TRIM(INDEX(Forms貼り付け!$A:$AZ,172,BA$3)),1),""))</f>
        <v/>
      </c>
      <c r="BB173" s="8">
        <f>IF(BB$3="","",IFERROR(LEFT(TRIM(INDEX(Forms貼り付け!$A:$AZ,172,BB$3)),1),""))</f>
        <v/>
      </c>
      <c r="BC173" s="8">
        <f>IF(BC$3="","",IFERROR(LEFT(TRIM(INDEX(Forms貼り付け!$A:$AZ,172,BC$3)),1),""))</f>
        <v/>
      </c>
    </row>
    <row r="174">
      <c r="A174" s="8" t="inlineStr">
        <is>
          <t>U170</t>
        </is>
      </c>
      <c r="B174" s="9">
        <f>IF($B$3="","",INDEX(Forms貼り付け!$A:$AZ,173,$B$3))</f>
        <v/>
      </c>
      <c r="C174" s="9">
        <f>IF($C$3="","",INDEX(Forms貼り付け!$A:$AZ,173,$C$3))</f>
        <v/>
      </c>
      <c r="D174" s="8">
        <f>IF($D$3="","",INDEX(Forms貼り付け!$A:$AZ,173,$D$3))</f>
        <v/>
      </c>
      <c r="E174" s="8">
        <f>IF($E$3="","",INDEX(Forms貼り付け!$A:$AZ,173,$E$3))</f>
        <v/>
      </c>
      <c r="F174" s="8">
        <f>IF(F$3="","",IFERROR(LEFT(TRIM(INDEX(Forms貼り付け!$A:$AZ,173,F$3)),1),""))</f>
        <v/>
      </c>
      <c r="G174" s="8">
        <f>IF(G$3="","",IFERROR(LEFT(TRIM(INDEX(Forms貼り付け!$A:$AZ,173,G$3)),1),""))</f>
        <v/>
      </c>
      <c r="H174" s="8">
        <f>IF(H$3="","",IFERROR(LEFT(TRIM(INDEX(Forms貼り付け!$A:$AZ,173,H$3)),1),""))</f>
        <v/>
      </c>
      <c r="I174" s="8">
        <f>IF(I$3="","",IFERROR(LEFT(TRIM(INDEX(Forms貼り付け!$A:$AZ,173,I$3)),1),""))</f>
        <v/>
      </c>
      <c r="J174" s="8">
        <f>IF(J$3="","",IFERROR(LEFT(TRIM(INDEX(Forms貼り付け!$A:$AZ,173,J$3)),1),""))</f>
        <v/>
      </c>
      <c r="K174" s="8">
        <f>IF(K$3="","",IFERROR(LEFT(TRIM(INDEX(Forms貼り付け!$A:$AZ,173,K$3)),1),""))</f>
        <v/>
      </c>
      <c r="L174" s="8">
        <f>IF(L$3="","",IFERROR(LEFT(TRIM(INDEX(Forms貼り付け!$A:$AZ,173,L$3)),1),""))</f>
        <v/>
      </c>
      <c r="M174" s="8">
        <f>IF(M$3="","",IFERROR(LEFT(TRIM(INDEX(Forms貼り付け!$A:$AZ,173,M$3)),1),""))</f>
        <v/>
      </c>
      <c r="N174" s="8">
        <f>IF(N$3="","",IFERROR(LEFT(TRIM(INDEX(Forms貼り付け!$A:$AZ,173,N$3)),1),""))</f>
        <v/>
      </c>
      <c r="O174" s="8">
        <f>IF(O$3="","",IFERROR(LEFT(TRIM(INDEX(Forms貼り付け!$A:$AZ,173,O$3)),1),""))</f>
        <v/>
      </c>
      <c r="P174" s="8">
        <f>IF(P$3="","",IFERROR(LEFT(TRIM(INDEX(Forms貼り付け!$A:$AZ,173,P$3)),1),""))</f>
        <v/>
      </c>
      <c r="Q174" s="8">
        <f>IF(Q$3="","",IFERROR(LEFT(TRIM(INDEX(Forms貼り付け!$A:$AZ,173,Q$3)),1),""))</f>
        <v/>
      </c>
      <c r="R174" s="8">
        <f>IF(R$3="","",IFERROR(LEFT(TRIM(INDEX(Forms貼り付け!$A:$AZ,173,R$3)),1),""))</f>
        <v/>
      </c>
      <c r="S174" s="8">
        <f>IF(S$3="","",IFERROR(LEFT(TRIM(INDEX(Forms貼り付け!$A:$AZ,173,S$3)),1),""))</f>
        <v/>
      </c>
      <c r="T174" s="8">
        <f>IF(T$3="","",IFERROR(LEFT(TRIM(INDEX(Forms貼り付け!$A:$AZ,173,T$3)),1),""))</f>
        <v/>
      </c>
      <c r="U174" s="8">
        <f>IF(U$3="","",IFERROR(LEFT(TRIM(INDEX(Forms貼り付け!$A:$AZ,173,U$3)),1),""))</f>
        <v/>
      </c>
      <c r="V174" s="8">
        <f>IF(V$3="","",IFERROR(LEFT(TRIM(INDEX(Forms貼り付け!$A:$AZ,173,V$3)),1),""))</f>
        <v/>
      </c>
      <c r="W174" s="8">
        <f>IF(W$3="","",IFERROR(LEFT(TRIM(INDEX(Forms貼り付け!$A:$AZ,173,W$3)),1),""))</f>
        <v/>
      </c>
      <c r="X174" s="8">
        <f>IF(X$3="","",IFERROR(LEFT(TRIM(INDEX(Forms貼り付け!$A:$AZ,173,X$3)),1),""))</f>
        <v/>
      </c>
      <c r="Y174" s="8">
        <f>IF(Y$3="","",IFERROR(LEFT(TRIM(INDEX(Forms貼り付け!$A:$AZ,173,Y$3)),1),""))</f>
        <v/>
      </c>
      <c r="Z174" s="8">
        <f>IF(Z$3="","",IFERROR(LEFT(TRIM(INDEX(Forms貼り付け!$A:$AZ,173,Z$3)),1),""))</f>
        <v/>
      </c>
      <c r="AA174" s="8">
        <f>IF(AA$3="","",IFERROR(LEFT(TRIM(INDEX(Forms貼り付け!$A:$AZ,173,AA$3)),1),""))</f>
        <v/>
      </c>
      <c r="AB174" s="8">
        <f>IF(AB$3="","",IFERROR(LEFT(TRIM(INDEX(Forms貼り付け!$A:$AZ,173,AB$3)),1),""))</f>
        <v/>
      </c>
      <c r="AC174" s="8">
        <f>IF(AC$3="","",IFERROR(LEFT(TRIM(INDEX(Forms貼り付け!$A:$AZ,173,AC$3)),1),""))</f>
        <v/>
      </c>
      <c r="AD174" s="8">
        <f>IF(AD$3="","",IFERROR(LEFT(TRIM(INDEX(Forms貼り付け!$A:$AZ,173,AD$3)),1),""))</f>
        <v/>
      </c>
      <c r="AE174" s="8">
        <f>IF(AE$3="","",IFERROR(LEFT(TRIM(INDEX(Forms貼り付け!$A:$AZ,173,AE$3)),1),""))</f>
        <v/>
      </c>
      <c r="AF174" s="8">
        <f>IF(AF$3="","",IFERROR(LEFT(TRIM(INDEX(Forms貼り付け!$A:$AZ,173,AF$3)),1),""))</f>
        <v/>
      </c>
      <c r="AG174" s="8">
        <f>IF(AG$3="","",IFERROR(LEFT(TRIM(INDEX(Forms貼り付け!$A:$AZ,173,AG$3)),1),""))</f>
        <v/>
      </c>
      <c r="AH174" s="8">
        <f>IF(AH$3="","",IFERROR(LEFT(TRIM(INDEX(Forms貼り付け!$A:$AZ,173,AH$3)),1),""))</f>
        <v/>
      </c>
      <c r="AI174" s="8">
        <f>IF(AI$3="","",IFERROR(LEFT(TRIM(INDEX(Forms貼り付け!$A:$AZ,173,AI$3)),1),""))</f>
        <v/>
      </c>
      <c r="AJ174" s="8">
        <f>IF(AJ$3="","",IFERROR(LEFT(TRIM(INDEX(Forms貼り付け!$A:$AZ,173,AJ$3)),1),""))</f>
        <v/>
      </c>
      <c r="AK174" s="8">
        <f>IF(AK$3="","",IFERROR(LEFT(TRIM(INDEX(Forms貼り付け!$A:$AZ,173,AK$3)),1),""))</f>
        <v/>
      </c>
      <c r="AL174" s="8">
        <f>IF(AL$3="","",IFERROR(LEFT(TRIM(INDEX(Forms貼り付け!$A:$AZ,173,AL$3)),1),""))</f>
        <v/>
      </c>
      <c r="AM174" s="8">
        <f>IF(AM$3="","",IFERROR(LEFT(TRIM(INDEX(Forms貼り付け!$A:$AZ,173,AM$3)),1),""))</f>
        <v/>
      </c>
      <c r="AN174" s="8">
        <f>IF(AN$3="","",IFERROR(LEFT(TRIM(INDEX(Forms貼り付け!$A:$AZ,173,AN$3)),1),""))</f>
        <v/>
      </c>
      <c r="AO174" s="8">
        <f>IF(AO$3="","",IFERROR(LEFT(TRIM(INDEX(Forms貼り付け!$A:$AZ,173,AO$3)),1),""))</f>
        <v/>
      </c>
      <c r="AP174" s="8">
        <f>IF(AP$3="","",IFERROR(LEFT(TRIM(INDEX(Forms貼り付け!$A:$AZ,173,AP$3)),1),""))</f>
        <v/>
      </c>
      <c r="AQ174" s="8">
        <f>IF(AQ$3="","",IFERROR(LEFT(TRIM(INDEX(Forms貼り付け!$A:$AZ,173,AQ$3)),1),""))</f>
        <v/>
      </c>
      <c r="AR174" s="8">
        <f>IF(AR$3="","",IFERROR(LEFT(TRIM(INDEX(Forms貼り付け!$A:$AZ,173,AR$3)),1),""))</f>
        <v/>
      </c>
      <c r="AS174" s="8">
        <f>IF(AS$3="","",IFERROR(LEFT(TRIM(INDEX(Forms貼り付け!$A:$AZ,173,AS$3)),1),""))</f>
        <v/>
      </c>
      <c r="AT174" s="8">
        <f>IF(AT$3="","",IFERROR(LEFT(TRIM(INDEX(Forms貼り付け!$A:$AZ,173,AT$3)),1),""))</f>
        <v/>
      </c>
      <c r="AU174" s="8">
        <f>IF(AU$3="","",IFERROR(LEFT(TRIM(INDEX(Forms貼り付け!$A:$AZ,173,AU$3)),1),""))</f>
        <v/>
      </c>
      <c r="AV174" s="8">
        <f>IF(AV$3="","",IFERROR(LEFT(TRIM(INDEX(Forms貼り付け!$A:$AZ,173,AV$3)),1),""))</f>
        <v/>
      </c>
      <c r="AW174" s="8">
        <f>IF(AW$3="","",IFERROR(LEFT(TRIM(INDEX(Forms貼り付け!$A:$AZ,173,AW$3)),1),""))</f>
        <v/>
      </c>
      <c r="AX174" s="8">
        <f>IF(AX$3="","",IFERROR(LEFT(TRIM(INDEX(Forms貼り付け!$A:$AZ,173,AX$3)),1),""))</f>
        <v/>
      </c>
      <c r="AY174" s="8">
        <f>IF(AY$3="","",IFERROR(LEFT(TRIM(INDEX(Forms貼り付け!$A:$AZ,173,AY$3)),1),""))</f>
        <v/>
      </c>
      <c r="AZ174" s="8">
        <f>IF(AZ$3="","",IFERROR(LEFT(TRIM(INDEX(Forms貼り付け!$A:$AZ,173,AZ$3)),1),""))</f>
        <v/>
      </c>
      <c r="BA174" s="8">
        <f>IF(BA$3="","",IFERROR(LEFT(TRIM(INDEX(Forms貼り付け!$A:$AZ,173,BA$3)),1),""))</f>
        <v/>
      </c>
      <c r="BB174" s="8">
        <f>IF(BB$3="","",IFERROR(LEFT(TRIM(INDEX(Forms貼り付け!$A:$AZ,173,BB$3)),1),""))</f>
        <v/>
      </c>
      <c r="BC174" s="8">
        <f>IF(BC$3="","",IFERROR(LEFT(TRIM(INDEX(Forms貼り付け!$A:$AZ,173,BC$3)),1),""))</f>
        <v/>
      </c>
    </row>
    <row r="175">
      <c r="A175" s="8" t="inlineStr">
        <is>
          <t>U171</t>
        </is>
      </c>
      <c r="B175" s="9">
        <f>IF($B$3="","",INDEX(Forms貼り付け!$A:$AZ,174,$B$3))</f>
        <v/>
      </c>
      <c r="C175" s="9">
        <f>IF($C$3="","",INDEX(Forms貼り付け!$A:$AZ,174,$C$3))</f>
        <v/>
      </c>
      <c r="D175" s="8">
        <f>IF($D$3="","",INDEX(Forms貼り付け!$A:$AZ,174,$D$3))</f>
        <v/>
      </c>
      <c r="E175" s="8">
        <f>IF($E$3="","",INDEX(Forms貼り付け!$A:$AZ,174,$E$3))</f>
        <v/>
      </c>
      <c r="F175" s="8">
        <f>IF(F$3="","",IFERROR(LEFT(TRIM(INDEX(Forms貼り付け!$A:$AZ,174,F$3)),1),""))</f>
        <v/>
      </c>
      <c r="G175" s="8">
        <f>IF(G$3="","",IFERROR(LEFT(TRIM(INDEX(Forms貼り付け!$A:$AZ,174,G$3)),1),""))</f>
        <v/>
      </c>
      <c r="H175" s="8">
        <f>IF(H$3="","",IFERROR(LEFT(TRIM(INDEX(Forms貼り付け!$A:$AZ,174,H$3)),1),""))</f>
        <v/>
      </c>
      <c r="I175" s="8">
        <f>IF(I$3="","",IFERROR(LEFT(TRIM(INDEX(Forms貼り付け!$A:$AZ,174,I$3)),1),""))</f>
        <v/>
      </c>
      <c r="J175" s="8">
        <f>IF(J$3="","",IFERROR(LEFT(TRIM(INDEX(Forms貼り付け!$A:$AZ,174,J$3)),1),""))</f>
        <v/>
      </c>
      <c r="K175" s="8">
        <f>IF(K$3="","",IFERROR(LEFT(TRIM(INDEX(Forms貼り付け!$A:$AZ,174,K$3)),1),""))</f>
        <v/>
      </c>
      <c r="L175" s="8">
        <f>IF(L$3="","",IFERROR(LEFT(TRIM(INDEX(Forms貼り付け!$A:$AZ,174,L$3)),1),""))</f>
        <v/>
      </c>
      <c r="M175" s="8">
        <f>IF(M$3="","",IFERROR(LEFT(TRIM(INDEX(Forms貼り付け!$A:$AZ,174,M$3)),1),""))</f>
        <v/>
      </c>
      <c r="N175" s="8">
        <f>IF(N$3="","",IFERROR(LEFT(TRIM(INDEX(Forms貼り付け!$A:$AZ,174,N$3)),1),""))</f>
        <v/>
      </c>
      <c r="O175" s="8">
        <f>IF(O$3="","",IFERROR(LEFT(TRIM(INDEX(Forms貼り付け!$A:$AZ,174,O$3)),1),""))</f>
        <v/>
      </c>
      <c r="P175" s="8">
        <f>IF(P$3="","",IFERROR(LEFT(TRIM(INDEX(Forms貼り付け!$A:$AZ,174,P$3)),1),""))</f>
        <v/>
      </c>
      <c r="Q175" s="8">
        <f>IF(Q$3="","",IFERROR(LEFT(TRIM(INDEX(Forms貼り付け!$A:$AZ,174,Q$3)),1),""))</f>
        <v/>
      </c>
      <c r="R175" s="8">
        <f>IF(R$3="","",IFERROR(LEFT(TRIM(INDEX(Forms貼り付け!$A:$AZ,174,R$3)),1),""))</f>
        <v/>
      </c>
      <c r="S175" s="8">
        <f>IF(S$3="","",IFERROR(LEFT(TRIM(INDEX(Forms貼り付け!$A:$AZ,174,S$3)),1),""))</f>
        <v/>
      </c>
      <c r="T175" s="8">
        <f>IF(T$3="","",IFERROR(LEFT(TRIM(INDEX(Forms貼り付け!$A:$AZ,174,T$3)),1),""))</f>
        <v/>
      </c>
      <c r="U175" s="8">
        <f>IF(U$3="","",IFERROR(LEFT(TRIM(INDEX(Forms貼り付け!$A:$AZ,174,U$3)),1),""))</f>
        <v/>
      </c>
      <c r="V175" s="8">
        <f>IF(V$3="","",IFERROR(LEFT(TRIM(INDEX(Forms貼り付け!$A:$AZ,174,V$3)),1),""))</f>
        <v/>
      </c>
      <c r="W175" s="8">
        <f>IF(W$3="","",IFERROR(LEFT(TRIM(INDEX(Forms貼り付け!$A:$AZ,174,W$3)),1),""))</f>
        <v/>
      </c>
      <c r="X175" s="8">
        <f>IF(X$3="","",IFERROR(LEFT(TRIM(INDEX(Forms貼り付け!$A:$AZ,174,X$3)),1),""))</f>
        <v/>
      </c>
      <c r="Y175" s="8">
        <f>IF(Y$3="","",IFERROR(LEFT(TRIM(INDEX(Forms貼り付け!$A:$AZ,174,Y$3)),1),""))</f>
        <v/>
      </c>
      <c r="Z175" s="8">
        <f>IF(Z$3="","",IFERROR(LEFT(TRIM(INDEX(Forms貼り付け!$A:$AZ,174,Z$3)),1),""))</f>
        <v/>
      </c>
      <c r="AA175" s="8">
        <f>IF(AA$3="","",IFERROR(LEFT(TRIM(INDEX(Forms貼り付け!$A:$AZ,174,AA$3)),1),""))</f>
        <v/>
      </c>
      <c r="AB175" s="8">
        <f>IF(AB$3="","",IFERROR(LEFT(TRIM(INDEX(Forms貼り付け!$A:$AZ,174,AB$3)),1),""))</f>
        <v/>
      </c>
      <c r="AC175" s="8">
        <f>IF(AC$3="","",IFERROR(LEFT(TRIM(INDEX(Forms貼り付け!$A:$AZ,174,AC$3)),1),""))</f>
        <v/>
      </c>
      <c r="AD175" s="8">
        <f>IF(AD$3="","",IFERROR(LEFT(TRIM(INDEX(Forms貼り付け!$A:$AZ,174,AD$3)),1),""))</f>
        <v/>
      </c>
      <c r="AE175" s="8">
        <f>IF(AE$3="","",IFERROR(LEFT(TRIM(INDEX(Forms貼り付け!$A:$AZ,174,AE$3)),1),""))</f>
        <v/>
      </c>
      <c r="AF175" s="8">
        <f>IF(AF$3="","",IFERROR(LEFT(TRIM(INDEX(Forms貼り付け!$A:$AZ,174,AF$3)),1),""))</f>
        <v/>
      </c>
      <c r="AG175" s="8">
        <f>IF(AG$3="","",IFERROR(LEFT(TRIM(INDEX(Forms貼り付け!$A:$AZ,174,AG$3)),1),""))</f>
        <v/>
      </c>
      <c r="AH175" s="8">
        <f>IF(AH$3="","",IFERROR(LEFT(TRIM(INDEX(Forms貼り付け!$A:$AZ,174,AH$3)),1),""))</f>
        <v/>
      </c>
      <c r="AI175" s="8">
        <f>IF(AI$3="","",IFERROR(LEFT(TRIM(INDEX(Forms貼り付け!$A:$AZ,174,AI$3)),1),""))</f>
        <v/>
      </c>
      <c r="AJ175" s="8">
        <f>IF(AJ$3="","",IFERROR(LEFT(TRIM(INDEX(Forms貼り付け!$A:$AZ,174,AJ$3)),1),""))</f>
        <v/>
      </c>
      <c r="AK175" s="8">
        <f>IF(AK$3="","",IFERROR(LEFT(TRIM(INDEX(Forms貼り付け!$A:$AZ,174,AK$3)),1),""))</f>
        <v/>
      </c>
      <c r="AL175" s="8">
        <f>IF(AL$3="","",IFERROR(LEFT(TRIM(INDEX(Forms貼り付け!$A:$AZ,174,AL$3)),1),""))</f>
        <v/>
      </c>
      <c r="AM175" s="8">
        <f>IF(AM$3="","",IFERROR(LEFT(TRIM(INDEX(Forms貼り付け!$A:$AZ,174,AM$3)),1),""))</f>
        <v/>
      </c>
      <c r="AN175" s="8">
        <f>IF(AN$3="","",IFERROR(LEFT(TRIM(INDEX(Forms貼り付け!$A:$AZ,174,AN$3)),1),""))</f>
        <v/>
      </c>
      <c r="AO175" s="8">
        <f>IF(AO$3="","",IFERROR(LEFT(TRIM(INDEX(Forms貼り付け!$A:$AZ,174,AO$3)),1),""))</f>
        <v/>
      </c>
      <c r="AP175" s="8">
        <f>IF(AP$3="","",IFERROR(LEFT(TRIM(INDEX(Forms貼り付け!$A:$AZ,174,AP$3)),1),""))</f>
        <v/>
      </c>
      <c r="AQ175" s="8">
        <f>IF(AQ$3="","",IFERROR(LEFT(TRIM(INDEX(Forms貼り付け!$A:$AZ,174,AQ$3)),1),""))</f>
        <v/>
      </c>
      <c r="AR175" s="8">
        <f>IF(AR$3="","",IFERROR(LEFT(TRIM(INDEX(Forms貼り付け!$A:$AZ,174,AR$3)),1),""))</f>
        <v/>
      </c>
      <c r="AS175" s="8">
        <f>IF(AS$3="","",IFERROR(LEFT(TRIM(INDEX(Forms貼り付け!$A:$AZ,174,AS$3)),1),""))</f>
        <v/>
      </c>
      <c r="AT175" s="8">
        <f>IF(AT$3="","",IFERROR(LEFT(TRIM(INDEX(Forms貼り付け!$A:$AZ,174,AT$3)),1),""))</f>
        <v/>
      </c>
      <c r="AU175" s="8">
        <f>IF(AU$3="","",IFERROR(LEFT(TRIM(INDEX(Forms貼り付け!$A:$AZ,174,AU$3)),1),""))</f>
        <v/>
      </c>
      <c r="AV175" s="8">
        <f>IF(AV$3="","",IFERROR(LEFT(TRIM(INDEX(Forms貼り付け!$A:$AZ,174,AV$3)),1),""))</f>
        <v/>
      </c>
      <c r="AW175" s="8">
        <f>IF(AW$3="","",IFERROR(LEFT(TRIM(INDEX(Forms貼り付け!$A:$AZ,174,AW$3)),1),""))</f>
        <v/>
      </c>
      <c r="AX175" s="8">
        <f>IF(AX$3="","",IFERROR(LEFT(TRIM(INDEX(Forms貼り付け!$A:$AZ,174,AX$3)),1),""))</f>
        <v/>
      </c>
      <c r="AY175" s="8">
        <f>IF(AY$3="","",IFERROR(LEFT(TRIM(INDEX(Forms貼り付け!$A:$AZ,174,AY$3)),1),""))</f>
        <v/>
      </c>
      <c r="AZ175" s="8">
        <f>IF(AZ$3="","",IFERROR(LEFT(TRIM(INDEX(Forms貼り付け!$A:$AZ,174,AZ$3)),1),""))</f>
        <v/>
      </c>
      <c r="BA175" s="8">
        <f>IF(BA$3="","",IFERROR(LEFT(TRIM(INDEX(Forms貼り付け!$A:$AZ,174,BA$3)),1),""))</f>
        <v/>
      </c>
      <c r="BB175" s="8">
        <f>IF(BB$3="","",IFERROR(LEFT(TRIM(INDEX(Forms貼り付け!$A:$AZ,174,BB$3)),1),""))</f>
        <v/>
      </c>
      <c r="BC175" s="8">
        <f>IF(BC$3="","",IFERROR(LEFT(TRIM(INDEX(Forms貼り付け!$A:$AZ,174,BC$3)),1),""))</f>
        <v/>
      </c>
    </row>
    <row r="176">
      <c r="A176" s="8" t="inlineStr">
        <is>
          <t>U172</t>
        </is>
      </c>
      <c r="B176" s="9">
        <f>IF($B$3="","",INDEX(Forms貼り付け!$A:$AZ,175,$B$3))</f>
        <v/>
      </c>
      <c r="C176" s="9">
        <f>IF($C$3="","",INDEX(Forms貼り付け!$A:$AZ,175,$C$3))</f>
        <v/>
      </c>
      <c r="D176" s="8">
        <f>IF($D$3="","",INDEX(Forms貼り付け!$A:$AZ,175,$D$3))</f>
        <v/>
      </c>
      <c r="E176" s="8">
        <f>IF($E$3="","",INDEX(Forms貼り付け!$A:$AZ,175,$E$3))</f>
        <v/>
      </c>
      <c r="F176" s="8">
        <f>IF(F$3="","",IFERROR(LEFT(TRIM(INDEX(Forms貼り付け!$A:$AZ,175,F$3)),1),""))</f>
        <v/>
      </c>
      <c r="G176" s="8">
        <f>IF(G$3="","",IFERROR(LEFT(TRIM(INDEX(Forms貼り付け!$A:$AZ,175,G$3)),1),""))</f>
        <v/>
      </c>
      <c r="H176" s="8">
        <f>IF(H$3="","",IFERROR(LEFT(TRIM(INDEX(Forms貼り付け!$A:$AZ,175,H$3)),1),""))</f>
        <v/>
      </c>
      <c r="I176" s="8">
        <f>IF(I$3="","",IFERROR(LEFT(TRIM(INDEX(Forms貼り付け!$A:$AZ,175,I$3)),1),""))</f>
        <v/>
      </c>
      <c r="J176" s="8">
        <f>IF(J$3="","",IFERROR(LEFT(TRIM(INDEX(Forms貼り付け!$A:$AZ,175,J$3)),1),""))</f>
        <v/>
      </c>
      <c r="K176" s="8">
        <f>IF(K$3="","",IFERROR(LEFT(TRIM(INDEX(Forms貼り付け!$A:$AZ,175,K$3)),1),""))</f>
        <v/>
      </c>
      <c r="L176" s="8">
        <f>IF(L$3="","",IFERROR(LEFT(TRIM(INDEX(Forms貼り付け!$A:$AZ,175,L$3)),1),""))</f>
        <v/>
      </c>
      <c r="M176" s="8">
        <f>IF(M$3="","",IFERROR(LEFT(TRIM(INDEX(Forms貼り付け!$A:$AZ,175,M$3)),1),""))</f>
        <v/>
      </c>
      <c r="N176" s="8">
        <f>IF(N$3="","",IFERROR(LEFT(TRIM(INDEX(Forms貼り付け!$A:$AZ,175,N$3)),1),""))</f>
        <v/>
      </c>
      <c r="O176" s="8">
        <f>IF(O$3="","",IFERROR(LEFT(TRIM(INDEX(Forms貼り付け!$A:$AZ,175,O$3)),1),""))</f>
        <v/>
      </c>
      <c r="P176" s="8">
        <f>IF(P$3="","",IFERROR(LEFT(TRIM(INDEX(Forms貼り付け!$A:$AZ,175,P$3)),1),""))</f>
        <v/>
      </c>
      <c r="Q176" s="8">
        <f>IF(Q$3="","",IFERROR(LEFT(TRIM(INDEX(Forms貼り付け!$A:$AZ,175,Q$3)),1),""))</f>
        <v/>
      </c>
      <c r="R176" s="8">
        <f>IF(R$3="","",IFERROR(LEFT(TRIM(INDEX(Forms貼り付け!$A:$AZ,175,R$3)),1),""))</f>
        <v/>
      </c>
      <c r="S176" s="8">
        <f>IF(S$3="","",IFERROR(LEFT(TRIM(INDEX(Forms貼り付け!$A:$AZ,175,S$3)),1),""))</f>
        <v/>
      </c>
      <c r="T176" s="8">
        <f>IF(T$3="","",IFERROR(LEFT(TRIM(INDEX(Forms貼り付け!$A:$AZ,175,T$3)),1),""))</f>
        <v/>
      </c>
      <c r="U176" s="8">
        <f>IF(U$3="","",IFERROR(LEFT(TRIM(INDEX(Forms貼り付け!$A:$AZ,175,U$3)),1),""))</f>
        <v/>
      </c>
      <c r="V176" s="8">
        <f>IF(V$3="","",IFERROR(LEFT(TRIM(INDEX(Forms貼り付け!$A:$AZ,175,V$3)),1),""))</f>
        <v/>
      </c>
      <c r="W176" s="8">
        <f>IF(W$3="","",IFERROR(LEFT(TRIM(INDEX(Forms貼り付け!$A:$AZ,175,W$3)),1),""))</f>
        <v/>
      </c>
      <c r="X176" s="8">
        <f>IF(X$3="","",IFERROR(LEFT(TRIM(INDEX(Forms貼り付け!$A:$AZ,175,X$3)),1),""))</f>
        <v/>
      </c>
      <c r="Y176" s="8">
        <f>IF(Y$3="","",IFERROR(LEFT(TRIM(INDEX(Forms貼り付け!$A:$AZ,175,Y$3)),1),""))</f>
        <v/>
      </c>
      <c r="Z176" s="8">
        <f>IF(Z$3="","",IFERROR(LEFT(TRIM(INDEX(Forms貼り付け!$A:$AZ,175,Z$3)),1),""))</f>
        <v/>
      </c>
      <c r="AA176" s="8">
        <f>IF(AA$3="","",IFERROR(LEFT(TRIM(INDEX(Forms貼り付け!$A:$AZ,175,AA$3)),1),""))</f>
        <v/>
      </c>
      <c r="AB176" s="8">
        <f>IF(AB$3="","",IFERROR(LEFT(TRIM(INDEX(Forms貼り付け!$A:$AZ,175,AB$3)),1),""))</f>
        <v/>
      </c>
      <c r="AC176" s="8">
        <f>IF(AC$3="","",IFERROR(LEFT(TRIM(INDEX(Forms貼り付け!$A:$AZ,175,AC$3)),1),""))</f>
        <v/>
      </c>
      <c r="AD176" s="8">
        <f>IF(AD$3="","",IFERROR(LEFT(TRIM(INDEX(Forms貼り付け!$A:$AZ,175,AD$3)),1),""))</f>
        <v/>
      </c>
      <c r="AE176" s="8">
        <f>IF(AE$3="","",IFERROR(LEFT(TRIM(INDEX(Forms貼り付け!$A:$AZ,175,AE$3)),1),""))</f>
        <v/>
      </c>
      <c r="AF176" s="8">
        <f>IF(AF$3="","",IFERROR(LEFT(TRIM(INDEX(Forms貼り付け!$A:$AZ,175,AF$3)),1),""))</f>
        <v/>
      </c>
      <c r="AG176" s="8">
        <f>IF(AG$3="","",IFERROR(LEFT(TRIM(INDEX(Forms貼り付け!$A:$AZ,175,AG$3)),1),""))</f>
        <v/>
      </c>
      <c r="AH176" s="8">
        <f>IF(AH$3="","",IFERROR(LEFT(TRIM(INDEX(Forms貼り付け!$A:$AZ,175,AH$3)),1),""))</f>
        <v/>
      </c>
      <c r="AI176" s="8">
        <f>IF(AI$3="","",IFERROR(LEFT(TRIM(INDEX(Forms貼り付け!$A:$AZ,175,AI$3)),1),""))</f>
        <v/>
      </c>
      <c r="AJ176" s="8">
        <f>IF(AJ$3="","",IFERROR(LEFT(TRIM(INDEX(Forms貼り付け!$A:$AZ,175,AJ$3)),1),""))</f>
        <v/>
      </c>
      <c r="AK176" s="8">
        <f>IF(AK$3="","",IFERROR(LEFT(TRIM(INDEX(Forms貼り付け!$A:$AZ,175,AK$3)),1),""))</f>
        <v/>
      </c>
      <c r="AL176" s="8">
        <f>IF(AL$3="","",IFERROR(LEFT(TRIM(INDEX(Forms貼り付け!$A:$AZ,175,AL$3)),1),""))</f>
        <v/>
      </c>
      <c r="AM176" s="8">
        <f>IF(AM$3="","",IFERROR(LEFT(TRIM(INDEX(Forms貼り付け!$A:$AZ,175,AM$3)),1),""))</f>
        <v/>
      </c>
      <c r="AN176" s="8">
        <f>IF(AN$3="","",IFERROR(LEFT(TRIM(INDEX(Forms貼り付け!$A:$AZ,175,AN$3)),1),""))</f>
        <v/>
      </c>
      <c r="AO176" s="8">
        <f>IF(AO$3="","",IFERROR(LEFT(TRIM(INDEX(Forms貼り付け!$A:$AZ,175,AO$3)),1),""))</f>
        <v/>
      </c>
      <c r="AP176" s="8">
        <f>IF(AP$3="","",IFERROR(LEFT(TRIM(INDEX(Forms貼り付け!$A:$AZ,175,AP$3)),1),""))</f>
        <v/>
      </c>
      <c r="AQ176" s="8">
        <f>IF(AQ$3="","",IFERROR(LEFT(TRIM(INDEX(Forms貼り付け!$A:$AZ,175,AQ$3)),1),""))</f>
        <v/>
      </c>
      <c r="AR176" s="8">
        <f>IF(AR$3="","",IFERROR(LEFT(TRIM(INDEX(Forms貼り付け!$A:$AZ,175,AR$3)),1),""))</f>
        <v/>
      </c>
      <c r="AS176" s="8">
        <f>IF(AS$3="","",IFERROR(LEFT(TRIM(INDEX(Forms貼り付け!$A:$AZ,175,AS$3)),1),""))</f>
        <v/>
      </c>
      <c r="AT176" s="8">
        <f>IF(AT$3="","",IFERROR(LEFT(TRIM(INDEX(Forms貼り付け!$A:$AZ,175,AT$3)),1),""))</f>
        <v/>
      </c>
      <c r="AU176" s="8">
        <f>IF(AU$3="","",IFERROR(LEFT(TRIM(INDEX(Forms貼り付け!$A:$AZ,175,AU$3)),1),""))</f>
        <v/>
      </c>
      <c r="AV176" s="8">
        <f>IF(AV$3="","",IFERROR(LEFT(TRIM(INDEX(Forms貼り付け!$A:$AZ,175,AV$3)),1),""))</f>
        <v/>
      </c>
      <c r="AW176" s="8">
        <f>IF(AW$3="","",IFERROR(LEFT(TRIM(INDEX(Forms貼り付け!$A:$AZ,175,AW$3)),1),""))</f>
        <v/>
      </c>
      <c r="AX176" s="8">
        <f>IF(AX$3="","",IFERROR(LEFT(TRIM(INDEX(Forms貼り付け!$A:$AZ,175,AX$3)),1),""))</f>
        <v/>
      </c>
      <c r="AY176" s="8">
        <f>IF(AY$3="","",IFERROR(LEFT(TRIM(INDEX(Forms貼り付け!$A:$AZ,175,AY$3)),1),""))</f>
        <v/>
      </c>
      <c r="AZ176" s="8">
        <f>IF(AZ$3="","",IFERROR(LEFT(TRIM(INDEX(Forms貼り付け!$A:$AZ,175,AZ$3)),1),""))</f>
        <v/>
      </c>
      <c r="BA176" s="8">
        <f>IF(BA$3="","",IFERROR(LEFT(TRIM(INDEX(Forms貼り付け!$A:$AZ,175,BA$3)),1),""))</f>
        <v/>
      </c>
      <c r="BB176" s="8">
        <f>IF(BB$3="","",IFERROR(LEFT(TRIM(INDEX(Forms貼り付け!$A:$AZ,175,BB$3)),1),""))</f>
        <v/>
      </c>
      <c r="BC176" s="8">
        <f>IF(BC$3="","",IFERROR(LEFT(TRIM(INDEX(Forms貼り付け!$A:$AZ,175,BC$3)),1),""))</f>
        <v/>
      </c>
    </row>
    <row r="177">
      <c r="A177" s="8" t="inlineStr">
        <is>
          <t>U173</t>
        </is>
      </c>
      <c r="B177" s="9">
        <f>IF($B$3="","",INDEX(Forms貼り付け!$A:$AZ,176,$B$3))</f>
        <v/>
      </c>
      <c r="C177" s="9">
        <f>IF($C$3="","",INDEX(Forms貼り付け!$A:$AZ,176,$C$3))</f>
        <v/>
      </c>
      <c r="D177" s="8">
        <f>IF($D$3="","",INDEX(Forms貼り付け!$A:$AZ,176,$D$3))</f>
        <v/>
      </c>
      <c r="E177" s="8">
        <f>IF($E$3="","",INDEX(Forms貼り付け!$A:$AZ,176,$E$3))</f>
        <v/>
      </c>
      <c r="F177" s="8">
        <f>IF(F$3="","",IFERROR(LEFT(TRIM(INDEX(Forms貼り付け!$A:$AZ,176,F$3)),1),""))</f>
        <v/>
      </c>
      <c r="G177" s="8">
        <f>IF(G$3="","",IFERROR(LEFT(TRIM(INDEX(Forms貼り付け!$A:$AZ,176,G$3)),1),""))</f>
        <v/>
      </c>
      <c r="H177" s="8">
        <f>IF(H$3="","",IFERROR(LEFT(TRIM(INDEX(Forms貼り付け!$A:$AZ,176,H$3)),1),""))</f>
        <v/>
      </c>
      <c r="I177" s="8">
        <f>IF(I$3="","",IFERROR(LEFT(TRIM(INDEX(Forms貼り付け!$A:$AZ,176,I$3)),1),""))</f>
        <v/>
      </c>
      <c r="J177" s="8">
        <f>IF(J$3="","",IFERROR(LEFT(TRIM(INDEX(Forms貼り付け!$A:$AZ,176,J$3)),1),""))</f>
        <v/>
      </c>
      <c r="K177" s="8">
        <f>IF(K$3="","",IFERROR(LEFT(TRIM(INDEX(Forms貼り付け!$A:$AZ,176,K$3)),1),""))</f>
        <v/>
      </c>
      <c r="L177" s="8">
        <f>IF(L$3="","",IFERROR(LEFT(TRIM(INDEX(Forms貼り付け!$A:$AZ,176,L$3)),1),""))</f>
        <v/>
      </c>
      <c r="M177" s="8">
        <f>IF(M$3="","",IFERROR(LEFT(TRIM(INDEX(Forms貼り付け!$A:$AZ,176,M$3)),1),""))</f>
        <v/>
      </c>
      <c r="N177" s="8">
        <f>IF(N$3="","",IFERROR(LEFT(TRIM(INDEX(Forms貼り付け!$A:$AZ,176,N$3)),1),""))</f>
        <v/>
      </c>
      <c r="O177" s="8">
        <f>IF(O$3="","",IFERROR(LEFT(TRIM(INDEX(Forms貼り付け!$A:$AZ,176,O$3)),1),""))</f>
        <v/>
      </c>
      <c r="P177" s="8">
        <f>IF(P$3="","",IFERROR(LEFT(TRIM(INDEX(Forms貼り付け!$A:$AZ,176,P$3)),1),""))</f>
        <v/>
      </c>
      <c r="Q177" s="8">
        <f>IF(Q$3="","",IFERROR(LEFT(TRIM(INDEX(Forms貼り付け!$A:$AZ,176,Q$3)),1),""))</f>
        <v/>
      </c>
      <c r="R177" s="8">
        <f>IF(R$3="","",IFERROR(LEFT(TRIM(INDEX(Forms貼り付け!$A:$AZ,176,R$3)),1),""))</f>
        <v/>
      </c>
      <c r="S177" s="8">
        <f>IF(S$3="","",IFERROR(LEFT(TRIM(INDEX(Forms貼り付け!$A:$AZ,176,S$3)),1),""))</f>
        <v/>
      </c>
      <c r="T177" s="8">
        <f>IF(T$3="","",IFERROR(LEFT(TRIM(INDEX(Forms貼り付け!$A:$AZ,176,T$3)),1),""))</f>
        <v/>
      </c>
      <c r="U177" s="8">
        <f>IF(U$3="","",IFERROR(LEFT(TRIM(INDEX(Forms貼り付け!$A:$AZ,176,U$3)),1),""))</f>
        <v/>
      </c>
      <c r="V177" s="8">
        <f>IF(V$3="","",IFERROR(LEFT(TRIM(INDEX(Forms貼り付け!$A:$AZ,176,V$3)),1),""))</f>
        <v/>
      </c>
      <c r="W177" s="8">
        <f>IF(W$3="","",IFERROR(LEFT(TRIM(INDEX(Forms貼り付け!$A:$AZ,176,W$3)),1),""))</f>
        <v/>
      </c>
      <c r="X177" s="8">
        <f>IF(X$3="","",IFERROR(LEFT(TRIM(INDEX(Forms貼り付け!$A:$AZ,176,X$3)),1),""))</f>
        <v/>
      </c>
      <c r="Y177" s="8">
        <f>IF(Y$3="","",IFERROR(LEFT(TRIM(INDEX(Forms貼り付け!$A:$AZ,176,Y$3)),1),""))</f>
        <v/>
      </c>
      <c r="Z177" s="8">
        <f>IF(Z$3="","",IFERROR(LEFT(TRIM(INDEX(Forms貼り付け!$A:$AZ,176,Z$3)),1),""))</f>
        <v/>
      </c>
      <c r="AA177" s="8">
        <f>IF(AA$3="","",IFERROR(LEFT(TRIM(INDEX(Forms貼り付け!$A:$AZ,176,AA$3)),1),""))</f>
        <v/>
      </c>
      <c r="AB177" s="8">
        <f>IF(AB$3="","",IFERROR(LEFT(TRIM(INDEX(Forms貼り付け!$A:$AZ,176,AB$3)),1),""))</f>
        <v/>
      </c>
      <c r="AC177" s="8">
        <f>IF(AC$3="","",IFERROR(LEFT(TRIM(INDEX(Forms貼り付け!$A:$AZ,176,AC$3)),1),""))</f>
        <v/>
      </c>
      <c r="AD177" s="8">
        <f>IF(AD$3="","",IFERROR(LEFT(TRIM(INDEX(Forms貼り付け!$A:$AZ,176,AD$3)),1),""))</f>
        <v/>
      </c>
      <c r="AE177" s="8">
        <f>IF(AE$3="","",IFERROR(LEFT(TRIM(INDEX(Forms貼り付け!$A:$AZ,176,AE$3)),1),""))</f>
        <v/>
      </c>
      <c r="AF177" s="8">
        <f>IF(AF$3="","",IFERROR(LEFT(TRIM(INDEX(Forms貼り付け!$A:$AZ,176,AF$3)),1),""))</f>
        <v/>
      </c>
      <c r="AG177" s="8">
        <f>IF(AG$3="","",IFERROR(LEFT(TRIM(INDEX(Forms貼り付け!$A:$AZ,176,AG$3)),1),""))</f>
        <v/>
      </c>
      <c r="AH177" s="8">
        <f>IF(AH$3="","",IFERROR(LEFT(TRIM(INDEX(Forms貼り付け!$A:$AZ,176,AH$3)),1),""))</f>
        <v/>
      </c>
      <c r="AI177" s="8">
        <f>IF(AI$3="","",IFERROR(LEFT(TRIM(INDEX(Forms貼り付け!$A:$AZ,176,AI$3)),1),""))</f>
        <v/>
      </c>
      <c r="AJ177" s="8">
        <f>IF(AJ$3="","",IFERROR(LEFT(TRIM(INDEX(Forms貼り付け!$A:$AZ,176,AJ$3)),1),""))</f>
        <v/>
      </c>
      <c r="AK177" s="8">
        <f>IF(AK$3="","",IFERROR(LEFT(TRIM(INDEX(Forms貼り付け!$A:$AZ,176,AK$3)),1),""))</f>
        <v/>
      </c>
      <c r="AL177" s="8">
        <f>IF(AL$3="","",IFERROR(LEFT(TRIM(INDEX(Forms貼り付け!$A:$AZ,176,AL$3)),1),""))</f>
        <v/>
      </c>
      <c r="AM177" s="8">
        <f>IF(AM$3="","",IFERROR(LEFT(TRIM(INDEX(Forms貼り付け!$A:$AZ,176,AM$3)),1),""))</f>
        <v/>
      </c>
      <c r="AN177" s="8">
        <f>IF(AN$3="","",IFERROR(LEFT(TRIM(INDEX(Forms貼り付け!$A:$AZ,176,AN$3)),1),""))</f>
        <v/>
      </c>
      <c r="AO177" s="8">
        <f>IF(AO$3="","",IFERROR(LEFT(TRIM(INDEX(Forms貼り付け!$A:$AZ,176,AO$3)),1),""))</f>
        <v/>
      </c>
      <c r="AP177" s="8">
        <f>IF(AP$3="","",IFERROR(LEFT(TRIM(INDEX(Forms貼り付け!$A:$AZ,176,AP$3)),1),""))</f>
        <v/>
      </c>
      <c r="AQ177" s="8">
        <f>IF(AQ$3="","",IFERROR(LEFT(TRIM(INDEX(Forms貼り付け!$A:$AZ,176,AQ$3)),1),""))</f>
        <v/>
      </c>
      <c r="AR177" s="8">
        <f>IF(AR$3="","",IFERROR(LEFT(TRIM(INDEX(Forms貼り付け!$A:$AZ,176,AR$3)),1),""))</f>
        <v/>
      </c>
      <c r="AS177" s="8">
        <f>IF(AS$3="","",IFERROR(LEFT(TRIM(INDEX(Forms貼り付け!$A:$AZ,176,AS$3)),1),""))</f>
        <v/>
      </c>
      <c r="AT177" s="8">
        <f>IF(AT$3="","",IFERROR(LEFT(TRIM(INDEX(Forms貼り付け!$A:$AZ,176,AT$3)),1),""))</f>
        <v/>
      </c>
      <c r="AU177" s="8">
        <f>IF(AU$3="","",IFERROR(LEFT(TRIM(INDEX(Forms貼り付け!$A:$AZ,176,AU$3)),1),""))</f>
        <v/>
      </c>
      <c r="AV177" s="8">
        <f>IF(AV$3="","",IFERROR(LEFT(TRIM(INDEX(Forms貼り付け!$A:$AZ,176,AV$3)),1),""))</f>
        <v/>
      </c>
      <c r="AW177" s="8">
        <f>IF(AW$3="","",IFERROR(LEFT(TRIM(INDEX(Forms貼り付け!$A:$AZ,176,AW$3)),1),""))</f>
        <v/>
      </c>
      <c r="AX177" s="8">
        <f>IF(AX$3="","",IFERROR(LEFT(TRIM(INDEX(Forms貼り付け!$A:$AZ,176,AX$3)),1),""))</f>
        <v/>
      </c>
      <c r="AY177" s="8">
        <f>IF(AY$3="","",IFERROR(LEFT(TRIM(INDEX(Forms貼り付け!$A:$AZ,176,AY$3)),1),""))</f>
        <v/>
      </c>
      <c r="AZ177" s="8">
        <f>IF(AZ$3="","",IFERROR(LEFT(TRIM(INDEX(Forms貼り付け!$A:$AZ,176,AZ$3)),1),""))</f>
        <v/>
      </c>
      <c r="BA177" s="8">
        <f>IF(BA$3="","",IFERROR(LEFT(TRIM(INDEX(Forms貼り付け!$A:$AZ,176,BA$3)),1),""))</f>
        <v/>
      </c>
      <c r="BB177" s="8">
        <f>IF(BB$3="","",IFERROR(LEFT(TRIM(INDEX(Forms貼り付け!$A:$AZ,176,BB$3)),1),""))</f>
        <v/>
      </c>
      <c r="BC177" s="8">
        <f>IF(BC$3="","",IFERROR(LEFT(TRIM(INDEX(Forms貼り付け!$A:$AZ,176,BC$3)),1),""))</f>
        <v/>
      </c>
    </row>
    <row r="178">
      <c r="A178" s="8" t="inlineStr">
        <is>
          <t>U174</t>
        </is>
      </c>
      <c r="B178" s="9">
        <f>IF($B$3="","",INDEX(Forms貼り付け!$A:$AZ,177,$B$3))</f>
        <v/>
      </c>
      <c r="C178" s="9">
        <f>IF($C$3="","",INDEX(Forms貼り付け!$A:$AZ,177,$C$3))</f>
        <v/>
      </c>
      <c r="D178" s="8">
        <f>IF($D$3="","",INDEX(Forms貼り付け!$A:$AZ,177,$D$3))</f>
        <v/>
      </c>
      <c r="E178" s="8">
        <f>IF($E$3="","",INDEX(Forms貼り付け!$A:$AZ,177,$E$3))</f>
        <v/>
      </c>
      <c r="F178" s="8">
        <f>IF(F$3="","",IFERROR(LEFT(TRIM(INDEX(Forms貼り付け!$A:$AZ,177,F$3)),1),""))</f>
        <v/>
      </c>
      <c r="G178" s="8">
        <f>IF(G$3="","",IFERROR(LEFT(TRIM(INDEX(Forms貼り付け!$A:$AZ,177,G$3)),1),""))</f>
        <v/>
      </c>
      <c r="H178" s="8">
        <f>IF(H$3="","",IFERROR(LEFT(TRIM(INDEX(Forms貼り付け!$A:$AZ,177,H$3)),1),""))</f>
        <v/>
      </c>
      <c r="I178" s="8">
        <f>IF(I$3="","",IFERROR(LEFT(TRIM(INDEX(Forms貼り付け!$A:$AZ,177,I$3)),1),""))</f>
        <v/>
      </c>
      <c r="J178" s="8">
        <f>IF(J$3="","",IFERROR(LEFT(TRIM(INDEX(Forms貼り付け!$A:$AZ,177,J$3)),1),""))</f>
        <v/>
      </c>
      <c r="K178" s="8">
        <f>IF(K$3="","",IFERROR(LEFT(TRIM(INDEX(Forms貼り付け!$A:$AZ,177,K$3)),1),""))</f>
        <v/>
      </c>
      <c r="L178" s="8">
        <f>IF(L$3="","",IFERROR(LEFT(TRIM(INDEX(Forms貼り付け!$A:$AZ,177,L$3)),1),""))</f>
        <v/>
      </c>
      <c r="M178" s="8">
        <f>IF(M$3="","",IFERROR(LEFT(TRIM(INDEX(Forms貼り付け!$A:$AZ,177,M$3)),1),""))</f>
        <v/>
      </c>
      <c r="N178" s="8">
        <f>IF(N$3="","",IFERROR(LEFT(TRIM(INDEX(Forms貼り付け!$A:$AZ,177,N$3)),1),""))</f>
        <v/>
      </c>
      <c r="O178" s="8">
        <f>IF(O$3="","",IFERROR(LEFT(TRIM(INDEX(Forms貼り付け!$A:$AZ,177,O$3)),1),""))</f>
        <v/>
      </c>
      <c r="P178" s="8">
        <f>IF(P$3="","",IFERROR(LEFT(TRIM(INDEX(Forms貼り付け!$A:$AZ,177,P$3)),1),""))</f>
        <v/>
      </c>
      <c r="Q178" s="8">
        <f>IF(Q$3="","",IFERROR(LEFT(TRIM(INDEX(Forms貼り付け!$A:$AZ,177,Q$3)),1),""))</f>
        <v/>
      </c>
      <c r="R178" s="8">
        <f>IF(R$3="","",IFERROR(LEFT(TRIM(INDEX(Forms貼り付け!$A:$AZ,177,R$3)),1),""))</f>
        <v/>
      </c>
      <c r="S178" s="8">
        <f>IF(S$3="","",IFERROR(LEFT(TRIM(INDEX(Forms貼り付け!$A:$AZ,177,S$3)),1),""))</f>
        <v/>
      </c>
      <c r="T178" s="8">
        <f>IF(T$3="","",IFERROR(LEFT(TRIM(INDEX(Forms貼り付け!$A:$AZ,177,T$3)),1),""))</f>
        <v/>
      </c>
      <c r="U178" s="8">
        <f>IF(U$3="","",IFERROR(LEFT(TRIM(INDEX(Forms貼り付け!$A:$AZ,177,U$3)),1),""))</f>
        <v/>
      </c>
      <c r="V178" s="8">
        <f>IF(V$3="","",IFERROR(LEFT(TRIM(INDEX(Forms貼り付け!$A:$AZ,177,V$3)),1),""))</f>
        <v/>
      </c>
      <c r="W178" s="8">
        <f>IF(W$3="","",IFERROR(LEFT(TRIM(INDEX(Forms貼り付け!$A:$AZ,177,W$3)),1),""))</f>
        <v/>
      </c>
      <c r="X178" s="8">
        <f>IF(X$3="","",IFERROR(LEFT(TRIM(INDEX(Forms貼り付け!$A:$AZ,177,X$3)),1),""))</f>
        <v/>
      </c>
      <c r="Y178" s="8">
        <f>IF(Y$3="","",IFERROR(LEFT(TRIM(INDEX(Forms貼り付け!$A:$AZ,177,Y$3)),1),""))</f>
        <v/>
      </c>
      <c r="Z178" s="8">
        <f>IF(Z$3="","",IFERROR(LEFT(TRIM(INDEX(Forms貼り付け!$A:$AZ,177,Z$3)),1),""))</f>
        <v/>
      </c>
      <c r="AA178" s="8">
        <f>IF(AA$3="","",IFERROR(LEFT(TRIM(INDEX(Forms貼り付け!$A:$AZ,177,AA$3)),1),""))</f>
        <v/>
      </c>
      <c r="AB178" s="8">
        <f>IF(AB$3="","",IFERROR(LEFT(TRIM(INDEX(Forms貼り付け!$A:$AZ,177,AB$3)),1),""))</f>
        <v/>
      </c>
      <c r="AC178" s="8">
        <f>IF(AC$3="","",IFERROR(LEFT(TRIM(INDEX(Forms貼り付け!$A:$AZ,177,AC$3)),1),""))</f>
        <v/>
      </c>
      <c r="AD178" s="8">
        <f>IF(AD$3="","",IFERROR(LEFT(TRIM(INDEX(Forms貼り付け!$A:$AZ,177,AD$3)),1),""))</f>
        <v/>
      </c>
      <c r="AE178" s="8">
        <f>IF(AE$3="","",IFERROR(LEFT(TRIM(INDEX(Forms貼り付け!$A:$AZ,177,AE$3)),1),""))</f>
        <v/>
      </c>
      <c r="AF178" s="8">
        <f>IF(AF$3="","",IFERROR(LEFT(TRIM(INDEX(Forms貼り付け!$A:$AZ,177,AF$3)),1),""))</f>
        <v/>
      </c>
      <c r="AG178" s="8">
        <f>IF(AG$3="","",IFERROR(LEFT(TRIM(INDEX(Forms貼り付け!$A:$AZ,177,AG$3)),1),""))</f>
        <v/>
      </c>
      <c r="AH178" s="8">
        <f>IF(AH$3="","",IFERROR(LEFT(TRIM(INDEX(Forms貼り付け!$A:$AZ,177,AH$3)),1),""))</f>
        <v/>
      </c>
      <c r="AI178" s="8">
        <f>IF(AI$3="","",IFERROR(LEFT(TRIM(INDEX(Forms貼り付け!$A:$AZ,177,AI$3)),1),""))</f>
        <v/>
      </c>
      <c r="AJ178" s="8">
        <f>IF(AJ$3="","",IFERROR(LEFT(TRIM(INDEX(Forms貼り付け!$A:$AZ,177,AJ$3)),1),""))</f>
        <v/>
      </c>
      <c r="AK178" s="8">
        <f>IF(AK$3="","",IFERROR(LEFT(TRIM(INDEX(Forms貼り付け!$A:$AZ,177,AK$3)),1),""))</f>
        <v/>
      </c>
      <c r="AL178" s="8">
        <f>IF(AL$3="","",IFERROR(LEFT(TRIM(INDEX(Forms貼り付け!$A:$AZ,177,AL$3)),1),""))</f>
        <v/>
      </c>
      <c r="AM178" s="8">
        <f>IF(AM$3="","",IFERROR(LEFT(TRIM(INDEX(Forms貼り付け!$A:$AZ,177,AM$3)),1),""))</f>
        <v/>
      </c>
      <c r="AN178" s="8">
        <f>IF(AN$3="","",IFERROR(LEFT(TRIM(INDEX(Forms貼り付け!$A:$AZ,177,AN$3)),1),""))</f>
        <v/>
      </c>
      <c r="AO178" s="8">
        <f>IF(AO$3="","",IFERROR(LEFT(TRIM(INDEX(Forms貼り付け!$A:$AZ,177,AO$3)),1),""))</f>
        <v/>
      </c>
      <c r="AP178" s="8">
        <f>IF(AP$3="","",IFERROR(LEFT(TRIM(INDEX(Forms貼り付け!$A:$AZ,177,AP$3)),1),""))</f>
        <v/>
      </c>
      <c r="AQ178" s="8">
        <f>IF(AQ$3="","",IFERROR(LEFT(TRIM(INDEX(Forms貼り付け!$A:$AZ,177,AQ$3)),1),""))</f>
        <v/>
      </c>
      <c r="AR178" s="8">
        <f>IF(AR$3="","",IFERROR(LEFT(TRIM(INDEX(Forms貼り付け!$A:$AZ,177,AR$3)),1),""))</f>
        <v/>
      </c>
      <c r="AS178" s="8">
        <f>IF(AS$3="","",IFERROR(LEFT(TRIM(INDEX(Forms貼り付け!$A:$AZ,177,AS$3)),1),""))</f>
        <v/>
      </c>
      <c r="AT178" s="8">
        <f>IF(AT$3="","",IFERROR(LEFT(TRIM(INDEX(Forms貼り付け!$A:$AZ,177,AT$3)),1),""))</f>
        <v/>
      </c>
      <c r="AU178" s="8">
        <f>IF(AU$3="","",IFERROR(LEFT(TRIM(INDEX(Forms貼り付け!$A:$AZ,177,AU$3)),1),""))</f>
        <v/>
      </c>
      <c r="AV178" s="8">
        <f>IF(AV$3="","",IFERROR(LEFT(TRIM(INDEX(Forms貼り付け!$A:$AZ,177,AV$3)),1),""))</f>
        <v/>
      </c>
      <c r="AW178" s="8">
        <f>IF(AW$3="","",IFERROR(LEFT(TRIM(INDEX(Forms貼り付け!$A:$AZ,177,AW$3)),1),""))</f>
        <v/>
      </c>
      <c r="AX178" s="8">
        <f>IF(AX$3="","",IFERROR(LEFT(TRIM(INDEX(Forms貼り付け!$A:$AZ,177,AX$3)),1),""))</f>
        <v/>
      </c>
      <c r="AY178" s="8">
        <f>IF(AY$3="","",IFERROR(LEFT(TRIM(INDEX(Forms貼り付け!$A:$AZ,177,AY$3)),1),""))</f>
        <v/>
      </c>
      <c r="AZ178" s="8">
        <f>IF(AZ$3="","",IFERROR(LEFT(TRIM(INDEX(Forms貼り付け!$A:$AZ,177,AZ$3)),1),""))</f>
        <v/>
      </c>
      <c r="BA178" s="8">
        <f>IF(BA$3="","",IFERROR(LEFT(TRIM(INDEX(Forms貼り付け!$A:$AZ,177,BA$3)),1),""))</f>
        <v/>
      </c>
      <c r="BB178" s="8">
        <f>IF(BB$3="","",IFERROR(LEFT(TRIM(INDEX(Forms貼り付け!$A:$AZ,177,BB$3)),1),""))</f>
        <v/>
      </c>
      <c r="BC178" s="8">
        <f>IF(BC$3="","",IFERROR(LEFT(TRIM(INDEX(Forms貼り付け!$A:$AZ,177,BC$3)),1),""))</f>
        <v/>
      </c>
    </row>
    <row r="179">
      <c r="A179" s="8" t="inlineStr">
        <is>
          <t>U175</t>
        </is>
      </c>
      <c r="B179" s="9">
        <f>IF($B$3="","",INDEX(Forms貼り付け!$A:$AZ,178,$B$3))</f>
        <v/>
      </c>
      <c r="C179" s="9">
        <f>IF($C$3="","",INDEX(Forms貼り付け!$A:$AZ,178,$C$3))</f>
        <v/>
      </c>
      <c r="D179" s="8">
        <f>IF($D$3="","",INDEX(Forms貼り付け!$A:$AZ,178,$D$3))</f>
        <v/>
      </c>
      <c r="E179" s="8">
        <f>IF($E$3="","",INDEX(Forms貼り付け!$A:$AZ,178,$E$3))</f>
        <v/>
      </c>
      <c r="F179" s="8">
        <f>IF(F$3="","",IFERROR(LEFT(TRIM(INDEX(Forms貼り付け!$A:$AZ,178,F$3)),1),""))</f>
        <v/>
      </c>
      <c r="G179" s="8">
        <f>IF(G$3="","",IFERROR(LEFT(TRIM(INDEX(Forms貼り付け!$A:$AZ,178,G$3)),1),""))</f>
        <v/>
      </c>
      <c r="H179" s="8">
        <f>IF(H$3="","",IFERROR(LEFT(TRIM(INDEX(Forms貼り付け!$A:$AZ,178,H$3)),1),""))</f>
        <v/>
      </c>
      <c r="I179" s="8">
        <f>IF(I$3="","",IFERROR(LEFT(TRIM(INDEX(Forms貼り付け!$A:$AZ,178,I$3)),1),""))</f>
        <v/>
      </c>
      <c r="J179" s="8">
        <f>IF(J$3="","",IFERROR(LEFT(TRIM(INDEX(Forms貼り付け!$A:$AZ,178,J$3)),1),""))</f>
        <v/>
      </c>
      <c r="K179" s="8">
        <f>IF(K$3="","",IFERROR(LEFT(TRIM(INDEX(Forms貼り付け!$A:$AZ,178,K$3)),1),""))</f>
        <v/>
      </c>
      <c r="L179" s="8">
        <f>IF(L$3="","",IFERROR(LEFT(TRIM(INDEX(Forms貼り付け!$A:$AZ,178,L$3)),1),""))</f>
        <v/>
      </c>
      <c r="M179" s="8">
        <f>IF(M$3="","",IFERROR(LEFT(TRIM(INDEX(Forms貼り付け!$A:$AZ,178,M$3)),1),""))</f>
        <v/>
      </c>
      <c r="N179" s="8">
        <f>IF(N$3="","",IFERROR(LEFT(TRIM(INDEX(Forms貼り付け!$A:$AZ,178,N$3)),1),""))</f>
        <v/>
      </c>
      <c r="O179" s="8">
        <f>IF(O$3="","",IFERROR(LEFT(TRIM(INDEX(Forms貼り付け!$A:$AZ,178,O$3)),1),""))</f>
        <v/>
      </c>
      <c r="P179" s="8">
        <f>IF(P$3="","",IFERROR(LEFT(TRIM(INDEX(Forms貼り付け!$A:$AZ,178,P$3)),1),""))</f>
        <v/>
      </c>
      <c r="Q179" s="8">
        <f>IF(Q$3="","",IFERROR(LEFT(TRIM(INDEX(Forms貼り付け!$A:$AZ,178,Q$3)),1),""))</f>
        <v/>
      </c>
      <c r="R179" s="8">
        <f>IF(R$3="","",IFERROR(LEFT(TRIM(INDEX(Forms貼り付け!$A:$AZ,178,R$3)),1),""))</f>
        <v/>
      </c>
      <c r="S179" s="8">
        <f>IF(S$3="","",IFERROR(LEFT(TRIM(INDEX(Forms貼り付け!$A:$AZ,178,S$3)),1),""))</f>
        <v/>
      </c>
      <c r="T179" s="8">
        <f>IF(T$3="","",IFERROR(LEFT(TRIM(INDEX(Forms貼り付け!$A:$AZ,178,T$3)),1),""))</f>
        <v/>
      </c>
      <c r="U179" s="8">
        <f>IF(U$3="","",IFERROR(LEFT(TRIM(INDEX(Forms貼り付け!$A:$AZ,178,U$3)),1),""))</f>
        <v/>
      </c>
      <c r="V179" s="8">
        <f>IF(V$3="","",IFERROR(LEFT(TRIM(INDEX(Forms貼り付け!$A:$AZ,178,V$3)),1),""))</f>
        <v/>
      </c>
      <c r="W179" s="8">
        <f>IF(W$3="","",IFERROR(LEFT(TRIM(INDEX(Forms貼り付け!$A:$AZ,178,W$3)),1),""))</f>
        <v/>
      </c>
      <c r="X179" s="8">
        <f>IF(X$3="","",IFERROR(LEFT(TRIM(INDEX(Forms貼り付け!$A:$AZ,178,X$3)),1),""))</f>
        <v/>
      </c>
      <c r="Y179" s="8">
        <f>IF(Y$3="","",IFERROR(LEFT(TRIM(INDEX(Forms貼り付け!$A:$AZ,178,Y$3)),1),""))</f>
        <v/>
      </c>
      <c r="Z179" s="8">
        <f>IF(Z$3="","",IFERROR(LEFT(TRIM(INDEX(Forms貼り付け!$A:$AZ,178,Z$3)),1),""))</f>
        <v/>
      </c>
      <c r="AA179" s="8">
        <f>IF(AA$3="","",IFERROR(LEFT(TRIM(INDEX(Forms貼り付け!$A:$AZ,178,AA$3)),1),""))</f>
        <v/>
      </c>
      <c r="AB179" s="8">
        <f>IF(AB$3="","",IFERROR(LEFT(TRIM(INDEX(Forms貼り付け!$A:$AZ,178,AB$3)),1),""))</f>
        <v/>
      </c>
      <c r="AC179" s="8">
        <f>IF(AC$3="","",IFERROR(LEFT(TRIM(INDEX(Forms貼り付け!$A:$AZ,178,AC$3)),1),""))</f>
        <v/>
      </c>
      <c r="AD179" s="8">
        <f>IF(AD$3="","",IFERROR(LEFT(TRIM(INDEX(Forms貼り付け!$A:$AZ,178,AD$3)),1),""))</f>
        <v/>
      </c>
      <c r="AE179" s="8">
        <f>IF(AE$3="","",IFERROR(LEFT(TRIM(INDEX(Forms貼り付け!$A:$AZ,178,AE$3)),1),""))</f>
        <v/>
      </c>
      <c r="AF179" s="8">
        <f>IF(AF$3="","",IFERROR(LEFT(TRIM(INDEX(Forms貼り付け!$A:$AZ,178,AF$3)),1),""))</f>
        <v/>
      </c>
      <c r="AG179" s="8">
        <f>IF(AG$3="","",IFERROR(LEFT(TRIM(INDEX(Forms貼り付け!$A:$AZ,178,AG$3)),1),""))</f>
        <v/>
      </c>
      <c r="AH179" s="8">
        <f>IF(AH$3="","",IFERROR(LEFT(TRIM(INDEX(Forms貼り付け!$A:$AZ,178,AH$3)),1),""))</f>
        <v/>
      </c>
      <c r="AI179" s="8">
        <f>IF(AI$3="","",IFERROR(LEFT(TRIM(INDEX(Forms貼り付け!$A:$AZ,178,AI$3)),1),""))</f>
        <v/>
      </c>
      <c r="AJ179" s="8">
        <f>IF(AJ$3="","",IFERROR(LEFT(TRIM(INDEX(Forms貼り付け!$A:$AZ,178,AJ$3)),1),""))</f>
        <v/>
      </c>
      <c r="AK179" s="8">
        <f>IF(AK$3="","",IFERROR(LEFT(TRIM(INDEX(Forms貼り付け!$A:$AZ,178,AK$3)),1),""))</f>
        <v/>
      </c>
      <c r="AL179" s="8">
        <f>IF(AL$3="","",IFERROR(LEFT(TRIM(INDEX(Forms貼り付け!$A:$AZ,178,AL$3)),1),""))</f>
        <v/>
      </c>
      <c r="AM179" s="8">
        <f>IF(AM$3="","",IFERROR(LEFT(TRIM(INDEX(Forms貼り付け!$A:$AZ,178,AM$3)),1),""))</f>
        <v/>
      </c>
      <c r="AN179" s="8">
        <f>IF(AN$3="","",IFERROR(LEFT(TRIM(INDEX(Forms貼り付け!$A:$AZ,178,AN$3)),1),""))</f>
        <v/>
      </c>
      <c r="AO179" s="8">
        <f>IF(AO$3="","",IFERROR(LEFT(TRIM(INDEX(Forms貼り付け!$A:$AZ,178,AO$3)),1),""))</f>
        <v/>
      </c>
      <c r="AP179" s="8">
        <f>IF(AP$3="","",IFERROR(LEFT(TRIM(INDEX(Forms貼り付け!$A:$AZ,178,AP$3)),1),""))</f>
        <v/>
      </c>
      <c r="AQ179" s="8">
        <f>IF(AQ$3="","",IFERROR(LEFT(TRIM(INDEX(Forms貼り付け!$A:$AZ,178,AQ$3)),1),""))</f>
        <v/>
      </c>
      <c r="AR179" s="8">
        <f>IF(AR$3="","",IFERROR(LEFT(TRIM(INDEX(Forms貼り付け!$A:$AZ,178,AR$3)),1),""))</f>
        <v/>
      </c>
      <c r="AS179" s="8">
        <f>IF(AS$3="","",IFERROR(LEFT(TRIM(INDEX(Forms貼り付け!$A:$AZ,178,AS$3)),1),""))</f>
        <v/>
      </c>
      <c r="AT179" s="8">
        <f>IF(AT$3="","",IFERROR(LEFT(TRIM(INDEX(Forms貼り付け!$A:$AZ,178,AT$3)),1),""))</f>
        <v/>
      </c>
      <c r="AU179" s="8">
        <f>IF(AU$3="","",IFERROR(LEFT(TRIM(INDEX(Forms貼り付け!$A:$AZ,178,AU$3)),1),""))</f>
        <v/>
      </c>
      <c r="AV179" s="8">
        <f>IF(AV$3="","",IFERROR(LEFT(TRIM(INDEX(Forms貼り付け!$A:$AZ,178,AV$3)),1),""))</f>
        <v/>
      </c>
      <c r="AW179" s="8">
        <f>IF(AW$3="","",IFERROR(LEFT(TRIM(INDEX(Forms貼り付け!$A:$AZ,178,AW$3)),1),""))</f>
        <v/>
      </c>
      <c r="AX179" s="8">
        <f>IF(AX$3="","",IFERROR(LEFT(TRIM(INDEX(Forms貼り付け!$A:$AZ,178,AX$3)),1),""))</f>
        <v/>
      </c>
      <c r="AY179" s="8">
        <f>IF(AY$3="","",IFERROR(LEFT(TRIM(INDEX(Forms貼り付け!$A:$AZ,178,AY$3)),1),""))</f>
        <v/>
      </c>
      <c r="AZ179" s="8">
        <f>IF(AZ$3="","",IFERROR(LEFT(TRIM(INDEX(Forms貼り付け!$A:$AZ,178,AZ$3)),1),""))</f>
        <v/>
      </c>
      <c r="BA179" s="8">
        <f>IF(BA$3="","",IFERROR(LEFT(TRIM(INDEX(Forms貼り付け!$A:$AZ,178,BA$3)),1),""))</f>
        <v/>
      </c>
      <c r="BB179" s="8">
        <f>IF(BB$3="","",IFERROR(LEFT(TRIM(INDEX(Forms貼り付け!$A:$AZ,178,BB$3)),1),""))</f>
        <v/>
      </c>
      <c r="BC179" s="8">
        <f>IF(BC$3="","",IFERROR(LEFT(TRIM(INDEX(Forms貼り付け!$A:$AZ,178,BC$3)),1),""))</f>
        <v/>
      </c>
    </row>
    <row r="180">
      <c r="A180" s="8" t="inlineStr">
        <is>
          <t>U176</t>
        </is>
      </c>
      <c r="B180" s="9">
        <f>IF($B$3="","",INDEX(Forms貼り付け!$A:$AZ,179,$B$3))</f>
        <v/>
      </c>
      <c r="C180" s="9">
        <f>IF($C$3="","",INDEX(Forms貼り付け!$A:$AZ,179,$C$3))</f>
        <v/>
      </c>
      <c r="D180" s="8">
        <f>IF($D$3="","",INDEX(Forms貼り付け!$A:$AZ,179,$D$3))</f>
        <v/>
      </c>
      <c r="E180" s="8">
        <f>IF($E$3="","",INDEX(Forms貼り付け!$A:$AZ,179,$E$3))</f>
        <v/>
      </c>
      <c r="F180" s="8">
        <f>IF(F$3="","",IFERROR(LEFT(TRIM(INDEX(Forms貼り付け!$A:$AZ,179,F$3)),1),""))</f>
        <v/>
      </c>
      <c r="G180" s="8">
        <f>IF(G$3="","",IFERROR(LEFT(TRIM(INDEX(Forms貼り付け!$A:$AZ,179,G$3)),1),""))</f>
        <v/>
      </c>
      <c r="H180" s="8">
        <f>IF(H$3="","",IFERROR(LEFT(TRIM(INDEX(Forms貼り付け!$A:$AZ,179,H$3)),1),""))</f>
        <v/>
      </c>
      <c r="I180" s="8">
        <f>IF(I$3="","",IFERROR(LEFT(TRIM(INDEX(Forms貼り付け!$A:$AZ,179,I$3)),1),""))</f>
        <v/>
      </c>
      <c r="J180" s="8">
        <f>IF(J$3="","",IFERROR(LEFT(TRIM(INDEX(Forms貼り付け!$A:$AZ,179,J$3)),1),""))</f>
        <v/>
      </c>
      <c r="K180" s="8">
        <f>IF(K$3="","",IFERROR(LEFT(TRIM(INDEX(Forms貼り付け!$A:$AZ,179,K$3)),1),""))</f>
        <v/>
      </c>
      <c r="L180" s="8">
        <f>IF(L$3="","",IFERROR(LEFT(TRIM(INDEX(Forms貼り付け!$A:$AZ,179,L$3)),1),""))</f>
        <v/>
      </c>
      <c r="M180" s="8">
        <f>IF(M$3="","",IFERROR(LEFT(TRIM(INDEX(Forms貼り付け!$A:$AZ,179,M$3)),1),""))</f>
        <v/>
      </c>
      <c r="N180" s="8">
        <f>IF(N$3="","",IFERROR(LEFT(TRIM(INDEX(Forms貼り付け!$A:$AZ,179,N$3)),1),""))</f>
        <v/>
      </c>
      <c r="O180" s="8">
        <f>IF(O$3="","",IFERROR(LEFT(TRIM(INDEX(Forms貼り付け!$A:$AZ,179,O$3)),1),""))</f>
        <v/>
      </c>
      <c r="P180" s="8">
        <f>IF(P$3="","",IFERROR(LEFT(TRIM(INDEX(Forms貼り付け!$A:$AZ,179,P$3)),1),""))</f>
        <v/>
      </c>
      <c r="Q180" s="8">
        <f>IF(Q$3="","",IFERROR(LEFT(TRIM(INDEX(Forms貼り付け!$A:$AZ,179,Q$3)),1),""))</f>
        <v/>
      </c>
      <c r="R180" s="8">
        <f>IF(R$3="","",IFERROR(LEFT(TRIM(INDEX(Forms貼り付け!$A:$AZ,179,R$3)),1),""))</f>
        <v/>
      </c>
      <c r="S180" s="8">
        <f>IF(S$3="","",IFERROR(LEFT(TRIM(INDEX(Forms貼り付け!$A:$AZ,179,S$3)),1),""))</f>
        <v/>
      </c>
      <c r="T180" s="8">
        <f>IF(T$3="","",IFERROR(LEFT(TRIM(INDEX(Forms貼り付け!$A:$AZ,179,T$3)),1),""))</f>
        <v/>
      </c>
      <c r="U180" s="8">
        <f>IF(U$3="","",IFERROR(LEFT(TRIM(INDEX(Forms貼り付け!$A:$AZ,179,U$3)),1),""))</f>
        <v/>
      </c>
      <c r="V180" s="8">
        <f>IF(V$3="","",IFERROR(LEFT(TRIM(INDEX(Forms貼り付け!$A:$AZ,179,V$3)),1),""))</f>
        <v/>
      </c>
      <c r="W180" s="8">
        <f>IF(W$3="","",IFERROR(LEFT(TRIM(INDEX(Forms貼り付け!$A:$AZ,179,W$3)),1),""))</f>
        <v/>
      </c>
      <c r="X180" s="8">
        <f>IF(X$3="","",IFERROR(LEFT(TRIM(INDEX(Forms貼り付け!$A:$AZ,179,X$3)),1),""))</f>
        <v/>
      </c>
      <c r="Y180" s="8">
        <f>IF(Y$3="","",IFERROR(LEFT(TRIM(INDEX(Forms貼り付け!$A:$AZ,179,Y$3)),1),""))</f>
        <v/>
      </c>
      <c r="Z180" s="8">
        <f>IF(Z$3="","",IFERROR(LEFT(TRIM(INDEX(Forms貼り付け!$A:$AZ,179,Z$3)),1),""))</f>
        <v/>
      </c>
      <c r="AA180" s="8">
        <f>IF(AA$3="","",IFERROR(LEFT(TRIM(INDEX(Forms貼り付け!$A:$AZ,179,AA$3)),1),""))</f>
        <v/>
      </c>
      <c r="AB180" s="8">
        <f>IF(AB$3="","",IFERROR(LEFT(TRIM(INDEX(Forms貼り付け!$A:$AZ,179,AB$3)),1),""))</f>
        <v/>
      </c>
      <c r="AC180" s="8">
        <f>IF(AC$3="","",IFERROR(LEFT(TRIM(INDEX(Forms貼り付け!$A:$AZ,179,AC$3)),1),""))</f>
        <v/>
      </c>
      <c r="AD180" s="8">
        <f>IF(AD$3="","",IFERROR(LEFT(TRIM(INDEX(Forms貼り付け!$A:$AZ,179,AD$3)),1),""))</f>
        <v/>
      </c>
      <c r="AE180" s="8">
        <f>IF(AE$3="","",IFERROR(LEFT(TRIM(INDEX(Forms貼り付け!$A:$AZ,179,AE$3)),1),""))</f>
        <v/>
      </c>
      <c r="AF180" s="8">
        <f>IF(AF$3="","",IFERROR(LEFT(TRIM(INDEX(Forms貼り付け!$A:$AZ,179,AF$3)),1),""))</f>
        <v/>
      </c>
      <c r="AG180" s="8">
        <f>IF(AG$3="","",IFERROR(LEFT(TRIM(INDEX(Forms貼り付け!$A:$AZ,179,AG$3)),1),""))</f>
        <v/>
      </c>
      <c r="AH180" s="8">
        <f>IF(AH$3="","",IFERROR(LEFT(TRIM(INDEX(Forms貼り付け!$A:$AZ,179,AH$3)),1),""))</f>
        <v/>
      </c>
      <c r="AI180" s="8">
        <f>IF(AI$3="","",IFERROR(LEFT(TRIM(INDEX(Forms貼り付け!$A:$AZ,179,AI$3)),1),""))</f>
        <v/>
      </c>
      <c r="AJ180" s="8">
        <f>IF(AJ$3="","",IFERROR(LEFT(TRIM(INDEX(Forms貼り付け!$A:$AZ,179,AJ$3)),1),""))</f>
        <v/>
      </c>
      <c r="AK180" s="8">
        <f>IF(AK$3="","",IFERROR(LEFT(TRIM(INDEX(Forms貼り付け!$A:$AZ,179,AK$3)),1),""))</f>
        <v/>
      </c>
      <c r="AL180" s="8">
        <f>IF(AL$3="","",IFERROR(LEFT(TRIM(INDEX(Forms貼り付け!$A:$AZ,179,AL$3)),1),""))</f>
        <v/>
      </c>
      <c r="AM180" s="8">
        <f>IF(AM$3="","",IFERROR(LEFT(TRIM(INDEX(Forms貼り付け!$A:$AZ,179,AM$3)),1),""))</f>
        <v/>
      </c>
      <c r="AN180" s="8">
        <f>IF(AN$3="","",IFERROR(LEFT(TRIM(INDEX(Forms貼り付け!$A:$AZ,179,AN$3)),1),""))</f>
        <v/>
      </c>
      <c r="AO180" s="8">
        <f>IF(AO$3="","",IFERROR(LEFT(TRIM(INDEX(Forms貼り付け!$A:$AZ,179,AO$3)),1),""))</f>
        <v/>
      </c>
      <c r="AP180" s="8">
        <f>IF(AP$3="","",IFERROR(LEFT(TRIM(INDEX(Forms貼り付け!$A:$AZ,179,AP$3)),1),""))</f>
        <v/>
      </c>
      <c r="AQ180" s="8">
        <f>IF(AQ$3="","",IFERROR(LEFT(TRIM(INDEX(Forms貼り付け!$A:$AZ,179,AQ$3)),1),""))</f>
        <v/>
      </c>
      <c r="AR180" s="8">
        <f>IF(AR$3="","",IFERROR(LEFT(TRIM(INDEX(Forms貼り付け!$A:$AZ,179,AR$3)),1),""))</f>
        <v/>
      </c>
      <c r="AS180" s="8">
        <f>IF(AS$3="","",IFERROR(LEFT(TRIM(INDEX(Forms貼り付け!$A:$AZ,179,AS$3)),1),""))</f>
        <v/>
      </c>
      <c r="AT180" s="8">
        <f>IF(AT$3="","",IFERROR(LEFT(TRIM(INDEX(Forms貼り付け!$A:$AZ,179,AT$3)),1),""))</f>
        <v/>
      </c>
      <c r="AU180" s="8">
        <f>IF(AU$3="","",IFERROR(LEFT(TRIM(INDEX(Forms貼り付け!$A:$AZ,179,AU$3)),1),""))</f>
        <v/>
      </c>
      <c r="AV180" s="8">
        <f>IF(AV$3="","",IFERROR(LEFT(TRIM(INDEX(Forms貼り付け!$A:$AZ,179,AV$3)),1),""))</f>
        <v/>
      </c>
      <c r="AW180" s="8">
        <f>IF(AW$3="","",IFERROR(LEFT(TRIM(INDEX(Forms貼り付け!$A:$AZ,179,AW$3)),1),""))</f>
        <v/>
      </c>
      <c r="AX180" s="8">
        <f>IF(AX$3="","",IFERROR(LEFT(TRIM(INDEX(Forms貼り付け!$A:$AZ,179,AX$3)),1),""))</f>
        <v/>
      </c>
      <c r="AY180" s="8">
        <f>IF(AY$3="","",IFERROR(LEFT(TRIM(INDEX(Forms貼り付け!$A:$AZ,179,AY$3)),1),""))</f>
        <v/>
      </c>
      <c r="AZ180" s="8">
        <f>IF(AZ$3="","",IFERROR(LEFT(TRIM(INDEX(Forms貼り付け!$A:$AZ,179,AZ$3)),1),""))</f>
        <v/>
      </c>
      <c r="BA180" s="8">
        <f>IF(BA$3="","",IFERROR(LEFT(TRIM(INDEX(Forms貼り付け!$A:$AZ,179,BA$3)),1),""))</f>
        <v/>
      </c>
      <c r="BB180" s="8">
        <f>IF(BB$3="","",IFERROR(LEFT(TRIM(INDEX(Forms貼り付け!$A:$AZ,179,BB$3)),1),""))</f>
        <v/>
      </c>
      <c r="BC180" s="8">
        <f>IF(BC$3="","",IFERROR(LEFT(TRIM(INDEX(Forms貼り付け!$A:$AZ,179,BC$3)),1),""))</f>
        <v/>
      </c>
    </row>
    <row r="181">
      <c r="A181" s="8" t="inlineStr">
        <is>
          <t>U177</t>
        </is>
      </c>
      <c r="B181" s="9">
        <f>IF($B$3="","",INDEX(Forms貼り付け!$A:$AZ,180,$B$3))</f>
        <v/>
      </c>
      <c r="C181" s="9">
        <f>IF($C$3="","",INDEX(Forms貼り付け!$A:$AZ,180,$C$3))</f>
        <v/>
      </c>
      <c r="D181" s="8">
        <f>IF($D$3="","",INDEX(Forms貼り付け!$A:$AZ,180,$D$3))</f>
        <v/>
      </c>
      <c r="E181" s="8">
        <f>IF($E$3="","",INDEX(Forms貼り付け!$A:$AZ,180,$E$3))</f>
        <v/>
      </c>
      <c r="F181" s="8">
        <f>IF(F$3="","",IFERROR(LEFT(TRIM(INDEX(Forms貼り付け!$A:$AZ,180,F$3)),1),""))</f>
        <v/>
      </c>
      <c r="G181" s="8">
        <f>IF(G$3="","",IFERROR(LEFT(TRIM(INDEX(Forms貼り付け!$A:$AZ,180,G$3)),1),""))</f>
        <v/>
      </c>
      <c r="H181" s="8">
        <f>IF(H$3="","",IFERROR(LEFT(TRIM(INDEX(Forms貼り付け!$A:$AZ,180,H$3)),1),""))</f>
        <v/>
      </c>
      <c r="I181" s="8">
        <f>IF(I$3="","",IFERROR(LEFT(TRIM(INDEX(Forms貼り付け!$A:$AZ,180,I$3)),1),""))</f>
        <v/>
      </c>
      <c r="J181" s="8">
        <f>IF(J$3="","",IFERROR(LEFT(TRIM(INDEX(Forms貼り付け!$A:$AZ,180,J$3)),1),""))</f>
        <v/>
      </c>
      <c r="K181" s="8">
        <f>IF(K$3="","",IFERROR(LEFT(TRIM(INDEX(Forms貼り付け!$A:$AZ,180,K$3)),1),""))</f>
        <v/>
      </c>
      <c r="L181" s="8">
        <f>IF(L$3="","",IFERROR(LEFT(TRIM(INDEX(Forms貼り付け!$A:$AZ,180,L$3)),1),""))</f>
        <v/>
      </c>
      <c r="M181" s="8">
        <f>IF(M$3="","",IFERROR(LEFT(TRIM(INDEX(Forms貼り付け!$A:$AZ,180,M$3)),1),""))</f>
        <v/>
      </c>
      <c r="N181" s="8">
        <f>IF(N$3="","",IFERROR(LEFT(TRIM(INDEX(Forms貼り付け!$A:$AZ,180,N$3)),1),""))</f>
        <v/>
      </c>
      <c r="O181" s="8">
        <f>IF(O$3="","",IFERROR(LEFT(TRIM(INDEX(Forms貼り付け!$A:$AZ,180,O$3)),1),""))</f>
        <v/>
      </c>
      <c r="P181" s="8">
        <f>IF(P$3="","",IFERROR(LEFT(TRIM(INDEX(Forms貼り付け!$A:$AZ,180,P$3)),1),""))</f>
        <v/>
      </c>
      <c r="Q181" s="8">
        <f>IF(Q$3="","",IFERROR(LEFT(TRIM(INDEX(Forms貼り付け!$A:$AZ,180,Q$3)),1),""))</f>
        <v/>
      </c>
      <c r="R181" s="8">
        <f>IF(R$3="","",IFERROR(LEFT(TRIM(INDEX(Forms貼り付け!$A:$AZ,180,R$3)),1),""))</f>
        <v/>
      </c>
      <c r="S181" s="8">
        <f>IF(S$3="","",IFERROR(LEFT(TRIM(INDEX(Forms貼り付け!$A:$AZ,180,S$3)),1),""))</f>
        <v/>
      </c>
      <c r="T181" s="8">
        <f>IF(T$3="","",IFERROR(LEFT(TRIM(INDEX(Forms貼り付け!$A:$AZ,180,T$3)),1),""))</f>
        <v/>
      </c>
      <c r="U181" s="8">
        <f>IF(U$3="","",IFERROR(LEFT(TRIM(INDEX(Forms貼り付け!$A:$AZ,180,U$3)),1),""))</f>
        <v/>
      </c>
      <c r="V181" s="8">
        <f>IF(V$3="","",IFERROR(LEFT(TRIM(INDEX(Forms貼り付け!$A:$AZ,180,V$3)),1),""))</f>
        <v/>
      </c>
      <c r="W181" s="8">
        <f>IF(W$3="","",IFERROR(LEFT(TRIM(INDEX(Forms貼り付け!$A:$AZ,180,W$3)),1),""))</f>
        <v/>
      </c>
      <c r="X181" s="8">
        <f>IF(X$3="","",IFERROR(LEFT(TRIM(INDEX(Forms貼り付け!$A:$AZ,180,X$3)),1),""))</f>
        <v/>
      </c>
      <c r="Y181" s="8">
        <f>IF(Y$3="","",IFERROR(LEFT(TRIM(INDEX(Forms貼り付け!$A:$AZ,180,Y$3)),1),""))</f>
        <v/>
      </c>
      <c r="Z181" s="8">
        <f>IF(Z$3="","",IFERROR(LEFT(TRIM(INDEX(Forms貼り付け!$A:$AZ,180,Z$3)),1),""))</f>
        <v/>
      </c>
      <c r="AA181" s="8">
        <f>IF(AA$3="","",IFERROR(LEFT(TRIM(INDEX(Forms貼り付け!$A:$AZ,180,AA$3)),1),""))</f>
        <v/>
      </c>
      <c r="AB181" s="8">
        <f>IF(AB$3="","",IFERROR(LEFT(TRIM(INDEX(Forms貼り付け!$A:$AZ,180,AB$3)),1),""))</f>
        <v/>
      </c>
      <c r="AC181" s="8">
        <f>IF(AC$3="","",IFERROR(LEFT(TRIM(INDEX(Forms貼り付け!$A:$AZ,180,AC$3)),1),""))</f>
        <v/>
      </c>
      <c r="AD181" s="8">
        <f>IF(AD$3="","",IFERROR(LEFT(TRIM(INDEX(Forms貼り付け!$A:$AZ,180,AD$3)),1),""))</f>
        <v/>
      </c>
      <c r="AE181" s="8">
        <f>IF(AE$3="","",IFERROR(LEFT(TRIM(INDEX(Forms貼り付け!$A:$AZ,180,AE$3)),1),""))</f>
        <v/>
      </c>
      <c r="AF181" s="8">
        <f>IF(AF$3="","",IFERROR(LEFT(TRIM(INDEX(Forms貼り付け!$A:$AZ,180,AF$3)),1),""))</f>
        <v/>
      </c>
      <c r="AG181" s="8">
        <f>IF(AG$3="","",IFERROR(LEFT(TRIM(INDEX(Forms貼り付け!$A:$AZ,180,AG$3)),1),""))</f>
        <v/>
      </c>
      <c r="AH181" s="8">
        <f>IF(AH$3="","",IFERROR(LEFT(TRIM(INDEX(Forms貼り付け!$A:$AZ,180,AH$3)),1),""))</f>
        <v/>
      </c>
      <c r="AI181" s="8">
        <f>IF(AI$3="","",IFERROR(LEFT(TRIM(INDEX(Forms貼り付け!$A:$AZ,180,AI$3)),1),""))</f>
        <v/>
      </c>
      <c r="AJ181" s="8">
        <f>IF(AJ$3="","",IFERROR(LEFT(TRIM(INDEX(Forms貼り付け!$A:$AZ,180,AJ$3)),1),""))</f>
        <v/>
      </c>
      <c r="AK181" s="8">
        <f>IF(AK$3="","",IFERROR(LEFT(TRIM(INDEX(Forms貼り付け!$A:$AZ,180,AK$3)),1),""))</f>
        <v/>
      </c>
      <c r="AL181" s="8">
        <f>IF(AL$3="","",IFERROR(LEFT(TRIM(INDEX(Forms貼り付け!$A:$AZ,180,AL$3)),1),""))</f>
        <v/>
      </c>
      <c r="AM181" s="8">
        <f>IF(AM$3="","",IFERROR(LEFT(TRIM(INDEX(Forms貼り付け!$A:$AZ,180,AM$3)),1),""))</f>
        <v/>
      </c>
      <c r="AN181" s="8">
        <f>IF(AN$3="","",IFERROR(LEFT(TRIM(INDEX(Forms貼り付け!$A:$AZ,180,AN$3)),1),""))</f>
        <v/>
      </c>
      <c r="AO181" s="8">
        <f>IF(AO$3="","",IFERROR(LEFT(TRIM(INDEX(Forms貼り付け!$A:$AZ,180,AO$3)),1),""))</f>
        <v/>
      </c>
      <c r="AP181" s="8">
        <f>IF(AP$3="","",IFERROR(LEFT(TRIM(INDEX(Forms貼り付け!$A:$AZ,180,AP$3)),1),""))</f>
        <v/>
      </c>
      <c r="AQ181" s="8">
        <f>IF(AQ$3="","",IFERROR(LEFT(TRIM(INDEX(Forms貼り付け!$A:$AZ,180,AQ$3)),1),""))</f>
        <v/>
      </c>
      <c r="AR181" s="8">
        <f>IF(AR$3="","",IFERROR(LEFT(TRIM(INDEX(Forms貼り付け!$A:$AZ,180,AR$3)),1),""))</f>
        <v/>
      </c>
      <c r="AS181" s="8">
        <f>IF(AS$3="","",IFERROR(LEFT(TRIM(INDEX(Forms貼り付け!$A:$AZ,180,AS$3)),1),""))</f>
        <v/>
      </c>
      <c r="AT181" s="8">
        <f>IF(AT$3="","",IFERROR(LEFT(TRIM(INDEX(Forms貼り付け!$A:$AZ,180,AT$3)),1),""))</f>
        <v/>
      </c>
      <c r="AU181" s="8">
        <f>IF(AU$3="","",IFERROR(LEFT(TRIM(INDEX(Forms貼り付け!$A:$AZ,180,AU$3)),1),""))</f>
        <v/>
      </c>
      <c r="AV181" s="8">
        <f>IF(AV$3="","",IFERROR(LEFT(TRIM(INDEX(Forms貼り付け!$A:$AZ,180,AV$3)),1),""))</f>
        <v/>
      </c>
      <c r="AW181" s="8">
        <f>IF(AW$3="","",IFERROR(LEFT(TRIM(INDEX(Forms貼り付け!$A:$AZ,180,AW$3)),1),""))</f>
        <v/>
      </c>
      <c r="AX181" s="8">
        <f>IF(AX$3="","",IFERROR(LEFT(TRIM(INDEX(Forms貼り付け!$A:$AZ,180,AX$3)),1),""))</f>
        <v/>
      </c>
      <c r="AY181" s="8">
        <f>IF(AY$3="","",IFERROR(LEFT(TRIM(INDEX(Forms貼り付け!$A:$AZ,180,AY$3)),1),""))</f>
        <v/>
      </c>
      <c r="AZ181" s="8">
        <f>IF(AZ$3="","",IFERROR(LEFT(TRIM(INDEX(Forms貼り付け!$A:$AZ,180,AZ$3)),1),""))</f>
        <v/>
      </c>
      <c r="BA181" s="8">
        <f>IF(BA$3="","",IFERROR(LEFT(TRIM(INDEX(Forms貼り付け!$A:$AZ,180,BA$3)),1),""))</f>
        <v/>
      </c>
      <c r="BB181" s="8">
        <f>IF(BB$3="","",IFERROR(LEFT(TRIM(INDEX(Forms貼り付け!$A:$AZ,180,BB$3)),1),""))</f>
        <v/>
      </c>
      <c r="BC181" s="8">
        <f>IF(BC$3="","",IFERROR(LEFT(TRIM(INDEX(Forms貼り付け!$A:$AZ,180,BC$3)),1),""))</f>
        <v/>
      </c>
    </row>
    <row r="182">
      <c r="A182" s="8" t="inlineStr">
        <is>
          <t>U178</t>
        </is>
      </c>
      <c r="B182" s="9">
        <f>IF($B$3="","",INDEX(Forms貼り付け!$A:$AZ,181,$B$3))</f>
        <v/>
      </c>
      <c r="C182" s="9">
        <f>IF($C$3="","",INDEX(Forms貼り付け!$A:$AZ,181,$C$3))</f>
        <v/>
      </c>
      <c r="D182" s="8">
        <f>IF($D$3="","",INDEX(Forms貼り付け!$A:$AZ,181,$D$3))</f>
        <v/>
      </c>
      <c r="E182" s="8">
        <f>IF($E$3="","",INDEX(Forms貼り付け!$A:$AZ,181,$E$3))</f>
        <v/>
      </c>
      <c r="F182" s="8">
        <f>IF(F$3="","",IFERROR(LEFT(TRIM(INDEX(Forms貼り付け!$A:$AZ,181,F$3)),1),""))</f>
        <v/>
      </c>
      <c r="G182" s="8">
        <f>IF(G$3="","",IFERROR(LEFT(TRIM(INDEX(Forms貼り付け!$A:$AZ,181,G$3)),1),""))</f>
        <v/>
      </c>
      <c r="H182" s="8">
        <f>IF(H$3="","",IFERROR(LEFT(TRIM(INDEX(Forms貼り付け!$A:$AZ,181,H$3)),1),""))</f>
        <v/>
      </c>
      <c r="I182" s="8">
        <f>IF(I$3="","",IFERROR(LEFT(TRIM(INDEX(Forms貼り付け!$A:$AZ,181,I$3)),1),""))</f>
        <v/>
      </c>
      <c r="J182" s="8">
        <f>IF(J$3="","",IFERROR(LEFT(TRIM(INDEX(Forms貼り付け!$A:$AZ,181,J$3)),1),""))</f>
        <v/>
      </c>
      <c r="K182" s="8">
        <f>IF(K$3="","",IFERROR(LEFT(TRIM(INDEX(Forms貼り付け!$A:$AZ,181,K$3)),1),""))</f>
        <v/>
      </c>
      <c r="L182" s="8">
        <f>IF(L$3="","",IFERROR(LEFT(TRIM(INDEX(Forms貼り付け!$A:$AZ,181,L$3)),1),""))</f>
        <v/>
      </c>
      <c r="M182" s="8">
        <f>IF(M$3="","",IFERROR(LEFT(TRIM(INDEX(Forms貼り付け!$A:$AZ,181,M$3)),1),""))</f>
        <v/>
      </c>
      <c r="N182" s="8">
        <f>IF(N$3="","",IFERROR(LEFT(TRIM(INDEX(Forms貼り付け!$A:$AZ,181,N$3)),1),""))</f>
        <v/>
      </c>
      <c r="O182" s="8">
        <f>IF(O$3="","",IFERROR(LEFT(TRIM(INDEX(Forms貼り付け!$A:$AZ,181,O$3)),1),""))</f>
        <v/>
      </c>
      <c r="P182" s="8">
        <f>IF(P$3="","",IFERROR(LEFT(TRIM(INDEX(Forms貼り付け!$A:$AZ,181,P$3)),1),""))</f>
        <v/>
      </c>
      <c r="Q182" s="8">
        <f>IF(Q$3="","",IFERROR(LEFT(TRIM(INDEX(Forms貼り付け!$A:$AZ,181,Q$3)),1),""))</f>
        <v/>
      </c>
      <c r="R182" s="8">
        <f>IF(R$3="","",IFERROR(LEFT(TRIM(INDEX(Forms貼り付け!$A:$AZ,181,R$3)),1),""))</f>
        <v/>
      </c>
      <c r="S182" s="8">
        <f>IF(S$3="","",IFERROR(LEFT(TRIM(INDEX(Forms貼り付け!$A:$AZ,181,S$3)),1),""))</f>
        <v/>
      </c>
      <c r="T182" s="8">
        <f>IF(T$3="","",IFERROR(LEFT(TRIM(INDEX(Forms貼り付け!$A:$AZ,181,T$3)),1),""))</f>
        <v/>
      </c>
      <c r="U182" s="8">
        <f>IF(U$3="","",IFERROR(LEFT(TRIM(INDEX(Forms貼り付け!$A:$AZ,181,U$3)),1),""))</f>
        <v/>
      </c>
      <c r="V182" s="8">
        <f>IF(V$3="","",IFERROR(LEFT(TRIM(INDEX(Forms貼り付け!$A:$AZ,181,V$3)),1),""))</f>
        <v/>
      </c>
      <c r="W182" s="8">
        <f>IF(W$3="","",IFERROR(LEFT(TRIM(INDEX(Forms貼り付け!$A:$AZ,181,W$3)),1),""))</f>
        <v/>
      </c>
      <c r="X182" s="8">
        <f>IF(X$3="","",IFERROR(LEFT(TRIM(INDEX(Forms貼り付け!$A:$AZ,181,X$3)),1),""))</f>
        <v/>
      </c>
      <c r="Y182" s="8">
        <f>IF(Y$3="","",IFERROR(LEFT(TRIM(INDEX(Forms貼り付け!$A:$AZ,181,Y$3)),1),""))</f>
        <v/>
      </c>
      <c r="Z182" s="8">
        <f>IF(Z$3="","",IFERROR(LEFT(TRIM(INDEX(Forms貼り付け!$A:$AZ,181,Z$3)),1),""))</f>
        <v/>
      </c>
      <c r="AA182" s="8">
        <f>IF(AA$3="","",IFERROR(LEFT(TRIM(INDEX(Forms貼り付け!$A:$AZ,181,AA$3)),1),""))</f>
        <v/>
      </c>
      <c r="AB182" s="8">
        <f>IF(AB$3="","",IFERROR(LEFT(TRIM(INDEX(Forms貼り付け!$A:$AZ,181,AB$3)),1),""))</f>
        <v/>
      </c>
      <c r="AC182" s="8">
        <f>IF(AC$3="","",IFERROR(LEFT(TRIM(INDEX(Forms貼り付け!$A:$AZ,181,AC$3)),1),""))</f>
        <v/>
      </c>
      <c r="AD182" s="8">
        <f>IF(AD$3="","",IFERROR(LEFT(TRIM(INDEX(Forms貼り付け!$A:$AZ,181,AD$3)),1),""))</f>
        <v/>
      </c>
      <c r="AE182" s="8">
        <f>IF(AE$3="","",IFERROR(LEFT(TRIM(INDEX(Forms貼り付け!$A:$AZ,181,AE$3)),1),""))</f>
        <v/>
      </c>
      <c r="AF182" s="8">
        <f>IF(AF$3="","",IFERROR(LEFT(TRIM(INDEX(Forms貼り付け!$A:$AZ,181,AF$3)),1),""))</f>
        <v/>
      </c>
      <c r="AG182" s="8">
        <f>IF(AG$3="","",IFERROR(LEFT(TRIM(INDEX(Forms貼り付け!$A:$AZ,181,AG$3)),1),""))</f>
        <v/>
      </c>
      <c r="AH182" s="8">
        <f>IF(AH$3="","",IFERROR(LEFT(TRIM(INDEX(Forms貼り付け!$A:$AZ,181,AH$3)),1),""))</f>
        <v/>
      </c>
      <c r="AI182" s="8">
        <f>IF(AI$3="","",IFERROR(LEFT(TRIM(INDEX(Forms貼り付け!$A:$AZ,181,AI$3)),1),""))</f>
        <v/>
      </c>
      <c r="AJ182" s="8">
        <f>IF(AJ$3="","",IFERROR(LEFT(TRIM(INDEX(Forms貼り付け!$A:$AZ,181,AJ$3)),1),""))</f>
        <v/>
      </c>
      <c r="AK182" s="8">
        <f>IF(AK$3="","",IFERROR(LEFT(TRIM(INDEX(Forms貼り付け!$A:$AZ,181,AK$3)),1),""))</f>
        <v/>
      </c>
      <c r="AL182" s="8">
        <f>IF(AL$3="","",IFERROR(LEFT(TRIM(INDEX(Forms貼り付け!$A:$AZ,181,AL$3)),1),""))</f>
        <v/>
      </c>
      <c r="AM182" s="8">
        <f>IF(AM$3="","",IFERROR(LEFT(TRIM(INDEX(Forms貼り付け!$A:$AZ,181,AM$3)),1),""))</f>
        <v/>
      </c>
      <c r="AN182" s="8">
        <f>IF(AN$3="","",IFERROR(LEFT(TRIM(INDEX(Forms貼り付け!$A:$AZ,181,AN$3)),1),""))</f>
        <v/>
      </c>
      <c r="AO182" s="8">
        <f>IF(AO$3="","",IFERROR(LEFT(TRIM(INDEX(Forms貼り付け!$A:$AZ,181,AO$3)),1),""))</f>
        <v/>
      </c>
      <c r="AP182" s="8">
        <f>IF(AP$3="","",IFERROR(LEFT(TRIM(INDEX(Forms貼り付け!$A:$AZ,181,AP$3)),1),""))</f>
        <v/>
      </c>
      <c r="AQ182" s="8">
        <f>IF(AQ$3="","",IFERROR(LEFT(TRIM(INDEX(Forms貼り付け!$A:$AZ,181,AQ$3)),1),""))</f>
        <v/>
      </c>
      <c r="AR182" s="8">
        <f>IF(AR$3="","",IFERROR(LEFT(TRIM(INDEX(Forms貼り付け!$A:$AZ,181,AR$3)),1),""))</f>
        <v/>
      </c>
      <c r="AS182" s="8">
        <f>IF(AS$3="","",IFERROR(LEFT(TRIM(INDEX(Forms貼り付け!$A:$AZ,181,AS$3)),1),""))</f>
        <v/>
      </c>
      <c r="AT182" s="8">
        <f>IF(AT$3="","",IFERROR(LEFT(TRIM(INDEX(Forms貼り付け!$A:$AZ,181,AT$3)),1),""))</f>
        <v/>
      </c>
      <c r="AU182" s="8">
        <f>IF(AU$3="","",IFERROR(LEFT(TRIM(INDEX(Forms貼り付け!$A:$AZ,181,AU$3)),1),""))</f>
        <v/>
      </c>
      <c r="AV182" s="8">
        <f>IF(AV$3="","",IFERROR(LEFT(TRIM(INDEX(Forms貼り付け!$A:$AZ,181,AV$3)),1),""))</f>
        <v/>
      </c>
      <c r="AW182" s="8">
        <f>IF(AW$3="","",IFERROR(LEFT(TRIM(INDEX(Forms貼り付け!$A:$AZ,181,AW$3)),1),""))</f>
        <v/>
      </c>
      <c r="AX182" s="8">
        <f>IF(AX$3="","",IFERROR(LEFT(TRIM(INDEX(Forms貼り付け!$A:$AZ,181,AX$3)),1),""))</f>
        <v/>
      </c>
      <c r="AY182" s="8">
        <f>IF(AY$3="","",IFERROR(LEFT(TRIM(INDEX(Forms貼り付け!$A:$AZ,181,AY$3)),1),""))</f>
        <v/>
      </c>
      <c r="AZ182" s="8">
        <f>IF(AZ$3="","",IFERROR(LEFT(TRIM(INDEX(Forms貼り付け!$A:$AZ,181,AZ$3)),1),""))</f>
        <v/>
      </c>
      <c r="BA182" s="8">
        <f>IF(BA$3="","",IFERROR(LEFT(TRIM(INDEX(Forms貼り付け!$A:$AZ,181,BA$3)),1),""))</f>
        <v/>
      </c>
      <c r="BB182" s="8">
        <f>IF(BB$3="","",IFERROR(LEFT(TRIM(INDEX(Forms貼り付け!$A:$AZ,181,BB$3)),1),""))</f>
        <v/>
      </c>
      <c r="BC182" s="8">
        <f>IF(BC$3="","",IFERROR(LEFT(TRIM(INDEX(Forms貼り付け!$A:$AZ,181,BC$3)),1),""))</f>
        <v/>
      </c>
    </row>
    <row r="183">
      <c r="A183" s="8" t="inlineStr">
        <is>
          <t>U179</t>
        </is>
      </c>
      <c r="B183" s="9">
        <f>IF($B$3="","",INDEX(Forms貼り付け!$A:$AZ,182,$B$3))</f>
        <v/>
      </c>
      <c r="C183" s="9">
        <f>IF($C$3="","",INDEX(Forms貼り付け!$A:$AZ,182,$C$3))</f>
        <v/>
      </c>
      <c r="D183" s="8">
        <f>IF($D$3="","",INDEX(Forms貼り付け!$A:$AZ,182,$D$3))</f>
        <v/>
      </c>
      <c r="E183" s="8">
        <f>IF($E$3="","",INDEX(Forms貼り付け!$A:$AZ,182,$E$3))</f>
        <v/>
      </c>
      <c r="F183" s="8">
        <f>IF(F$3="","",IFERROR(LEFT(TRIM(INDEX(Forms貼り付け!$A:$AZ,182,F$3)),1),""))</f>
        <v/>
      </c>
      <c r="G183" s="8">
        <f>IF(G$3="","",IFERROR(LEFT(TRIM(INDEX(Forms貼り付け!$A:$AZ,182,G$3)),1),""))</f>
        <v/>
      </c>
      <c r="H183" s="8">
        <f>IF(H$3="","",IFERROR(LEFT(TRIM(INDEX(Forms貼り付け!$A:$AZ,182,H$3)),1),""))</f>
        <v/>
      </c>
      <c r="I183" s="8">
        <f>IF(I$3="","",IFERROR(LEFT(TRIM(INDEX(Forms貼り付け!$A:$AZ,182,I$3)),1),""))</f>
        <v/>
      </c>
      <c r="J183" s="8">
        <f>IF(J$3="","",IFERROR(LEFT(TRIM(INDEX(Forms貼り付け!$A:$AZ,182,J$3)),1),""))</f>
        <v/>
      </c>
      <c r="K183" s="8">
        <f>IF(K$3="","",IFERROR(LEFT(TRIM(INDEX(Forms貼り付け!$A:$AZ,182,K$3)),1),""))</f>
        <v/>
      </c>
      <c r="L183" s="8">
        <f>IF(L$3="","",IFERROR(LEFT(TRIM(INDEX(Forms貼り付け!$A:$AZ,182,L$3)),1),""))</f>
        <v/>
      </c>
      <c r="M183" s="8">
        <f>IF(M$3="","",IFERROR(LEFT(TRIM(INDEX(Forms貼り付け!$A:$AZ,182,M$3)),1),""))</f>
        <v/>
      </c>
      <c r="N183" s="8">
        <f>IF(N$3="","",IFERROR(LEFT(TRIM(INDEX(Forms貼り付け!$A:$AZ,182,N$3)),1),""))</f>
        <v/>
      </c>
      <c r="O183" s="8">
        <f>IF(O$3="","",IFERROR(LEFT(TRIM(INDEX(Forms貼り付け!$A:$AZ,182,O$3)),1),""))</f>
        <v/>
      </c>
      <c r="P183" s="8">
        <f>IF(P$3="","",IFERROR(LEFT(TRIM(INDEX(Forms貼り付け!$A:$AZ,182,P$3)),1),""))</f>
        <v/>
      </c>
      <c r="Q183" s="8">
        <f>IF(Q$3="","",IFERROR(LEFT(TRIM(INDEX(Forms貼り付け!$A:$AZ,182,Q$3)),1),""))</f>
        <v/>
      </c>
      <c r="R183" s="8">
        <f>IF(R$3="","",IFERROR(LEFT(TRIM(INDEX(Forms貼り付け!$A:$AZ,182,R$3)),1),""))</f>
        <v/>
      </c>
      <c r="S183" s="8">
        <f>IF(S$3="","",IFERROR(LEFT(TRIM(INDEX(Forms貼り付け!$A:$AZ,182,S$3)),1),""))</f>
        <v/>
      </c>
      <c r="T183" s="8">
        <f>IF(T$3="","",IFERROR(LEFT(TRIM(INDEX(Forms貼り付け!$A:$AZ,182,T$3)),1),""))</f>
        <v/>
      </c>
      <c r="U183" s="8">
        <f>IF(U$3="","",IFERROR(LEFT(TRIM(INDEX(Forms貼り付け!$A:$AZ,182,U$3)),1),""))</f>
        <v/>
      </c>
      <c r="V183" s="8">
        <f>IF(V$3="","",IFERROR(LEFT(TRIM(INDEX(Forms貼り付け!$A:$AZ,182,V$3)),1),""))</f>
        <v/>
      </c>
      <c r="W183" s="8">
        <f>IF(W$3="","",IFERROR(LEFT(TRIM(INDEX(Forms貼り付け!$A:$AZ,182,W$3)),1),""))</f>
        <v/>
      </c>
      <c r="X183" s="8">
        <f>IF(X$3="","",IFERROR(LEFT(TRIM(INDEX(Forms貼り付け!$A:$AZ,182,X$3)),1),""))</f>
        <v/>
      </c>
      <c r="Y183" s="8">
        <f>IF(Y$3="","",IFERROR(LEFT(TRIM(INDEX(Forms貼り付け!$A:$AZ,182,Y$3)),1),""))</f>
        <v/>
      </c>
      <c r="Z183" s="8">
        <f>IF(Z$3="","",IFERROR(LEFT(TRIM(INDEX(Forms貼り付け!$A:$AZ,182,Z$3)),1),""))</f>
        <v/>
      </c>
      <c r="AA183" s="8">
        <f>IF(AA$3="","",IFERROR(LEFT(TRIM(INDEX(Forms貼り付け!$A:$AZ,182,AA$3)),1),""))</f>
        <v/>
      </c>
      <c r="AB183" s="8">
        <f>IF(AB$3="","",IFERROR(LEFT(TRIM(INDEX(Forms貼り付け!$A:$AZ,182,AB$3)),1),""))</f>
        <v/>
      </c>
      <c r="AC183" s="8">
        <f>IF(AC$3="","",IFERROR(LEFT(TRIM(INDEX(Forms貼り付け!$A:$AZ,182,AC$3)),1),""))</f>
        <v/>
      </c>
      <c r="AD183" s="8">
        <f>IF(AD$3="","",IFERROR(LEFT(TRIM(INDEX(Forms貼り付け!$A:$AZ,182,AD$3)),1),""))</f>
        <v/>
      </c>
      <c r="AE183" s="8">
        <f>IF(AE$3="","",IFERROR(LEFT(TRIM(INDEX(Forms貼り付け!$A:$AZ,182,AE$3)),1),""))</f>
        <v/>
      </c>
      <c r="AF183" s="8">
        <f>IF(AF$3="","",IFERROR(LEFT(TRIM(INDEX(Forms貼り付け!$A:$AZ,182,AF$3)),1),""))</f>
        <v/>
      </c>
      <c r="AG183" s="8">
        <f>IF(AG$3="","",IFERROR(LEFT(TRIM(INDEX(Forms貼り付け!$A:$AZ,182,AG$3)),1),""))</f>
        <v/>
      </c>
      <c r="AH183" s="8">
        <f>IF(AH$3="","",IFERROR(LEFT(TRIM(INDEX(Forms貼り付け!$A:$AZ,182,AH$3)),1),""))</f>
        <v/>
      </c>
      <c r="AI183" s="8">
        <f>IF(AI$3="","",IFERROR(LEFT(TRIM(INDEX(Forms貼り付け!$A:$AZ,182,AI$3)),1),""))</f>
        <v/>
      </c>
      <c r="AJ183" s="8">
        <f>IF(AJ$3="","",IFERROR(LEFT(TRIM(INDEX(Forms貼り付け!$A:$AZ,182,AJ$3)),1),""))</f>
        <v/>
      </c>
      <c r="AK183" s="8">
        <f>IF(AK$3="","",IFERROR(LEFT(TRIM(INDEX(Forms貼り付け!$A:$AZ,182,AK$3)),1),""))</f>
        <v/>
      </c>
      <c r="AL183" s="8">
        <f>IF(AL$3="","",IFERROR(LEFT(TRIM(INDEX(Forms貼り付け!$A:$AZ,182,AL$3)),1),""))</f>
        <v/>
      </c>
      <c r="AM183" s="8">
        <f>IF(AM$3="","",IFERROR(LEFT(TRIM(INDEX(Forms貼り付け!$A:$AZ,182,AM$3)),1),""))</f>
        <v/>
      </c>
      <c r="AN183" s="8">
        <f>IF(AN$3="","",IFERROR(LEFT(TRIM(INDEX(Forms貼り付け!$A:$AZ,182,AN$3)),1),""))</f>
        <v/>
      </c>
      <c r="AO183" s="8">
        <f>IF(AO$3="","",IFERROR(LEFT(TRIM(INDEX(Forms貼り付け!$A:$AZ,182,AO$3)),1),""))</f>
        <v/>
      </c>
      <c r="AP183" s="8">
        <f>IF(AP$3="","",IFERROR(LEFT(TRIM(INDEX(Forms貼り付け!$A:$AZ,182,AP$3)),1),""))</f>
        <v/>
      </c>
      <c r="AQ183" s="8">
        <f>IF(AQ$3="","",IFERROR(LEFT(TRIM(INDEX(Forms貼り付け!$A:$AZ,182,AQ$3)),1),""))</f>
        <v/>
      </c>
      <c r="AR183" s="8">
        <f>IF(AR$3="","",IFERROR(LEFT(TRIM(INDEX(Forms貼り付け!$A:$AZ,182,AR$3)),1),""))</f>
        <v/>
      </c>
      <c r="AS183" s="8">
        <f>IF(AS$3="","",IFERROR(LEFT(TRIM(INDEX(Forms貼り付け!$A:$AZ,182,AS$3)),1),""))</f>
        <v/>
      </c>
      <c r="AT183" s="8">
        <f>IF(AT$3="","",IFERROR(LEFT(TRIM(INDEX(Forms貼り付け!$A:$AZ,182,AT$3)),1),""))</f>
        <v/>
      </c>
      <c r="AU183" s="8">
        <f>IF(AU$3="","",IFERROR(LEFT(TRIM(INDEX(Forms貼り付け!$A:$AZ,182,AU$3)),1),""))</f>
        <v/>
      </c>
      <c r="AV183" s="8">
        <f>IF(AV$3="","",IFERROR(LEFT(TRIM(INDEX(Forms貼り付け!$A:$AZ,182,AV$3)),1),""))</f>
        <v/>
      </c>
      <c r="AW183" s="8">
        <f>IF(AW$3="","",IFERROR(LEFT(TRIM(INDEX(Forms貼り付け!$A:$AZ,182,AW$3)),1),""))</f>
        <v/>
      </c>
      <c r="AX183" s="8">
        <f>IF(AX$3="","",IFERROR(LEFT(TRIM(INDEX(Forms貼り付け!$A:$AZ,182,AX$3)),1),""))</f>
        <v/>
      </c>
      <c r="AY183" s="8">
        <f>IF(AY$3="","",IFERROR(LEFT(TRIM(INDEX(Forms貼り付け!$A:$AZ,182,AY$3)),1),""))</f>
        <v/>
      </c>
      <c r="AZ183" s="8">
        <f>IF(AZ$3="","",IFERROR(LEFT(TRIM(INDEX(Forms貼り付け!$A:$AZ,182,AZ$3)),1),""))</f>
        <v/>
      </c>
      <c r="BA183" s="8">
        <f>IF(BA$3="","",IFERROR(LEFT(TRIM(INDEX(Forms貼り付け!$A:$AZ,182,BA$3)),1),""))</f>
        <v/>
      </c>
      <c r="BB183" s="8">
        <f>IF(BB$3="","",IFERROR(LEFT(TRIM(INDEX(Forms貼り付け!$A:$AZ,182,BB$3)),1),""))</f>
        <v/>
      </c>
      <c r="BC183" s="8">
        <f>IF(BC$3="","",IFERROR(LEFT(TRIM(INDEX(Forms貼り付け!$A:$AZ,182,BC$3)),1),""))</f>
        <v/>
      </c>
    </row>
    <row r="184">
      <c r="A184" s="8" t="inlineStr">
        <is>
          <t>U180</t>
        </is>
      </c>
      <c r="B184" s="9">
        <f>IF($B$3="","",INDEX(Forms貼り付け!$A:$AZ,183,$B$3))</f>
        <v/>
      </c>
      <c r="C184" s="9">
        <f>IF($C$3="","",INDEX(Forms貼り付け!$A:$AZ,183,$C$3))</f>
        <v/>
      </c>
      <c r="D184" s="8">
        <f>IF($D$3="","",INDEX(Forms貼り付け!$A:$AZ,183,$D$3))</f>
        <v/>
      </c>
      <c r="E184" s="8">
        <f>IF($E$3="","",INDEX(Forms貼り付け!$A:$AZ,183,$E$3))</f>
        <v/>
      </c>
      <c r="F184" s="8">
        <f>IF(F$3="","",IFERROR(LEFT(TRIM(INDEX(Forms貼り付け!$A:$AZ,183,F$3)),1),""))</f>
        <v/>
      </c>
      <c r="G184" s="8">
        <f>IF(G$3="","",IFERROR(LEFT(TRIM(INDEX(Forms貼り付け!$A:$AZ,183,G$3)),1),""))</f>
        <v/>
      </c>
      <c r="H184" s="8">
        <f>IF(H$3="","",IFERROR(LEFT(TRIM(INDEX(Forms貼り付け!$A:$AZ,183,H$3)),1),""))</f>
        <v/>
      </c>
      <c r="I184" s="8">
        <f>IF(I$3="","",IFERROR(LEFT(TRIM(INDEX(Forms貼り付け!$A:$AZ,183,I$3)),1),""))</f>
        <v/>
      </c>
      <c r="J184" s="8">
        <f>IF(J$3="","",IFERROR(LEFT(TRIM(INDEX(Forms貼り付け!$A:$AZ,183,J$3)),1),""))</f>
        <v/>
      </c>
      <c r="K184" s="8">
        <f>IF(K$3="","",IFERROR(LEFT(TRIM(INDEX(Forms貼り付け!$A:$AZ,183,K$3)),1),""))</f>
        <v/>
      </c>
      <c r="L184" s="8">
        <f>IF(L$3="","",IFERROR(LEFT(TRIM(INDEX(Forms貼り付け!$A:$AZ,183,L$3)),1),""))</f>
        <v/>
      </c>
      <c r="M184" s="8">
        <f>IF(M$3="","",IFERROR(LEFT(TRIM(INDEX(Forms貼り付け!$A:$AZ,183,M$3)),1),""))</f>
        <v/>
      </c>
      <c r="N184" s="8">
        <f>IF(N$3="","",IFERROR(LEFT(TRIM(INDEX(Forms貼り付け!$A:$AZ,183,N$3)),1),""))</f>
        <v/>
      </c>
      <c r="O184" s="8">
        <f>IF(O$3="","",IFERROR(LEFT(TRIM(INDEX(Forms貼り付け!$A:$AZ,183,O$3)),1),""))</f>
        <v/>
      </c>
      <c r="P184" s="8">
        <f>IF(P$3="","",IFERROR(LEFT(TRIM(INDEX(Forms貼り付け!$A:$AZ,183,P$3)),1),""))</f>
        <v/>
      </c>
      <c r="Q184" s="8">
        <f>IF(Q$3="","",IFERROR(LEFT(TRIM(INDEX(Forms貼り付け!$A:$AZ,183,Q$3)),1),""))</f>
        <v/>
      </c>
      <c r="R184" s="8">
        <f>IF(R$3="","",IFERROR(LEFT(TRIM(INDEX(Forms貼り付け!$A:$AZ,183,R$3)),1),""))</f>
        <v/>
      </c>
      <c r="S184" s="8">
        <f>IF(S$3="","",IFERROR(LEFT(TRIM(INDEX(Forms貼り付け!$A:$AZ,183,S$3)),1),""))</f>
        <v/>
      </c>
      <c r="T184" s="8">
        <f>IF(T$3="","",IFERROR(LEFT(TRIM(INDEX(Forms貼り付け!$A:$AZ,183,T$3)),1),""))</f>
        <v/>
      </c>
      <c r="U184" s="8">
        <f>IF(U$3="","",IFERROR(LEFT(TRIM(INDEX(Forms貼り付け!$A:$AZ,183,U$3)),1),""))</f>
        <v/>
      </c>
      <c r="V184" s="8">
        <f>IF(V$3="","",IFERROR(LEFT(TRIM(INDEX(Forms貼り付け!$A:$AZ,183,V$3)),1),""))</f>
        <v/>
      </c>
      <c r="W184" s="8">
        <f>IF(W$3="","",IFERROR(LEFT(TRIM(INDEX(Forms貼り付け!$A:$AZ,183,W$3)),1),""))</f>
        <v/>
      </c>
      <c r="X184" s="8">
        <f>IF(X$3="","",IFERROR(LEFT(TRIM(INDEX(Forms貼り付け!$A:$AZ,183,X$3)),1),""))</f>
        <v/>
      </c>
      <c r="Y184" s="8">
        <f>IF(Y$3="","",IFERROR(LEFT(TRIM(INDEX(Forms貼り付け!$A:$AZ,183,Y$3)),1),""))</f>
        <v/>
      </c>
      <c r="Z184" s="8">
        <f>IF(Z$3="","",IFERROR(LEFT(TRIM(INDEX(Forms貼り付け!$A:$AZ,183,Z$3)),1),""))</f>
        <v/>
      </c>
      <c r="AA184" s="8">
        <f>IF(AA$3="","",IFERROR(LEFT(TRIM(INDEX(Forms貼り付け!$A:$AZ,183,AA$3)),1),""))</f>
        <v/>
      </c>
      <c r="AB184" s="8">
        <f>IF(AB$3="","",IFERROR(LEFT(TRIM(INDEX(Forms貼り付け!$A:$AZ,183,AB$3)),1),""))</f>
        <v/>
      </c>
      <c r="AC184" s="8">
        <f>IF(AC$3="","",IFERROR(LEFT(TRIM(INDEX(Forms貼り付け!$A:$AZ,183,AC$3)),1),""))</f>
        <v/>
      </c>
      <c r="AD184" s="8">
        <f>IF(AD$3="","",IFERROR(LEFT(TRIM(INDEX(Forms貼り付け!$A:$AZ,183,AD$3)),1),""))</f>
        <v/>
      </c>
      <c r="AE184" s="8">
        <f>IF(AE$3="","",IFERROR(LEFT(TRIM(INDEX(Forms貼り付け!$A:$AZ,183,AE$3)),1),""))</f>
        <v/>
      </c>
      <c r="AF184" s="8">
        <f>IF(AF$3="","",IFERROR(LEFT(TRIM(INDEX(Forms貼り付け!$A:$AZ,183,AF$3)),1),""))</f>
        <v/>
      </c>
      <c r="AG184" s="8">
        <f>IF(AG$3="","",IFERROR(LEFT(TRIM(INDEX(Forms貼り付け!$A:$AZ,183,AG$3)),1),""))</f>
        <v/>
      </c>
      <c r="AH184" s="8">
        <f>IF(AH$3="","",IFERROR(LEFT(TRIM(INDEX(Forms貼り付け!$A:$AZ,183,AH$3)),1),""))</f>
        <v/>
      </c>
      <c r="AI184" s="8">
        <f>IF(AI$3="","",IFERROR(LEFT(TRIM(INDEX(Forms貼り付け!$A:$AZ,183,AI$3)),1),""))</f>
        <v/>
      </c>
      <c r="AJ184" s="8">
        <f>IF(AJ$3="","",IFERROR(LEFT(TRIM(INDEX(Forms貼り付け!$A:$AZ,183,AJ$3)),1),""))</f>
        <v/>
      </c>
      <c r="AK184" s="8">
        <f>IF(AK$3="","",IFERROR(LEFT(TRIM(INDEX(Forms貼り付け!$A:$AZ,183,AK$3)),1),""))</f>
        <v/>
      </c>
      <c r="AL184" s="8">
        <f>IF(AL$3="","",IFERROR(LEFT(TRIM(INDEX(Forms貼り付け!$A:$AZ,183,AL$3)),1),""))</f>
        <v/>
      </c>
      <c r="AM184" s="8">
        <f>IF(AM$3="","",IFERROR(LEFT(TRIM(INDEX(Forms貼り付け!$A:$AZ,183,AM$3)),1),""))</f>
        <v/>
      </c>
      <c r="AN184" s="8">
        <f>IF(AN$3="","",IFERROR(LEFT(TRIM(INDEX(Forms貼り付け!$A:$AZ,183,AN$3)),1),""))</f>
        <v/>
      </c>
      <c r="AO184" s="8">
        <f>IF(AO$3="","",IFERROR(LEFT(TRIM(INDEX(Forms貼り付け!$A:$AZ,183,AO$3)),1),""))</f>
        <v/>
      </c>
      <c r="AP184" s="8">
        <f>IF(AP$3="","",IFERROR(LEFT(TRIM(INDEX(Forms貼り付け!$A:$AZ,183,AP$3)),1),""))</f>
        <v/>
      </c>
      <c r="AQ184" s="8">
        <f>IF(AQ$3="","",IFERROR(LEFT(TRIM(INDEX(Forms貼り付け!$A:$AZ,183,AQ$3)),1),""))</f>
        <v/>
      </c>
      <c r="AR184" s="8">
        <f>IF(AR$3="","",IFERROR(LEFT(TRIM(INDEX(Forms貼り付け!$A:$AZ,183,AR$3)),1),""))</f>
        <v/>
      </c>
      <c r="AS184" s="8">
        <f>IF(AS$3="","",IFERROR(LEFT(TRIM(INDEX(Forms貼り付け!$A:$AZ,183,AS$3)),1),""))</f>
        <v/>
      </c>
      <c r="AT184" s="8">
        <f>IF(AT$3="","",IFERROR(LEFT(TRIM(INDEX(Forms貼り付け!$A:$AZ,183,AT$3)),1),""))</f>
        <v/>
      </c>
      <c r="AU184" s="8">
        <f>IF(AU$3="","",IFERROR(LEFT(TRIM(INDEX(Forms貼り付け!$A:$AZ,183,AU$3)),1),""))</f>
        <v/>
      </c>
      <c r="AV184" s="8">
        <f>IF(AV$3="","",IFERROR(LEFT(TRIM(INDEX(Forms貼り付け!$A:$AZ,183,AV$3)),1),""))</f>
        <v/>
      </c>
      <c r="AW184" s="8">
        <f>IF(AW$3="","",IFERROR(LEFT(TRIM(INDEX(Forms貼り付け!$A:$AZ,183,AW$3)),1),""))</f>
        <v/>
      </c>
      <c r="AX184" s="8">
        <f>IF(AX$3="","",IFERROR(LEFT(TRIM(INDEX(Forms貼り付け!$A:$AZ,183,AX$3)),1),""))</f>
        <v/>
      </c>
      <c r="AY184" s="8">
        <f>IF(AY$3="","",IFERROR(LEFT(TRIM(INDEX(Forms貼り付け!$A:$AZ,183,AY$3)),1),""))</f>
        <v/>
      </c>
      <c r="AZ184" s="8">
        <f>IF(AZ$3="","",IFERROR(LEFT(TRIM(INDEX(Forms貼り付け!$A:$AZ,183,AZ$3)),1),""))</f>
        <v/>
      </c>
      <c r="BA184" s="8">
        <f>IF(BA$3="","",IFERROR(LEFT(TRIM(INDEX(Forms貼り付け!$A:$AZ,183,BA$3)),1),""))</f>
        <v/>
      </c>
      <c r="BB184" s="8">
        <f>IF(BB$3="","",IFERROR(LEFT(TRIM(INDEX(Forms貼り付け!$A:$AZ,183,BB$3)),1),""))</f>
        <v/>
      </c>
      <c r="BC184" s="8">
        <f>IF(BC$3="","",IFERROR(LEFT(TRIM(INDEX(Forms貼り付け!$A:$AZ,183,BC$3)),1),""))</f>
        <v/>
      </c>
    </row>
    <row r="185">
      <c r="A185" s="8" t="inlineStr">
        <is>
          <t>U181</t>
        </is>
      </c>
      <c r="B185" s="9">
        <f>IF($B$3="","",INDEX(Forms貼り付け!$A:$AZ,184,$B$3))</f>
        <v/>
      </c>
      <c r="C185" s="9">
        <f>IF($C$3="","",INDEX(Forms貼り付け!$A:$AZ,184,$C$3))</f>
        <v/>
      </c>
      <c r="D185" s="8">
        <f>IF($D$3="","",INDEX(Forms貼り付け!$A:$AZ,184,$D$3))</f>
        <v/>
      </c>
      <c r="E185" s="8">
        <f>IF($E$3="","",INDEX(Forms貼り付け!$A:$AZ,184,$E$3))</f>
        <v/>
      </c>
      <c r="F185" s="8">
        <f>IF(F$3="","",IFERROR(LEFT(TRIM(INDEX(Forms貼り付け!$A:$AZ,184,F$3)),1),""))</f>
        <v/>
      </c>
      <c r="G185" s="8">
        <f>IF(G$3="","",IFERROR(LEFT(TRIM(INDEX(Forms貼り付け!$A:$AZ,184,G$3)),1),""))</f>
        <v/>
      </c>
      <c r="H185" s="8">
        <f>IF(H$3="","",IFERROR(LEFT(TRIM(INDEX(Forms貼り付け!$A:$AZ,184,H$3)),1),""))</f>
        <v/>
      </c>
      <c r="I185" s="8">
        <f>IF(I$3="","",IFERROR(LEFT(TRIM(INDEX(Forms貼り付け!$A:$AZ,184,I$3)),1),""))</f>
        <v/>
      </c>
      <c r="J185" s="8">
        <f>IF(J$3="","",IFERROR(LEFT(TRIM(INDEX(Forms貼り付け!$A:$AZ,184,J$3)),1),""))</f>
        <v/>
      </c>
      <c r="K185" s="8">
        <f>IF(K$3="","",IFERROR(LEFT(TRIM(INDEX(Forms貼り付け!$A:$AZ,184,K$3)),1),""))</f>
        <v/>
      </c>
      <c r="L185" s="8">
        <f>IF(L$3="","",IFERROR(LEFT(TRIM(INDEX(Forms貼り付け!$A:$AZ,184,L$3)),1),""))</f>
        <v/>
      </c>
      <c r="M185" s="8">
        <f>IF(M$3="","",IFERROR(LEFT(TRIM(INDEX(Forms貼り付け!$A:$AZ,184,M$3)),1),""))</f>
        <v/>
      </c>
      <c r="N185" s="8">
        <f>IF(N$3="","",IFERROR(LEFT(TRIM(INDEX(Forms貼り付け!$A:$AZ,184,N$3)),1),""))</f>
        <v/>
      </c>
      <c r="O185" s="8">
        <f>IF(O$3="","",IFERROR(LEFT(TRIM(INDEX(Forms貼り付け!$A:$AZ,184,O$3)),1),""))</f>
        <v/>
      </c>
      <c r="P185" s="8">
        <f>IF(P$3="","",IFERROR(LEFT(TRIM(INDEX(Forms貼り付け!$A:$AZ,184,P$3)),1),""))</f>
        <v/>
      </c>
      <c r="Q185" s="8">
        <f>IF(Q$3="","",IFERROR(LEFT(TRIM(INDEX(Forms貼り付け!$A:$AZ,184,Q$3)),1),""))</f>
        <v/>
      </c>
      <c r="R185" s="8">
        <f>IF(R$3="","",IFERROR(LEFT(TRIM(INDEX(Forms貼り付け!$A:$AZ,184,R$3)),1),""))</f>
        <v/>
      </c>
      <c r="S185" s="8">
        <f>IF(S$3="","",IFERROR(LEFT(TRIM(INDEX(Forms貼り付け!$A:$AZ,184,S$3)),1),""))</f>
        <v/>
      </c>
      <c r="T185" s="8">
        <f>IF(T$3="","",IFERROR(LEFT(TRIM(INDEX(Forms貼り付け!$A:$AZ,184,T$3)),1),""))</f>
        <v/>
      </c>
      <c r="U185" s="8">
        <f>IF(U$3="","",IFERROR(LEFT(TRIM(INDEX(Forms貼り付け!$A:$AZ,184,U$3)),1),""))</f>
        <v/>
      </c>
      <c r="V185" s="8">
        <f>IF(V$3="","",IFERROR(LEFT(TRIM(INDEX(Forms貼り付け!$A:$AZ,184,V$3)),1),""))</f>
        <v/>
      </c>
      <c r="W185" s="8">
        <f>IF(W$3="","",IFERROR(LEFT(TRIM(INDEX(Forms貼り付け!$A:$AZ,184,W$3)),1),""))</f>
        <v/>
      </c>
      <c r="X185" s="8">
        <f>IF(X$3="","",IFERROR(LEFT(TRIM(INDEX(Forms貼り付け!$A:$AZ,184,X$3)),1),""))</f>
        <v/>
      </c>
      <c r="Y185" s="8">
        <f>IF(Y$3="","",IFERROR(LEFT(TRIM(INDEX(Forms貼り付け!$A:$AZ,184,Y$3)),1),""))</f>
        <v/>
      </c>
      <c r="Z185" s="8">
        <f>IF(Z$3="","",IFERROR(LEFT(TRIM(INDEX(Forms貼り付け!$A:$AZ,184,Z$3)),1),""))</f>
        <v/>
      </c>
      <c r="AA185" s="8">
        <f>IF(AA$3="","",IFERROR(LEFT(TRIM(INDEX(Forms貼り付け!$A:$AZ,184,AA$3)),1),""))</f>
        <v/>
      </c>
      <c r="AB185" s="8">
        <f>IF(AB$3="","",IFERROR(LEFT(TRIM(INDEX(Forms貼り付け!$A:$AZ,184,AB$3)),1),""))</f>
        <v/>
      </c>
      <c r="AC185" s="8">
        <f>IF(AC$3="","",IFERROR(LEFT(TRIM(INDEX(Forms貼り付け!$A:$AZ,184,AC$3)),1),""))</f>
        <v/>
      </c>
      <c r="AD185" s="8">
        <f>IF(AD$3="","",IFERROR(LEFT(TRIM(INDEX(Forms貼り付け!$A:$AZ,184,AD$3)),1),""))</f>
        <v/>
      </c>
      <c r="AE185" s="8">
        <f>IF(AE$3="","",IFERROR(LEFT(TRIM(INDEX(Forms貼り付け!$A:$AZ,184,AE$3)),1),""))</f>
        <v/>
      </c>
      <c r="AF185" s="8">
        <f>IF(AF$3="","",IFERROR(LEFT(TRIM(INDEX(Forms貼り付け!$A:$AZ,184,AF$3)),1),""))</f>
        <v/>
      </c>
      <c r="AG185" s="8">
        <f>IF(AG$3="","",IFERROR(LEFT(TRIM(INDEX(Forms貼り付け!$A:$AZ,184,AG$3)),1),""))</f>
        <v/>
      </c>
      <c r="AH185" s="8">
        <f>IF(AH$3="","",IFERROR(LEFT(TRIM(INDEX(Forms貼り付け!$A:$AZ,184,AH$3)),1),""))</f>
        <v/>
      </c>
      <c r="AI185" s="8">
        <f>IF(AI$3="","",IFERROR(LEFT(TRIM(INDEX(Forms貼り付け!$A:$AZ,184,AI$3)),1),""))</f>
        <v/>
      </c>
      <c r="AJ185" s="8">
        <f>IF(AJ$3="","",IFERROR(LEFT(TRIM(INDEX(Forms貼り付け!$A:$AZ,184,AJ$3)),1),""))</f>
        <v/>
      </c>
      <c r="AK185" s="8">
        <f>IF(AK$3="","",IFERROR(LEFT(TRIM(INDEX(Forms貼り付け!$A:$AZ,184,AK$3)),1),""))</f>
        <v/>
      </c>
      <c r="AL185" s="8">
        <f>IF(AL$3="","",IFERROR(LEFT(TRIM(INDEX(Forms貼り付け!$A:$AZ,184,AL$3)),1),""))</f>
        <v/>
      </c>
      <c r="AM185" s="8">
        <f>IF(AM$3="","",IFERROR(LEFT(TRIM(INDEX(Forms貼り付け!$A:$AZ,184,AM$3)),1),""))</f>
        <v/>
      </c>
      <c r="AN185" s="8">
        <f>IF(AN$3="","",IFERROR(LEFT(TRIM(INDEX(Forms貼り付け!$A:$AZ,184,AN$3)),1),""))</f>
        <v/>
      </c>
      <c r="AO185" s="8">
        <f>IF(AO$3="","",IFERROR(LEFT(TRIM(INDEX(Forms貼り付け!$A:$AZ,184,AO$3)),1),""))</f>
        <v/>
      </c>
      <c r="AP185" s="8">
        <f>IF(AP$3="","",IFERROR(LEFT(TRIM(INDEX(Forms貼り付け!$A:$AZ,184,AP$3)),1),""))</f>
        <v/>
      </c>
      <c r="AQ185" s="8">
        <f>IF(AQ$3="","",IFERROR(LEFT(TRIM(INDEX(Forms貼り付け!$A:$AZ,184,AQ$3)),1),""))</f>
        <v/>
      </c>
      <c r="AR185" s="8">
        <f>IF(AR$3="","",IFERROR(LEFT(TRIM(INDEX(Forms貼り付け!$A:$AZ,184,AR$3)),1),""))</f>
        <v/>
      </c>
      <c r="AS185" s="8">
        <f>IF(AS$3="","",IFERROR(LEFT(TRIM(INDEX(Forms貼り付け!$A:$AZ,184,AS$3)),1),""))</f>
        <v/>
      </c>
      <c r="AT185" s="8">
        <f>IF(AT$3="","",IFERROR(LEFT(TRIM(INDEX(Forms貼り付け!$A:$AZ,184,AT$3)),1),""))</f>
        <v/>
      </c>
      <c r="AU185" s="8">
        <f>IF(AU$3="","",IFERROR(LEFT(TRIM(INDEX(Forms貼り付け!$A:$AZ,184,AU$3)),1),""))</f>
        <v/>
      </c>
      <c r="AV185" s="8">
        <f>IF(AV$3="","",IFERROR(LEFT(TRIM(INDEX(Forms貼り付け!$A:$AZ,184,AV$3)),1),""))</f>
        <v/>
      </c>
      <c r="AW185" s="8">
        <f>IF(AW$3="","",IFERROR(LEFT(TRIM(INDEX(Forms貼り付け!$A:$AZ,184,AW$3)),1),""))</f>
        <v/>
      </c>
      <c r="AX185" s="8">
        <f>IF(AX$3="","",IFERROR(LEFT(TRIM(INDEX(Forms貼り付け!$A:$AZ,184,AX$3)),1),""))</f>
        <v/>
      </c>
      <c r="AY185" s="8">
        <f>IF(AY$3="","",IFERROR(LEFT(TRIM(INDEX(Forms貼り付け!$A:$AZ,184,AY$3)),1),""))</f>
        <v/>
      </c>
      <c r="AZ185" s="8">
        <f>IF(AZ$3="","",IFERROR(LEFT(TRIM(INDEX(Forms貼り付け!$A:$AZ,184,AZ$3)),1),""))</f>
        <v/>
      </c>
      <c r="BA185" s="8">
        <f>IF(BA$3="","",IFERROR(LEFT(TRIM(INDEX(Forms貼り付け!$A:$AZ,184,BA$3)),1),""))</f>
        <v/>
      </c>
      <c r="BB185" s="8">
        <f>IF(BB$3="","",IFERROR(LEFT(TRIM(INDEX(Forms貼り付け!$A:$AZ,184,BB$3)),1),""))</f>
        <v/>
      </c>
      <c r="BC185" s="8">
        <f>IF(BC$3="","",IFERROR(LEFT(TRIM(INDEX(Forms貼り付け!$A:$AZ,184,BC$3)),1),""))</f>
        <v/>
      </c>
    </row>
    <row r="186">
      <c r="A186" s="8" t="inlineStr">
        <is>
          <t>U182</t>
        </is>
      </c>
      <c r="B186" s="9">
        <f>IF($B$3="","",INDEX(Forms貼り付け!$A:$AZ,185,$B$3))</f>
        <v/>
      </c>
      <c r="C186" s="9">
        <f>IF($C$3="","",INDEX(Forms貼り付け!$A:$AZ,185,$C$3))</f>
        <v/>
      </c>
      <c r="D186" s="8">
        <f>IF($D$3="","",INDEX(Forms貼り付け!$A:$AZ,185,$D$3))</f>
        <v/>
      </c>
      <c r="E186" s="8">
        <f>IF($E$3="","",INDEX(Forms貼り付け!$A:$AZ,185,$E$3))</f>
        <v/>
      </c>
      <c r="F186" s="8">
        <f>IF(F$3="","",IFERROR(LEFT(TRIM(INDEX(Forms貼り付け!$A:$AZ,185,F$3)),1),""))</f>
        <v/>
      </c>
      <c r="G186" s="8">
        <f>IF(G$3="","",IFERROR(LEFT(TRIM(INDEX(Forms貼り付け!$A:$AZ,185,G$3)),1),""))</f>
        <v/>
      </c>
      <c r="H186" s="8">
        <f>IF(H$3="","",IFERROR(LEFT(TRIM(INDEX(Forms貼り付け!$A:$AZ,185,H$3)),1),""))</f>
        <v/>
      </c>
      <c r="I186" s="8">
        <f>IF(I$3="","",IFERROR(LEFT(TRIM(INDEX(Forms貼り付け!$A:$AZ,185,I$3)),1),""))</f>
        <v/>
      </c>
      <c r="J186" s="8">
        <f>IF(J$3="","",IFERROR(LEFT(TRIM(INDEX(Forms貼り付け!$A:$AZ,185,J$3)),1),""))</f>
        <v/>
      </c>
      <c r="K186" s="8">
        <f>IF(K$3="","",IFERROR(LEFT(TRIM(INDEX(Forms貼り付け!$A:$AZ,185,K$3)),1),""))</f>
        <v/>
      </c>
      <c r="L186" s="8">
        <f>IF(L$3="","",IFERROR(LEFT(TRIM(INDEX(Forms貼り付け!$A:$AZ,185,L$3)),1),""))</f>
        <v/>
      </c>
      <c r="M186" s="8">
        <f>IF(M$3="","",IFERROR(LEFT(TRIM(INDEX(Forms貼り付け!$A:$AZ,185,M$3)),1),""))</f>
        <v/>
      </c>
      <c r="N186" s="8">
        <f>IF(N$3="","",IFERROR(LEFT(TRIM(INDEX(Forms貼り付け!$A:$AZ,185,N$3)),1),""))</f>
        <v/>
      </c>
      <c r="O186" s="8">
        <f>IF(O$3="","",IFERROR(LEFT(TRIM(INDEX(Forms貼り付け!$A:$AZ,185,O$3)),1),""))</f>
        <v/>
      </c>
      <c r="P186" s="8">
        <f>IF(P$3="","",IFERROR(LEFT(TRIM(INDEX(Forms貼り付け!$A:$AZ,185,P$3)),1),""))</f>
        <v/>
      </c>
      <c r="Q186" s="8">
        <f>IF(Q$3="","",IFERROR(LEFT(TRIM(INDEX(Forms貼り付け!$A:$AZ,185,Q$3)),1),""))</f>
        <v/>
      </c>
      <c r="R186" s="8">
        <f>IF(R$3="","",IFERROR(LEFT(TRIM(INDEX(Forms貼り付け!$A:$AZ,185,R$3)),1),""))</f>
        <v/>
      </c>
      <c r="S186" s="8">
        <f>IF(S$3="","",IFERROR(LEFT(TRIM(INDEX(Forms貼り付け!$A:$AZ,185,S$3)),1),""))</f>
        <v/>
      </c>
      <c r="T186" s="8">
        <f>IF(T$3="","",IFERROR(LEFT(TRIM(INDEX(Forms貼り付け!$A:$AZ,185,T$3)),1),""))</f>
        <v/>
      </c>
      <c r="U186" s="8">
        <f>IF(U$3="","",IFERROR(LEFT(TRIM(INDEX(Forms貼り付け!$A:$AZ,185,U$3)),1),""))</f>
        <v/>
      </c>
      <c r="V186" s="8">
        <f>IF(V$3="","",IFERROR(LEFT(TRIM(INDEX(Forms貼り付け!$A:$AZ,185,V$3)),1),""))</f>
        <v/>
      </c>
      <c r="W186" s="8">
        <f>IF(W$3="","",IFERROR(LEFT(TRIM(INDEX(Forms貼り付け!$A:$AZ,185,W$3)),1),""))</f>
        <v/>
      </c>
      <c r="X186" s="8">
        <f>IF(X$3="","",IFERROR(LEFT(TRIM(INDEX(Forms貼り付け!$A:$AZ,185,X$3)),1),""))</f>
        <v/>
      </c>
      <c r="Y186" s="8">
        <f>IF(Y$3="","",IFERROR(LEFT(TRIM(INDEX(Forms貼り付け!$A:$AZ,185,Y$3)),1),""))</f>
        <v/>
      </c>
      <c r="Z186" s="8">
        <f>IF(Z$3="","",IFERROR(LEFT(TRIM(INDEX(Forms貼り付け!$A:$AZ,185,Z$3)),1),""))</f>
        <v/>
      </c>
      <c r="AA186" s="8">
        <f>IF(AA$3="","",IFERROR(LEFT(TRIM(INDEX(Forms貼り付け!$A:$AZ,185,AA$3)),1),""))</f>
        <v/>
      </c>
      <c r="AB186" s="8">
        <f>IF(AB$3="","",IFERROR(LEFT(TRIM(INDEX(Forms貼り付け!$A:$AZ,185,AB$3)),1),""))</f>
        <v/>
      </c>
      <c r="AC186" s="8">
        <f>IF(AC$3="","",IFERROR(LEFT(TRIM(INDEX(Forms貼り付け!$A:$AZ,185,AC$3)),1),""))</f>
        <v/>
      </c>
      <c r="AD186" s="8">
        <f>IF(AD$3="","",IFERROR(LEFT(TRIM(INDEX(Forms貼り付け!$A:$AZ,185,AD$3)),1),""))</f>
        <v/>
      </c>
      <c r="AE186" s="8">
        <f>IF(AE$3="","",IFERROR(LEFT(TRIM(INDEX(Forms貼り付け!$A:$AZ,185,AE$3)),1),""))</f>
        <v/>
      </c>
      <c r="AF186" s="8">
        <f>IF(AF$3="","",IFERROR(LEFT(TRIM(INDEX(Forms貼り付け!$A:$AZ,185,AF$3)),1),""))</f>
        <v/>
      </c>
      <c r="AG186" s="8">
        <f>IF(AG$3="","",IFERROR(LEFT(TRIM(INDEX(Forms貼り付け!$A:$AZ,185,AG$3)),1),""))</f>
        <v/>
      </c>
      <c r="AH186" s="8">
        <f>IF(AH$3="","",IFERROR(LEFT(TRIM(INDEX(Forms貼り付け!$A:$AZ,185,AH$3)),1),""))</f>
        <v/>
      </c>
      <c r="AI186" s="8">
        <f>IF(AI$3="","",IFERROR(LEFT(TRIM(INDEX(Forms貼り付け!$A:$AZ,185,AI$3)),1),""))</f>
        <v/>
      </c>
      <c r="AJ186" s="8">
        <f>IF(AJ$3="","",IFERROR(LEFT(TRIM(INDEX(Forms貼り付け!$A:$AZ,185,AJ$3)),1),""))</f>
        <v/>
      </c>
      <c r="AK186" s="8">
        <f>IF(AK$3="","",IFERROR(LEFT(TRIM(INDEX(Forms貼り付け!$A:$AZ,185,AK$3)),1),""))</f>
        <v/>
      </c>
      <c r="AL186" s="8">
        <f>IF(AL$3="","",IFERROR(LEFT(TRIM(INDEX(Forms貼り付け!$A:$AZ,185,AL$3)),1),""))</f>
        <v/>
      </c>
      <c r="AM186" s="8">
        <f>IF(AM$3="","",IFERROR(LEFT(TRIM(INDEX(Forms貼り付け!$A:$AZ,185,AM$3)),1),""))</f>
        <v/>
      </c>
      <c r="AN186" s="8">
        <f>IF(AN$3="","",IFERROR(LEFT(TRIM(INDEX(Forms貼り付け!$A:$AZ,185,AN$3)),1),""))</f>
        <v/>
      </c>
      <c r="AO186" s="8">
        <f>IF(AO$3="","",IFERROR(LEFT(TRIM(INDEX(Forms貼り付け!$A:$AZ,185,AO$3)),1),""))</f>
        <v/>
      </c>
      <c r="AP186" s="8">
        <f>IF(AP$3="","",IFERROR(LEFT(TRIM(INDEX(Forms貼り付け!$A:$AZ,185,AP$3)),1),""))</f>
        <v/>
      </c>
      <c r="AQ186" s="8">
        <f>IF(AQ$3="","",IFERROR(LEFT(TRIM(INDEX(Forms貼り付け!$A:$AZ,185,AQ$3)),1),""))</f>
        <v/>
      </c>
      <c r="AR186" s="8">
        <f>IF(AR$3="","",IFERROR(LEFT(TRIM(INDEX(Forms貼り付け!$A:$AZ,185,AR$3)),1),""))</f>
        <v/>
      </c>
      <c r="AS186" s="8">
        <f>IF(AS$3="","",IFERROR(LEFT(TRIM(INDEX(Forms貼り付け!$A:$AZ,185,AS$3)),1),""))</f>
        <v/>
      </c>
      <c r="AT186" s="8">
        <f>IF(AT$3="","",IFERROR(LEFT(TRIM(INDEX(Forms貼り付け!$A:$AZ,185,AT$3)),1),""))</f>
        <v/>
      </c>
      <c r="AU186" s="8">
        <f>IF(AU$3="","",IFERROR(LEFT(TRIM(INDEX(Forms貼り付け!$A:$AZ,185,AU$3)),1),""))</f>
        <v/>
      </c>
      <c r="AV186" s="8">
        <f>IF(AV$3="","",IFERROR(LEFT(TRIM(INDEX(Forms貼り付け!$A:$AZ,185,AV$3)),1),""))</f>
        <v/>
      </c>
      <c r="AW186" s="8">
        <f>IF(AW$3="","",IFERROR(LEFT(TRIM(INDEX(Forms貼り付け!$A:$AZ,185,AW$3)),1),""))</f>
        <v/>
      </c>
      <c r="AX186" s="8">
        <f>IF(AX$3="","",IFERROR(LEFT(TRIM(INDEX(Forms貼り付け!$A:$AZ,185,AX$3)),1),""))</f>
        <v/>
      </c>
      <c r="AY186" s="8">
        <f>IF(AY$3="","",IFERROR(LEFT(TRIM(INDEX(Forms貼り付け!$A:$AZ,185,AY$3)),1),""))</f>
        <v/>
      </c>
      <c r="AZ186" s="8">
        <f>IF(AZ$3="","",IFERROR(LEFT(TRIM(INDEX(Forms貼り付け!$A:$AZ,185,AZ$3)),1),""))</f>
        <v/>
      </c>
      <c r="BA186" s="8">
        <f>IF(BA$3="","",IFERROR(LEFT(TRIM(INDEX(Forms貼り付け!$A:$AZ,185,BA$3)),1),""))</f>
        <v/>
      </c>
      <c r="BB186" s="8">
        <f>IF(BB$3="","",IFERROR(LEFT(TRIM(INDEX(Forms貼り付け!$A:$AZ,185,BB$3)),1),""))</f>
        <v/>
      </c>
      <c r="BC186" s="8">
        <f>IF(BC$3="","",IFERROR(LEFT(TRIM(INDEX(Forms貼り付け!$A:$AZ,185,BC$3)),1),""))</f>
        <v/>
      </c>
    </row>
    <row r="187">
      <c r="A187" s="8" t="inlineStr">
        <is>
          <t>U183</t>
        </is>
      </c>
      <c r="B187" s="9">
        <f>IF($B$3="","",INDEX(Forms貼り付け!$A:$AZ,186,$B$3))</f>
        <v/>
      </c>
      <c r="C187" s="9">
        <f>IF($C$3="","",INDEX(Forms貼り付け!$A:$AZ,186,$C$3))</f>
        <v/>
      </c>
      <c r="D187" s="8">
        <f>IF($D$3="","",INDEX(Forms貼り付け!$A:$AZ,186,$D$3))</f>
        <v/>
      </c>
      <c r="E187" s="8">
        <f>IF($E$3="","",INDEX(Forms貼り付け!$A:$AZ,186,$E$3))</f>
        <v/>
      </c>
      <c r="F187" s="8">
        <f>IF(F$3="","",IFERROR(LEFT(TRIM(INDEX(Forms貼り付け!$A:$AZ,186,F$3)),1),""))</f>
        <v/>
      </c>
      <c r="G187" s="8">
        <f>IF(G$3="","",IFERROR(LEFT(TRIM(INDEX(Forms貼り付け!$A:$AZ,186,G$3)),1),""))</f>
        <v/>
      </c>
      <c r="H187" s="8">
        <f>IF(H$3="","",IFERROR(LEFT(TRIM(INDEX(Forms貼り付け!$A:$AZ,186,H$3)),1),""))</f>
        <v/>
      </c>
      <c r="I187" s="8">
        <f>IF(I$3="","",IFERROR(LEFT(TRIM(INDEX(Forms貼り付け!$A:$AZ,186,I$3)),1),""))</f>
        <v/>
      </c>
      <c r="J187" s="8">
        <f>IF(J$3="","",IFERROR(LEFT(TRIM(INDEX(Forms貼り付け!$A:$AZ,186,J$3)),1),""))</f>
        <v/>
      </c>
      <c r="K187" s="8">
        <f>IF(K$3="","",IFERROR(LEFT(TRIM(INDEX(Forms貼り付け!$A:$AZ,186,K$3)),1),""))</f>
        <v/>
      </c>
      <c r="L187" s="8">
        <f>IF(L$3="","",IFERROR(LEFT(TRIM(INDEX(Forms貼り付け!$A:$AZ,186,L$3)),1),""))</f>
        <v/>
      </c>
      <c r="M187" s="8">
        <f>IF(M$3="","",IFERROR(LEFT(TRIM(INDEX(Forms貼り付け!$A:$AZ,186,M$3)),1),""))</f>
        <v/>
      </c>
      <c r="N187" s="8">
        <f>IF(N$3="","",IFERROR(LEFT(TRIM(INDEX(Forms貼り付け!$A:$AZ,186,N$3)),1),""))</f>
        <v/>
      </c>
      <c r="O187" s="8">
        <f>IF(O$3="","",IFERROR(LEFT(TRIM(INDEX(Forms貼り付け!$A:$AZ,186,O$3)),1),""))</f>
        <v/>
      </c>
      <c r="P187" s="8">
        <f>IF(P$3="","",IFERROR(LEFT(TRIM(INDEX(Forms貼り付け!$A:$AZ,186,P$3)),1),""))</f>
        <v/>
      </c>
      <c r="Q187" s="8">
        <f>IF(Q$3="","",IFERROR(LEFT(TRIM(INDEX(Forms貼り付け!$A:$AZ,186,Q$3)),1),""))</f>
        <v/>
      </c>
      <c r="R187" s="8">
        <f>IF(R$3="","",IFERROR(LEFT(TRIM(INDEX(Forms貼り付け!$A:$AZ,186,R$3)),1),""))</f>
        <v/>
      </c>
      <c r="S187" s="8">
        <f>IF(S$3="","",IFERROR(LEFT(TRIM(INDEX(Forms貼り付け!$A:$AZ,186,S$3)),1),""))</f>
        <v/>
      </c>
      <c r="T187" s="8">
        <f>IF(T$3="","",IFERROR(LEFT(TRIM(INDEX(Forms貼り付け!$A:$AZ,186,T$3)),1),""))</f>
        <v/>
      </c>
      <c r="U187" s="8">
        <f>IF(U$3="","",IFERROR(LEFT(TRIM(INDEX(Forms貼り付け!$A:$AZ,186,U$3)),1),""))</f>
        <v/>
      </c>
      <c r="V187" s="8">
        <f>IF(V$3="","",IFERROR(LEFT(TRIM(INDEX(Forms貼り付け!$A:$AZ,186,V$3)),1),""))</f>
        <v/>
      </c>
      <c r="W187" s="8">
        <f>IF(W$3="","",IFERROR(LEFT(TRIM(INDEX(Forms貼り付け!$A:$AZ,186,W$3)),1),""))</f>
        <v/>
      </c>
      <c r="X187" s="8">
        <f>IF(X$3="","",IFERROR(LEFT(TRIM(INDEX(Forms貼り付け!$A:$AZ,186,X$3)),1),""))</f>
        <v/>
      </c>
      <c r="Y187" s="8">
        <f>IF(Y$3="","",IFERROR(LEFT(TRIM(INDEX(Forms貼り付け!$A:$AZ,186,Y$3)),1),""))</f>
        <v/>
      </c>
      <c r="Z187" s="8">
        <f>IF(Z$3="","",IFERROR(LEFT(TRIM(INDEX(Forms貼り付け!$A:$AZ,186,Z$3)),1),""))</f>
        <v/>
      </c>
      <c r="AA187" s="8">
        <f>IF(AA$3="","",IFERROR(LEFT(TRIM(INDEX(Forms貼り付け!$A:$AZ,186,AA$3)),1),""))</f>
        <v/>
      </c>
      <c r="AB187" s="8">
        <f>IF(AB$3="","",IFERROR(LEFT(TRIM(INDEX(Forms貼り付け!$A:$AZ,186,AB$3)),1),""))</f>
        <v/>
      </c>
      <c r="AC187" s="8">
        <f>IF(AC$3="","",IFERROR(LEFT(TRIM(INDEX(Forms貼り付け!$A:$AZ,186,AC$3)),1),""))</f>
        <v/>
      </c>
      <c r="AD187" s="8">
        <f>IF(AD$3="","",IFERROR(LEFT(TRIM(INDEX(Forms貼り付け!$A:$AZ,186,AD$3)),1),""))</f>
        <v/>
      </c>
      <c r="AE187" s="8">
        <f>IF(AE$3="","",IFERROR(LEFT(TRIM(INDEX(Forms貼り付け!$A:$AZ,186,AE$3)),1),""))</f>
        <v/>
      </c>
      <c r="AF187" s="8">
        <f>IF(AF$3="","",IFERROR(LEFT(TRIM(INDEX(Forms貼り付け!$A:$AZ,186,AF$3)),1),""))</f>
        <v/>
      </c>
      <c r="AG187" s="8">
        <f>IF(AG$3="","",IFERROR(LEFT(TRIM(INDEX(Forms貼り付け!$A:$AZ,186,AG$3)),1),""))</f>
        <v/>
      </c>
      <c r="AH187" s="8">
        <f>IF(AH$3="","",IFERROR(LEFT(TRIM(INDEX(Forms貼り付け!$A:$AZ,186,AH$3)),1),""))</f>
        <v/>
      </c>
      <c r="AI187" s="8">
        <f>IF(AI$3="","",IFERROR(LEFT(TRIM(INDEX(Forms貼り付け!$A:$AZ,186,AI$3)),1),""))</f>
        <v/>
      </c>
      <c r="AJ187" s="8">
        <f>IF(AJ$3="","",IFERROR(LEFT(TRIM(INDEX(Forms貼り付け!$A:$AZ,186,AJ$3)),1),""))</f>
        <v/>
      </c>
      <c r="AK187" s="8">
        <f>IF(AK$3="","",IFERROR(LEFT(TRIM(INDEX(Forms貼り付け!$A:$AZ,186,AK$3)),1),""))</f>
        <v/>
      </c>
      <c r="AL187" s="8">
        <f>IF(AL$3="","",IFERROR(LEFT(TRIM(INDEX(Forms貼り付け!$A:$AZ,186,AL$3)),1),""))</f>
        <v/>
      </c>
      <c r="AM187" s="8">
        <f>IF(AM$3="","",IFERROR(LEFT(TRIM(INDEX(Forms貼り付け!$A:$AZ,186,AM$3)),1),""))</f>
        <v/>
      </c>
      <c r="AN187" s="8">
        <f>IF(AN$3="","",IFERROR(LEFT(TRIM(INDEX(Forms貼り付け!$A:$AZ,186,AN$3)),1),""))</f>
        <v/>
      </c>
      <c r="AO187" s="8">
        <f>IF(AO$3="","",IFERROR(LEFT(TRIM(INDEX(Forms貼り付け!$A:$AZ,186,AO$3)),1),""))</f>
        <v/>
      </c>
      <c r="AP187" s="8">
        <f>IF(AP$3="","",IFERROR(LEFT(TRIM(INDEX(Forms貼り付け!$A:$AZ,186,AP$3)),1),""))</f>
        <v/>
      </c>
      <c r="AQ187" s="8">
        <f>IF(AQ$3="","",IFERROR(LEFT(TRIM(INDEX(Forms貼り付け!$A:$AZ,186,AQ$3)),1),""))</f>
        <v/>
      </c>
      <c r="AR187" s="8">
        <f>IF(AR$3="","",IFERROR(LEFT(TRIM(INDEX(Forms貼り付け!$A:$AZ,186,AR$3)),1),""))</f>
        <v/>
      </c>
      <c r="AS187" s="8">
        <f>IF(AS$3="","",IFERROR(LEFT(TRIM(INDEX(Forms貼り付け!$A:$AZ,186,AS$3)),1),""))</f>
        <v/>
      </c>
      <c r="AT187" s="8">
        <f>IF(AT$3="","",IFERROR(LEFT(TRIM(INDEX(Forms貼り付け!$A:$AZ,186,AT$3)),1),""))</f>
        <v/>
      </c>
      <c r="AU187" s="8">
        <f>IF(AU$3="","",IFERROR(LEFT(TRIM(INDEX(Forms貼り付け!$A:$AZ,186,AU$3)),1),""))</f>
        <v/>
      </c>
      <c r="AV187" s="8">
        <f>IF(AV$3="","",IFERROR(LEFT(TRIM(INDEX(Forms貼り付け!$A:$AZ,186,AV$3)),1),""))</f>
        <v/>
      </c>
      <c r="AW187" s="8">
        <f>IF(AW$3="","",IFERROR(LEFT(TRIM(INDEX(Forms貼り付け!$A:$AZ,186,AW$3)),1),""))</f>
        <v/>
      </c>
      <c r="AX187" s="8">
        <f>IF(AX$3="","",IFERROR(LEFT(TRIM(INDEX(Forms貼り付け!$A:$AZ,186,AX$3)),1),""))</f>
        <v/>
      </c>
      <c r="AY187" s="8">
        <f>IF(AY$3="","",IFERROR(LEFT(TRIM(INDEX(Forms貼り付け!$A:$AZ,186,AY$3)),1),""))</f>
        <v/>
      </c>
      <c r="AZ187" s="8">
        <f>IF(AZ$3="","",IFERROR(LEFT(TRIM(INDEX(Forms貼り付け!$A:$AZ,186,AZ$3)),1),""))</f>
        <v/>
      </c>
      <c r="BA187" s="8">
        <f>IF(BA$3="","",IFERROR(LEFT(TRIM(INDEX(Forms貼り付け!$A:$AZ,186,BA$3)),1),""))</f>
        <v/>
      </c>
      <c r="BB187" s="8">
        <f>IF(BB$3="","",IFERROR(LEFT(TRIM(INDEX(Forms貼り付け!$A:$AZ,186,BB$3)),1),""))</f>
        <v/>
      </c>
      <c r="BC187" s="8">
        <f>IF(BC$3="","",IFERROR(LEFT(TRIM(INDEX(Forms貼り付け!$A:$AZ,186,BC$3)),1),""))</f>
        <v/>
      </c>
    </row>
    <row r="188">
      <c r="A188" s="8" t="inlineStr">
        <is>
          <t>U184</t>
        </is>
      </c>
      <c r="B188" s="9">
        <f>IF($B$3="","",INDEX(Forms貼り付け!$A:$AZ,187,$B$3))</f>
        <v/>
      </c>
      <c r="C188" s="9">
        <f>IF($C$3="","",INDEX(Forms貼り付け!$A:$AZ,187,$C$3))</f>
        <v/>
      </c>
      <c r="D188" s="8">
        <f>IF($D$3="","",INDEX(Forms貼り付け!$A:$AZ,187,$D$3))</f>
        <v/>
      </c>
      <c r="E188" s="8">
        <f>IF($E$3="","",INDEX(Forms貼り付け!$A:$AZ,187,$E$3))</f>
        <v/>
      </c>
      <c r="F188" s="8">
        <f>IF(F$3="","",IFERROR(LEFT(TRIM(INDEX(Forms貼り付け!$A:$AZ,187,F$3)),1),""))</f>
        <v/>
      </c>
      <c r="G188" s="8">
        <f>IF(G$3="","",IFERROR(LEFT(TRIM(INDEX(Forms貼り付け!$A:$AZ,187,G$3)),1),""))</f>
        <v/>
      </c>
      <c r="H188" s="8">
        <f>IF(H$3="","",IFERROR(LEFT(TRIM(INDEX(Forms貼り付け!$A:$AZ,187,H$3)),1),""))</f>
        <v/>
      </c>
      <c r="I188" s="8">
        <f>IF(I$3="","",IFERROR(LEFT(TRIM(INDEX(Forms貼り付け!$A:$AZ,187,I$3)),1),""))</f>
        <v/>
      </c>
      <c r="J188" s="8">
        <f>IF(J$3="","",IFERROR(LEFT(TRIM(INDEX(Forms貼り付け!$A:$AZ,187,J$3)),1),""))</f>
        <v/>
      </c>
      <c r="K188" s="8">
        <f>IF(K$3="","",IFERROR(LEFT(TRIM(INDEX(Forms貼り付け!$A:$AZ,187,K$3)),1),""))</f>
        <v/>
      </c>
      <c r="L188" s="8">
        <f>IF(L$3="","",IFERROR(LEFT(TRIM(INDEX(Forms貼り付け!$A:$AZ,187,L$3)),1),""))</f>
        <v/>
      </c>
      <c r="M188" s="8">
        <f>IF(M$3="","",IFERROR(LEFT(TRIM(INDEX(Forms貼り付け!$A:$AZ,187,M$3)),1),""))</f>
        <v/>
      </c>
      <c r="N188" s="8">
        <f>IF(N$3="","",IFERROR(LEFT(TRIM(INDEX(Forms貼り付け!$A:$AZ,187,N$3)),1),""))</f>
        <v/>
      </c>
      <c r="O188" s="8">
        <f>IF(O$3="","",IFERROR(LEFT(TRIM(INDEX(Forms貼り付け!$A:$AZ,187,O$3)),1),""))</f>
        <v/>
      </c>
      <c r="P188" s="8">
        <f>IF(P$3="","",IFERROR(LEFT(TRIM(INDEX(Forms貼り付け!$A:$AZ,187,P$3)),1),""))</f>
        <v/>
      </c>
      <c r="Q188" s="8">
        <f>IF(Q$3="","",IFERROR(LEFT(TRIM(INDEX(Forms貼り付け!$A:$AZ,187,Q$3)),1),""))</f>
        <v/>
      </c>
      <c r="R188" s="8">
        <f>IF(R$3="","",IFERROR(LEFT(TRIM(INDEX(Forms貼り付け!$A:$AZ,187,R$3)),1),""))</f>
        <v/>
      </c>
      <c r="S188" s="8">
        <f>IF(S$3="","",IFERROR(LEFT(TRIM(INDEX(Forms貼り付け!$A:$AZ,187,S$3)),1),""))</f>
        <v/>
      </c>
      <c r="T188" s="8">
        <f>IF(T$3="","",IFERROR(LEFT(TRIM(INDEX(Forms貼り付け!$A:$AZ,187,T$3)),1),""))</f>
        <v/>
      </c>
      <c r="U188" s="8">
        <f>IF(U$3="","",IFERROR(LEFT(TRIM(INDEX(Forms貼り付け!$A:$AZ,187,U$3)),1),""))</f>
        <v/>
      </c>
      <c r="V188" s="8">
        <f>IF(V$3="","",IFERROR(LEFT(TRIM(INDEX(Forms貼り付け!$A:$AZ,187,V$3)),1),""))</f>
        <v/>
      </c>
      <c r="W188" s="8">
        <f>IF(W$3="","",IFERROR(LEFT(TRIM(INDEX(Forms貼り付け!$A:$AZ,187,W$3)),1),""))</f>
        <v/>
      </c>
      <c r="X188" s="8">
        <f>IF(X$3="","",IFERROR(LEFT(TRIM(INDEX(Forms貼り付け!$A:$AZ,187,X$3)),1),""))</f>
        <v/>
      </c>
      <c r="Y188" s="8">
        <f>IF(Y$3="","",IFERROR(LEFT(TRIM(INDEX(Forms貼り付け!$A:$AZ,187,Y$3)),1),""))</f>
        <v/>
      </c>
      <c r="Z188" s="8">
        <f>IF(Z$3="","",IFERROR(LEFT(TRIM(INDEX(Forms貼り付け!$A:$AZ,187,Z$3)),1),""))</f>
        <v/>
      </c>
      <c r="AA188" s="8">
        <f>IF(AA$3="","",IFERROR(LEFT(TRIM(INDEX(Forms貼り付け!$A:$AZ,187,AA$3)),1),""))</f>
        <v/>
      </c>
      <c r="AB188" s="8">
        <f>IF(AB$3="","",IFERROR(LEFT(TRIM(INDEX(Forms貼り付け!$A:$AZ,187,AB$3)),1),""))</f>
        <v/>
      </c>
      <c r="AC188" s="8">
        <f>IF(AC$3="","",IFERROR(LEFT(TRIM(INDEX(Forms貼り付け!$A:$AZ,187,AC$3)),1),""))</f>
        <v/>
      </c>
      <c r="AD188" s="8">
        <f>IF(AD$3="","",IFERROR(LEFT(TRIM(INDEX(Forms貼り付け!$A:$AZ,187,AD$3)),1),""))</f>
        <v/>
      </c>
      <c r="AE188" s="8">
        <f>IF(AE$3="","",IFERROR(LEFT(TRIM(INDEX(Forms貼り付け!$A:$AZ,187,AE$3)),1),""))</f>
        <v/>
      </c>
      <c r="AF188" s="8">
        <f>IF(AF$3="","",IFERROR(LEFT(TRIM(INDEX(Forms貼り付け!$A:$AZ,187,AF$3)),1),""))</f>
        <v/>
      </c>
      <c r="AG188" s="8">
        <f>IF(AG$3="","",IFERROR(LEFT(TRIM(INDEX(Forms貼り付け!$A:$AZ,187,AG$3)),1),""))</f>
        <v/>
      </c>
      <c r="AH188" s="8">
        <f>IF(AH$3="","",IFERROR(LEFT(TRIM(INDEX(Forms貼り付け!$A:$AZ,187,AH$3)),1),""))</f>
        <v/>
      </c>
      <c r="AI188" s="8">
        <f>IF(AI$3="","",IFERROR(LEFT(TRIM(INDEX(Forms貼り付け!$A:$AZ,187,AI$3)),1),""))</f>
        <v/>
      </c>
      <c r="AJ188" s="8">
        <f>IF(AJ$3="","",IFERROR(LEFT(TRIM(INDEX(Forms貼り付け!$A:$AZ,187,AJ$3)),1),""))</f>
        <v/>
      </c>
      <c r="AK188" s="8">
        <f>IF(AK$3="","",IFERROR(LEFT(TRIM(INDEX(Forms貼り付け!$A:$AZ,187,AK$3)),1),""))</f>
        <v/>
      </c>
      <c r="AL188" s="8">
        <f>IF(AL$3="","",IFERROR(LEFT(TRIM(INDEX(Forms貼り付け!$A:$AZ,187,AL$3)),1),""))</f>
        <v/>
      </c>
      <c r="AM188" s="8">
        <f>IF(AM$3="","",IFERROR(LEFT(TRIM(INDEX(Forms貼り付け!$A:$AZ,187,AM$3)),1),""))</f>
        <v/>
      </c>
      <c r="AN188" s="8">
        <f>IF(AN$3="","",IFERROR(LEFT(TRIM(INDEX(Forms貼り付け!$A:$AZ,187,AN$3)),1),""))</f>
        <v/>
      </c>
      <c r="AO188" s="8">
        <f>IF(AO$3="","",IFERROR(LEFT(TRIM(INDEX(Forms貼り付け!$A:$AZ,187,AO$3)),1),""))</f>
        <v/>
      </c>
      <c r="AP188" s="8">
        <f>IF(AP$3="","",IFERROR(LEFT(TRIM(INDEX(Forms貼り付け!$A:$AZ,187,AP$3)),1),""))</f>
        <v/>
      </c>
      <c r="AQ188" s="8">
        <f>IF(AQ$3="","",IFERROR(LEFT(TRIM(INDEX(Forms貼り付け!$A:$AZ,187,AQ$3)),1),""))</f>
        <v/>
      </c>
      <c r="AR188" s="8">
        <f>IF(AR$3="","",IFERROR(LEFT(TRIM(INDEX(Forms貼り付け!$A:$AZ,187,AR$3)),1),""))</f>
        <v/>
      </c>
      <c r="AS188" s="8">
        <f>IF(AS$3="","",IFERROR(LEFT(TRIM(INDEX(Forms貼り付け!$A:$AZ,187,AS$3)),1),""))</f>
        <v/>
      </c>
      <c r="AT188" s="8">
        <f>IF(AT$3="","",IFERROR(LEFT(TRIM(INDEX(Forms貼り付け!$A:$AZ,187,AT$3)),1),""))</f>
        <v/>
      </c>
      <c r="AU188" s="8">
        <f>IF(AU$3="","",IFERROR(LEFT(TRIM(INDEX(Forms貼り付け!$A:$AZ,187,AU$3)),1),""))</f>
        <v/>
      </c>
      <c r="AV188" s="8">
        <f>IF(AV$3="","",IFERROR(LEFT(TRIM(INDEX(Forms貼り付け!$A:$AZ,187,AV$3)),1),""))</f>
        <v/>
      </c>
      <c r="AW188" s="8">
        <f>IF(AW$3="","",IFERROR(LEFT(TRIM(INDEX(Forms貼り付け!$A:$AZ,187,AW$3)),1),""))</f>
        <v/>
      </c>
      <c r="AX188" s="8">
        <f>IF(AX$3="","",IFERROR(LEFT(TRIM(INDEX(Forms貼り付け!$A:$AZ,187,AX$3)),1),""))</f>
        <v/>
      </c>
      <c r="AY188" s="8">
        <f>IF(AY$3="","",IFERROR(LEFT(TRIM(INDEX(Forms貼り付け!$A:$AZ,187,AY$3)),1),""))</f>
        <v/>
      </c>
      <c r="AZ188" s="8">
        <f>IF(AZ$3="","",IFERROR(LEFT(TRIM(INDEX(Forms貼り付け!$A:$AZ,187,AZ$3)),1),""))</f>
        <v/>
      </c>
      <c r="BA188" s="8">
        <f>IF(BA$3="","",IFERROR(LEFT(TRIM(INDEX(Forms貼り付け!$A:$AZ,187,BA$3)),1),""))</f>
        <v/>
      </c>
      <c r="BB188" s="8">
        <f>IF(BB$3="","",IFERROR(LEFT(TRIM(INDEX(Forms貼り付け!$A:$AZ,187,BB$3)),1),""))</f>
        <v/>
      </c>
      <c r="BC188" s="8">
        <f>IF(BC$3="","",IFERROR(LEFT(TRIM(INDEX(Forms貼り付け!$A:$AZ,187,BC$3)),1),""))</f>
        <v/>
      </c>
    </row>
    <row r="189">
      <c r="A189" s="8" t="inlineStr">
        <is>
          <t>U185</t>
        </is>
      </c>
      <c r="B189" s="9">
        <f>IF($B$3="","",INDEX(Forms貼り付け!$A:$AZ,188,$B$3))</f>
        <v/>
      </c>
      <c r="C189" s="9">
        <f>IF($C$3="","",INDEX(Forms貼り付け!$A:$AZ,188,$C$3))</f>
        <v/>
      </c>
      <c r="D189" s="8">
        <f>IF($D$3="","",INDEX(Forms貼り付け!$A:$AZ,188,$D$3))</f>
        <v/>
      </c>
      <c r="E189" s="8">
        <f>IF($E$3="","",INDEX(Forms貼り付け!$A:$AZ,188,$E$3))</f>
        <v/>
      </c>
      <c r="F189" s="8">
        <f>IF(F$3="","",IFERROR(LEFT(TRIM(INDEX(Forms貼り付け!$A:$AZ,188,F$3)),1),""))</f>
        <v/>
      </c>
      <c r="G189" s="8">
        <f>IF(G$3="","",IFERROR(LEFT(TRIM(INDEX(Forms貼り付け!$A:$AZ,188,G$3)),1),""))</f>
        <v/>
      </c>
      <c r="H189" s="8">
        <f>IF(H$3="","",IFERROR(LEFT(TRIM(INDEX(Forms貼り付け!$A:$AZ,188,H$3)),1),""))</f>
        <v/>
      </c>
      <c r="I189" s="8">
        <f>IF(I$3="","",IFERROR(LEFT(TRIM(INDEX(Forms貼り付け!$A:$AZ,188,I$3)),1),""))</f>
        <v/>
      </c>
      <c r="J189" s="8">
        <f>IF(J$3="","",IFERROR(LEFT(TRIM(INDEX(Forms貼り付け!$A:$AZ,188,J$3)),1),""))</f>
        <v/>
      </c>
      <c r="K189" s="8">
        <f>IF(K$3="","",IFERROR(LEFT(TRIM(INDEX(Forms貼り付け!$A:$AZ,188,K$3)),1),""))</f>
        <v/>
      </c>
      <c r="L189" s="8">
        <f>IF(L$3="","",IFERROR(LEFT(TRIM(INDEX(Forms貼り付け!$A:$AZ,188,L$3)),1),""))</f>
        <v/>
      </c>
      <c r="M189" s="8">
        <f>IF(M$3="","",IFERROR(LEFT(TRIM(INDEX(Forms貼り付け!$A:$AZ,188,M$3)),1),""))</f>
        <v/>
      </c>
      <c r="N189" s="8">
        <f>IF(N$3="","",IFERROR(LEFT(TRIM(INDEX(Forms貼り付け!$A:$AZ,188,N$3)),1),""))</f>
        <v/>
      </c>
      <c r="O189" s="8">
        <f>IF(O$3="","",IFERROR(LEFT(TRIM(INDEX(Forms貼り付け!$A:$AZ,188,O$3)),1),""))</f>
        <v/>
      </c>
      <c r="P189" s="8">
        <f>IF(P$3="","",IFERROR(LEFT(TRIM(INDEX(Forms貼り付け!$A:$AZ,188,P$3)),1),""))</f>
        <v/>
      </c>
      <c r="Q189" s="8">
        <f>IF(Q$3="","",IFERROR(LEFT(TRIM(INDEX(Forms貼り付け!$A:$AZ,188,Q$3)),1),""))</f>
        <v/>
      </c>
      <c r="R189" s="8">
        <f>IF(R$3="","",IFERROR(LEFT(TRIM(INDEX(Forms貼り付け!$A:$AZ,188,R$3)),1),""))</f>
        <v/>
      </c>
      <c r="S189" s="8">
        <f>IF(S$3="","",IFERROR(LEFT(TRIM(INDEX(Forms貼り付け!$A:$AZ,188,S$3)),1),""))</f>
        <v/>
      </c>
      <c r="T189" s="8">
        <f>IF(T$3="","",IFERROR(LEFT(TRIM(INDEX(Forms貼り付け!$A:$AZ,188,T$3)),1),""))</f>
        <v/>
      </c>
      <c r="U189" s="8">
        <f>IF(U$3="","",IFERROR(LEFT(TRIM(INDEX(Forms貼り付け!$A:$AZ,188,U$3)),1),""))</f>
        <v/>
      </c>
      <c r="V189" s="8">
        <f>IF(V$3="","",IFERROR(LEFT(TRIM(INDEX(Forms貼り付け!$A:$AZ,188,V$3)),1),""))</f>
        <v/>
      </c>
      <c r="W189" s="8">
        <f>IF(W$3="","",IFERROR(LEFT(TRIM(INDEX(Forms貼り付け!$A:$AZ,188,W$3)),1),""))</f>
        <v/>
      </c>
      <c r="X189" s="8">
        <f>IF(X$3="","",IFERROR(LEFT(TRIM(INDEX(Forms貼り付け!$A:$AZ,188,X$3)),1),""))</f>
        <v/>
      </c>
      <c r="Y189" s="8">
        <f>IF(Y$3="","",IFERROR(LEFT(TRIM(INDEX(Forms貼り付け!$A:$AZ,188,Y$3)),1),""))</f>
        <v/>
      </c>
      <c r="Z189" s="8">
        <f>IF(Z$3="","",IFERROR(LEFT(TRIM(INDEX(Forms貼り付け!$A:$AZ,188,Z$3)),1),""))</f>
        <v/>
      </c>
      <c r="AA189" s="8">
        <f>IF(AA$3="","",IFERROR(LEFT(TRIM(INDEX(Forms貼り付け!$A:$AZ,188,AA$3)),1),""))</f>
        <v/>
      </c>
      <c r="AB189" s="8">
        <f>IF(AB$3="","",IFERROR(LEFT(TRIM(INDEX(Forms貼り付け!$A:$AZ,188,AB$3)),1),""))</f>
        <v/>
      </c>
      <c r="AC189" s="8">
        <f>IF(AC$3="","",IFERROR(LEFT(TRIM(INDEX(Forms貼り付け!$A:$AZ,188,AC$3)),1),""))</f>
        <v/>
      </c>
      <c r="AD189" s="8">
        <f>IF(AD$3="","",IFERROR(LEFT(TRIM(INDEX(Forms貼り付け!$A:$AZ,188,AD$3)),1),""))</f>
        <v/>
      </c>
      <c r="AE189" s="8">
        <f>IF(AE$3="","",IFERROR(LEFT(TRIM(INDEX(Forms貼り付け!$A:$AZ,188,AE$3)),1),""))</f>
        <v/>
      </c>
      <c r="AF189" s="8">
        <f>IF(AF$3="","",IFERROR(LEFT(TRIM(INDEX(Forms貼り付け!$A:$AZ,188,AF$3)),1),""))</f>
        <v/>
      </c>
      <c r="AG189" s="8">
        <f>IF(AG$3="","",IFERROR(LEFT(TRIM(INDEX(Forms貼り付け!$A:$AZ,188,AG$3)),1),""))</f>
        <v/>
      </c>
      <c r="AH189" s="8">
        <f>IF(AH$3="","",IFERROR(LEFT(TRIM(INDEX(Forms貼り付け!$A:$AZ,188,AH$3)),1),""))</f>
        <v/>
      </c>
      <c r="AI189" s="8">
        <f>IF(AI$3="","",IFERROR(LEFT(TRIM(INDEX(Forms貼り付け!$A:$AZ,188,AI$3)),1),""))</f>
        <v/>
      </c>
      <c r="AJ189" s="8">
        <f>IF(AJ$3="","",IFERROR(LEFT(TRIM(INDEX(Forms貼り付け!$A:$AZ,188,AJ$3)),1),""))</f>
        <v/>
      </c>
      <c r="AK189" s="8">
        <f>IF(AK$3="","",IFERROR(LEFT(TRIM(INDEX(Forms貼り付け!$A:$AZ,188,AK$3)),1),""))</f>
        <v/>
      </c>
      <c r="AL189" s="8">
        <f>IF(AL$3="","",IFERROR(LEFT(TRIM(INDEX(Forms貼り付け!$A:$AZ,188,AL$3)),1),""))</f>
        <v/>
      </c>
      <c r="AM189" s="8">
        <f>IF(AM$3="","",IFERROR(LEFT(TRIM(INDEX(Forms貼り付け!$A:$AZ,188,AM$3)),1),""))</f>
        <v/>
      </c>
      <c r="AN189" s="8">
        <f>IF(AN$3="","",IFERROR(LEFT(TRIM(INDEX(Forms貼り付け!$A:$AZ,188,AN$3)),1),""))</f>
        <v/>
      </c>
      <c r="AO189" s="8">
        <f>IF(AO$3="","",IFERROR(LEFT(TRIM(INDEX(Forms貼り付け!$A:$AZ,188,AO$3)),1),""))</f>
        <v/>
      </c>
      <c r="AP189" s="8">
        <f>IF(AP$3="","",IFERROR(LEFT(TRIM(INDEX(Forms貼り付け!$A:$AZ,188,AP$3)),1),""))</f>
        <v/>
      </c>
      <c r="AQ189" s="8">
        <f>IF(AQ$3="","",IFERROR(LEFT(TRIM(INDEX(Forms貼り付け!$A:$AZ,188,AQ$3)),1),""))</f>
        <v/>
      </c>
      <c r="AR189" s="8">
        <f>IF(AR$3="","",IFERROR(LEFT(TRIM(INDEX(Forms貼り付け!$A:$AZ,188,AR$3)),1),""))</f>
        <v/>
      </c>
      <c r="AS189" s="8">
        <f>IF(AS$3="","",IFERROR(LEFT(TRIM(INDEX(Forms貼り付け!$A:$AZ,188,AS$3)),1),""))</f>
        <v/>
      </c>
      <c r="AT189" s="8">
        <f>IF(AT$3="","",IFERROR(LEFT(TRIM(INDEX(Forms貼り付け!$A:$AZ,188,AT$3)),1),""))</f>
        <v/>
      </c>
      <c r="AU189" s="8">
        <f>IF(AU$3="","",IFERROR(LEFT(TRIM(INDEX(Forms貼り付け!$A:$AZ,188,AU$3)),1),""))</f>
        <v/>
      </c>
      <c r="AV189" s="8">
        <f>IF(AV$3="","",IFERROR(LEFT(TRIM(INDEX(Forms貼り付け!$A:$AZ,188,AV$3)),1),""))</f>
        <v/>
      </c>
      <c r="AW189" s="8">
        <f>IF(AW$3="","",IFERROR(LEFT(TRIM(INDEX(Forms貼り付け!$A:$AZ,188,AW$3)),1),""))</f>
        <v/>
      </c>
      <c r="AX189" s="8">
        <f>IF(AX$3="","",IFERROR(LEFT(TRIM(INDEX(Forms貼り付け!$A:$AZ,188,AX$3)),1),""))</f>
        <v/>
      </c>
      <c r="AY189" s="8">
        <f>IF(AY$3="","",IFERROR(LEFT(TRIM(INDEX(Forms貼り付け!$A:$AZ,188,AY$3)),1),""))</f>
        <v/>
      </c>
      <c r="AZ189" s="8">
        <f>IF(AZ$3="","",IFERROR(LEFT(TRIM(INDEX(Forms貼り付け!$A:$AZ,188,AZ$3)),1),""))</f>
        <v/>
      </c>
      <c r="BA189" s="8">
        <f>IF(BA$3="","",IFERROR(LEFT(TRIM(INDEX(Forms貼り付け!$A:$AZ,188,BA$3)),1),""))</f>
        <v/>
      </c>
      <c r="BB189" s="8">
        <f>IF(BB$3="","",IFERROR(LEFT(TRIM(INDEX(Forms貼り付け!$A:$AZ,188,BB$3)),1),""))</f>
        <v/>
      </c>
      <c r="BC189" s="8">
        <f>IF(BC$3="","",IFERROR(LEFT(TRIM(INDEX(Forms貼り付け!$A:$AZ,188,BC$3)),1),""))</f>
        <v/>
      </c>
    </row>
    <row r="190">
      <c r="A190" s="8" t="inlineStr">
        <is>
          <t>U186</t>
        </is>
      </c>
      <c r="B190" s="9">
        <f>IF($B$3="","",INDEX(Forms貼り付け!$A:$AZ,189,$B$3))</f>
        <v/>
      </c>
      <c r="C190" s="9">
        <f>IF($C$3="","",INDEX(Forms貼り付け!$A:$AZ,189,$C$3))</f>
        <v/>
      </c>
      <c r="D190" s="8">
        <f>IF($D$3="","",INDEX(Forms貼り付け!$A:$AZ,189,$D$3))</f>
        <v/>
      </c>
      <c r="E190" s="8">
        <f>IF($E$3="","",INDEX(Forms貼り付け!$A:$AZ,189,$E$3))</f>
        <v/>
      </c>
      <c r="F190" s="8">
        <f>IF(F$3="","",IFERROR(LEFT(TRIM(INDEX(Forms貼り付け!$A:$AZ,189,F$3)),1),""))</f>
        <v/>
      </c>
      <c r="G190" s="8">
        <f>IF(G$3="","",IFERROR(LEFT(TRIM(INDEX(Forms貼り付け!$A:$AZ,189,G$3)),1),""))</f>
        <v/>
      </c>
      <c r="H190" s="8">
        <f>IF(H$3="","",IFERROR(LEFT(TRIM(INDEX(Forms貼り付け!$A:$AZ,189,H$3)),1),""))</f>
        <v/>
      </c>
      <c r="I190" s="8">
        <f>IF(I$3="","",IFERROR(LEFT(TRIM(INDEX(Forms貼り付け!$A:$AZ,189,I$3)),1),""))</f>
        <v/>
      </c>
      <c r="J190" s="8">
        <f>IF(J$3="","",IFERROR(LEFT(TRIM(INDEX(Forms貼り付け!$A:$AZ,189,J$3)),1),""))</f>
        <v/>
      </c>
      <c r="K190" s="8">
        <f>IF(K$3="","",IFERROR(LEFT(TRIM(INDEX(Forms貼り付け!$A:$AZ,189,K$3)),1),""))</f>
        <v/>
      </c>
      <c r="L190" s="8">
        <f>IF(L$3="","",IFERROR(LEFT(TRIM(INDEX(Forms貼り付け!$A:$AZ,189,L$3)),1),""))</f>
        <v/>
      </c>
      <c r="M190" s="8">
        <f>IF(M$3="","",IFERROR(LEFT(TRIM(INDEX(Forms貼り付け!$A:$AZ,189,M$3)),1),""))</f>
        <v/>
      </c>
      <c r="N190" s="8">
        <f>IF(N$3="","",IFERROR(LEFT(TRIM(INDEX(Forms貼り付け!$A:$AZ,189,N$3)),1),""))</f>
        <v/>
      </c>
      <c r="O190" s="8">
        <f>IF(O$3="","",IFERROR(LEFT(TRIM(INDEX(Forms貼り付け!$A:$AZ,189,O$3)),1),""))</f>
        <v/>
      </c>
      <c r="P190" s="8">
        <f>IF(P$3="","",IFERROR(LEFT(TRIM(INDEX(Forms貼り付け!$A:$AZ,189,P$3)),1),""))</f>
        <v/>
      </c>
      <c r="Q190" s="8">
        <f>IF(Q$3="","",IFERROR(LEFT(TRIM(INDEX(Forms貼り付け!$A:$AZ,189,Q$3)),1),""))</f>
        <v/>
      </c>
      <c r="R190" s="8">
        <f>IF(R$3="","",IFERROR(LEFT(TRIM(INDEX(Forms貼り付け!$A:$AZ,189,R$3)),1),""))</f>
        <v/>
      </c>
      <c r="S190" s="8">
        <f>IF(S$3="","",IFERROR(LEFT(TRIM(INDEX(Forms貼り付け!$A:$AZ,189,S$3)),1),""))</f>
        <v/>
      </c>
      <c r="T190" s="8">
        <f>IF(T$3="","",IFERROR(LEFT(TRIM(INDEX(Forms貼り付け!$A:$AZ,189,T$3)),1),""))</f>
        <v/>
      </c>
      <c r="U190" s="8">
        <f>IF(U$3="","",IFERROR(LEFT(TRIM(INDEX(Forms貼り付け!$A:$AZ,189,U$3)),1),""))</f>
        <v/>
      </c>
      <c r="V190" s="8">
        <f>IF(V$3="","",IFERROR(LEFT(TRIM(INDEX(Forms貼り付け!$A:$AZ,189,V$3)),1),""))</f>
        <v/>
      </c>
      <c r="W190" s="8">
        <f>IF(W$3="","",IFERROR(LEFT(TRIM(INDEX(Forms貼り付け!$A:$AZ,189,W$3)),1),""))</f>
        <v/>
      </c>
      <c r="X190" s="8">
        <f>IF(X$3="","",IFERROR(LEFT(TRIM(INDEX(Forms貼り付け!$A:$AZ,189,X$3)),1),""))</f>
        <v/>
      </c>
      <c r="Y190" s="8">
        <f>IF(Y$3="","",IFERROR(LEFT(TRIM(INDEX(Forms貼り付け!$A:$AZ,189,Y$3)),1),""))</f>
        <v/>
      </c>
      <c r="Z190" s="8">
        <f>IF(Z$3="","",IFERROR(LEFT(TRIM(INDEX(Forms貼り付け!$A:$AZ,189,Z$3)),1),""))</f>
        <v/>
      </c>
      <c r="AA190" s="8">
        <f>IF(AA$3="","",IFERROR(LEFT(TRIM(INDEX(Forms貼り付け!$A:$AZ,189,AA$3)),1),""))</f>
        <v/>
      </c>
      <c r="AB190" s="8">
        <f>IF(AB$3="","",IFERROR(LEFT(TRIM(INDEX(Forms貼り付け!$A:$AZ,189,AB$3)),1),""))</f>
        <v/>
      </c>
      <c r="AC190" s="8">
        <f>IF(AC$3="","",IFERROR(LEFT(TRIM(INDEX(Forms貼り付け!$A:$AZ,189,AC$3)),1),""))</f>
        <v/>
      </c>
      <c r="AD190" s="8">
        <f>IF(AD$3="","",IFERROR(LEFT(TRIM(INDEX(Forms貼り付け!$A:$AZ,189,AD$3)),1),""))</f>
        <v/>
      </c>
      <c r="AE190" s="8">
        <f>IF(AE$3="","",IFERROR(LEFT(TRIM(INDEX(Forms貼り付け!$A:$AZ,189,AE$3)),1),""))</f>
        <v/>
      </c>
      <c r="AF190" s="8">
        <f>IF(AF$3="","",IFERROR(LEFT(TRIM(INDEX(Forms貼り付け!$A:$AZ,189,AF$3)),1),""))</f>
        <v/>
      </c>
      <c r="AG190" s="8">
        <f>IF(AG$3="","",IFERROR(LEFT(TRIM(INDEX(Forms貼り付け!$A:$AZ,189,AG$3)),1),""))</f>
        <v/>
      </c>
      <c r="AH190" s="8">
        <f>IF(AH$3="","",IFERROR(LEFT(TRIM(INDEX(Forms貼り付け!$A:$AZ,189,AH$3)),1),""))</f>
        <v/>
      </c>
      <c r="AI190" s="8">
        <f>IF(AI$3="","",IFERROR(LEFT(TRIM(INDEX(Forms貼り付け!$A:$AZ,189,AI$3)),1),""))</f>
        <v/>
      </c>
      <c r="AJ190" s="8">
        <f>IF(AJ$3="","",IFERROR(LEFT(TRIM(INDEX(Forms貼り付け!$A:$AZ,189,AJ$3)),1),""))</f>
        <v/>
      </c>
      <c r="AK190" s="8">
        <f>IF(AK$3="","",IFERROR(LEFT(TRIM(INDEX(Forms貼り付け!$A:$AZ,189,AK$3)),1),""))</f>
        <v/>
      </c>
      <c r="AL190" s="8">
        <f>IF(AL$3="","",IFERROR(LEFT(TRIM(INDEX(Forms貼り付け!$A:$AZ,189,AL$3)),1),""))</f>
        <v/>
      </c>
      <c r="AM190" s="8">
        <f>IF(AM$3="","",IFERROR(LEFT(TRIM(INDEX(Forms貼り付け!$A:$AZ,189,AM$3)),1),""))</f>
        <v/>
      </c>
      <c r="AN190" s="8">
        <f>IF(AN$3="","",IFERROR(LEFT(TRIM(INDEX(Forms貼り付け!$A:$AZ,189,AN$3)),1),""))</f>
        <v/>
      </c>
      <c r="AO190" s="8">
        <f>IF(AO$3="","",IFERROR(LEFT(TRIM(INDEX(Forms貼り付け!$A:$AZ,189,AO$3)),1),""))</f>
        <v/>
      </c>
      <c r="AP190" s="8">
        <f>IF(AP$3="","",IFERROR(LEFT(TRIM(INDEX(Forms貼り付け!$A:$AZ,189,AP$3)),1),""))</f>
        <v/>
      </c>
      <c r="AQ190" s="8">
        <f>IF(AQ$3="","",IFERROR(LEFT(TRIM(INDEX(Forms貼り付け!$A:$AZ,189,AQ$3)),1),""))</f>
        <v/>
      </c>
      <c r="AR190" s="8">
        <f>IF(AR$3="","",IFERROR(LEFT(TRIM(INDEX(Forms貼り付け!$A:$AZ,189,AR$3)),1),""))</f>
        <v/>
      </c>
      <c r="AS190" s="8">
        <f>IF(AS$3="","",IFERROR(LEFT(TRIM(INDEX(Forms貼り付け!$A:$AZ,189,AS$3)),1),""))</f>
        <v/>
      </c>
      <c r="AT190" s="8">
        <f>IF(AT$3="","",IFERROR(LEFT(TRIM(INDEX(Forms貼り付け!$A:$AZ,189,AT$3)),1),""))</f>
        <v/>
      </c>
      <c r="AU190" s="8">
        <f>IF(AU$3="","",IFERROR(LEFT(TRIM(INDEX(Forms貼り付け!$A:$AZ,189,AU$3)),1),""))</f>
        <v/>
      </c>
      <c r="AV190" s="8">
        <f>IF(AV$3="","",IFERROR(LEFT(TRIM(INDEX(Forms貼り付け!$A:$AZ,189,AV$3)),1),""))</f>
        <v/>
      </c>
      <c r="AW190" s="8">
        <f>IF(AW$3="","",IFERROR(LEFT(TRIM(INDEX(Forms貼り付け!$A:$AZ,189,AW$3)),1),""))</f>
        <v/>
      </c>
      <c r="AX190" s="8">
        <f>IF(AX$3="","",IFERROR(LEFT(TRIM(INDEX(Forms貼り付け!$A:$AZ,189,AX$3)),1),""))</f>
        <v/>
      </c>
      <c r="AY190" s="8">
        <f>IF(AY$3="","",IFERROR(LEFT(TRIM(INDEX(Forms貼り付け!$A:$AZ,189,AY$3)),1),""))</f>
        <v/>
      </c>
      <c r="AZ190" s="8">
        <f>IF(AZ$3="","",IFERROR(LEFT(TRIM(INDEX(Forms貼り付け!$A:$AZ,189,AZ$3)),1),""))</f>
        <v/>
      </c>
      <c r="BA190" s="8">
        <f>IF(BA$3="","",IFERROR(LEFT(TRIM(INDEX(Forms貼り付け!$A:$AZ,189,BA$3)),1),""))</f>
        <v/>
      </c>
      <c r="BB190" s="8">
        <f>IF(BB$3="","",IFERROR(LEFT(TRIM(INDEX(Forms貼り付け!$A:$AZ,189,BB$3)),1),""))</f>
        <v/>
      </c>
      <c r="BC190" s="8">
        <f>IF(BC$3="","",IFERROR(LEFT(TRIM(INDEX(Forms貼り付け!$A:$AZ,189,BC$3)),1),""))</f>
        <v/>
      </c>
    </row>
    <row r="191">
      <c r="A191" s="8" t="inlineStr">
        <is>
          <t>U187</t>
        </is>
      </c>
      <c r="B191" s="9">
        <f>IF($B$3="","",INDEX(Forms貼り付け!$A:$AZ,190,$B$3))</f>
        <v/>
      </c>
      <c r="C191" s="9">
        <f>IF($C$3="","",INDEX(Forms貼り付け!$A:$AZ,190,$C$3))</f>
        <v/>
      </c>
      <c r="D191" s="8">
        <f>IF($D$3="","",INDEX(Forms貼り付け!$A:$AZ,190,$D$3))</f>
        <v/>
      </c>
      <c r="E191" s="8">
        <f>IF($E$3="","",INDEX(Forms貼り付け!$A:$AZ,190,$E$3))</f>
        <v/>
      </c>
      <c r="F191" s="8">
        <f>IF(F$3="","",IFERROR(LEFT(TRIM(INDEX(Forms貼り付け!$A:$AZ,190,F$3)),1),""))</f>
        <v/>
      </c>
      <c r="G191" s="8">
        <f>IF(G$3="","",IFERROR(LEFT(TRIM(INDEX(Forms貼り付け!$A:$AZ,190,G$3)),1),""))</f>
        <v/>
      </c>
      <c r="H191" s="8">
        <f>IF(H$3="","",IFERROR(LEFT(TRIM(INDEX(Forms貼り付け!$A:$AZ,190,H$3)),1),""))</f>
        <v/>
      </c>
      <c r="I191" s="8">
        <f>IF(I$3="","",IFERROR(LEFT(TRIM(INDEX(Forms貼り付け!$A:$AZ,190,I$3)),1),""))</f>
        <v/>
      </c>
      <c r="J191" s="8">
        <f>IF(J$3="","",IFERROR(LEFT(TRIM(INDEX(Forms貼り付け!$A:$AZ,190,J$3)),1),""))</f>
        <v/>
      </c>
      <c r="K191" s="8">
        <f>IF(K$3="","",IFERROR(LEFT(TRIM(INDEX(Forms貼り付け!$A:$AZ,190,K$3)),1),""))</f>
        <v/>
      </c>
      <c r="L191" s="8">
        <f>IF(L$3="","",IFERROR(LEFT(TRIM(INDEX(Forms貼り付け!$A:$AZ,190,L$3)),1),""))</f>
        <v/>
      </c>
      <c r="M191" s="8">
        <f>IF(M$3="","",IFERROR(LEFT(TRIM(INDEX(Forms貼り付け!$A:$AZ,190,M$3)),1),""))</f>
        <v/>
      </c>
      <c r="N191" s="8">
        <f>IF(N$3="","",IFERROR(LEFT(TRIM(INDEX(Forms貼り付け!$A:$AZ,190,N$3)),1),""))</f>
        <v/>
      </c>
      <c r="O191" s="8">
        <f>IF(O$3="","",IFERROR(LEFT(TRIM(INDEX(Forms貼り付け!$A:$AZ,190,O$3)),1),""))</f>
        <v/>
      </c>
      <c r="P191" s="8">
        <f>IF(P$3="","",IFERROR(LEFT(TRIM(INDEX(Forms貼り付け!$A:$AZ,190,P$3)),1),""))</f>
        <v/>
      </c>
      <c r="Q191" s="8">
        <f>IF(Q$3="","",IFERROR(LEFT(TRIM(INDEX(Forms貼り付け!$A:$AZ,190,Q$3)),1),""))</f>
        <v/>
      </c>
      <c r="R191" s="8">
        <f>IF(R$3="","",IFERROR(LEFT(TRIM(INDEX(Forms貼り付け!$A:$AZ,190,R$3)),1),""))</f>
        <v/>
      </c>
      <c r="S191" s="8">
        <f>IF(S$3="","",IFERROR(LEFT(TRIM(INDEX(Forms貼り付け!$A:$AZ,190,S$3)),1),""))</f>
        <v/>
      </c>
      <c r="T191" s="8">
        <f>IF(T$3="","",IFERROR(LEFT(TRIM(INDEX(Forms貼り付け!$A:$AZ,190,T$3)),1),""))</f>
        <v/>
      </c>
      <c r="U191" s="8">
        <f>IF(U$3="","",IFERROR(LEFT(TRIM(INDEX(Forms貼り付け!$A:$AZ,190,U$3)),1),""))</f>
        <v/>
      </c>
      <c r="V191" s="8">
        <f>IF(V$3="","",IFERROR(LEFT(TRIM(INDEX(Forms貼り付け!$A:$AZ,190,V$3)),1),""))</f>
        <v/>
      </c>
      <c r="W191" s="8">
        <f>IF(W$3="","",IFERROR(LEFT(TRIM(INDEX(Forms貼り付け!$A:$AZ,190,W$3)),1),""))</f>
        <v/>
      </c>
      <c r="X191" s="8">
        <f>IF(X$3="","",IFERROR(LEFT(TRIM(INDEX(Forms貼り付け!$A:$AZ,190,X$3)),1),""))</f>
        <v/>
      </c>
      <c r="Y191" s="8">
        <f>IF(Y$3="","",IFERROR(LEFT(TRIM(INDEX(Forms貼り付け!$A:$AZ,190,Y$3)),1),""))</f>
        <v/>
      </c>
      <c r="Z191" s="8">
        <f>IF(Z$3="","",IFERROR(LEFT(TRIM(INDEX(Forms貼り付け!$A:$AZ,190,Z$3)),1),""))</f>
        <v/>
      </c>
      <c r="AA191" s="8">
        <f>IF(AA$3="","",IFERROR(LEFT(TRIM(INDEX(Forms貼り付け!$A:$AZ,190,AA$3)),1),""))</f>
        <v/>
      </c>
      <c r="AB191" s="8">
        <f>IF(AB$3="","",IFERROR(LEFT(TRIM(INDEX(Forms貼り付け!$A:$AZ,190,AB$3)),1),""))</f>
        <v/>
      </c>
      <c r="AC191" s="8">
        <f>IF(AC$3="","",IFERROR(LEFT(TRIM(INDEX(Forms貼り付け!$A:$AZ,190,AC$3)),1),""))</f>
        <v/>
      </c>
      <c r="AD191" s="8">
        <f>IF(AD$3="","",IFERROR(LEFT(TRIM(INDEX(Forms貼り付け!$A:$AZ,190,AD$3)),1),""))</f>
        <v/>
      </c>
      <c r="AE191" s="8">
        <f>IF(AE$3="","",IFERROR(LEFT(TRIM(INDEX(Forms貼り付け!$A:$AZ,190,AE$3)),1),""))</f>
        <v/>
      </c>
      <c r="AF191" s="8">
        <f>IF(AF$3="","",IFERROR(LEFT(TRIM(INDEX(Forms貼り付け!$A:$AZ,190,AF$3)),1),""))</f>
        <v/>
      </c>
      <c r="AG191" s="8">
        <f>IF(AG$3="","",IFERROR(LEFT(TRIM(INDEX(Forms貼り付け!$A:$AZ,190,AG$3)),1),""))</f>
        <v/>
      </c>
      <c r="AH191" s="8">
        <f>IF(AH$3="","",IFERROR(LEFT(TRIM(INDEX(Forms貼り付け!$A:$AZ,190,AH$3)),1),""))</f>
        <v/>
      </c>
      <c r="AI191" s="8">
        <f>IF(AI$3="","",IFERROR(LEFT(TRIM(INDEX(Forms貼り付け!$A:$AZ,190,AI$3)),1),""))</f>
        <v/>
      </c>
      <c r="AJ191" s="8">
        <f>IF(AJ$3="","",IFERROR(LEFT(TRIM(INDEX(Forms貼り付け!$A:$AZ,190,AJ$3)),1),""))</f>
        <v/>
      </c>
      <c r="AK191" s="8">
        <f>IF(AK$3="","",IFERROR(LEFT(TRIM(INDEX(Forms貼り付け!$A:$AZ,190,AK$3)),1),""))</f>
        <v/>
      </c>
      <c r="AL191" s="8">
        <f>IF(AL$3="","",IFERROR(LEFT(TRIM(INDEX(Forms貼り付け!$A:$AZ,190,AL$3)),1),""))</f>
        <v/>
      </c>
      <c r="AM191" s="8">
        <f>IF(AM$3="","",IFERROR(LEFT(TRIM(INDEX(Forms貼り付け!$A:$AZ,190,AM$3)),1),""))</f>
        <v/>
      </c>
      <c r="AN191" s="8">
        <f>IF(AN$3="","",IFERROR(LEFT(TRIM(INDEX(Forms貼り付け!$A:$AZ,190,AN$3)),1),""))</f>
        <v/>
      </c>
      <c r="AO191" s="8">
        <f>IF(AO$3="","",IFERROR(LEFT(TRIM(INDEX(Forms貼り付け!$A:$AZ,190,AO$3)),1),""))</f>
        <v/>
      </c>
      <c r="AP191" s="8">
        <f>IF(AP$3="","",IFERROR(LEFT(TRIM(INDEX(Forms貼り付け!$A:$AZ,190,AP$3)),1),""))</f>
        <v/>
      </c>
      <c r="AQ191" s="8">
        <f>IF(AQ$3="","",IFERROR(LEFT(TRIM(INDEX(Forms貼り付け!$A:$AZ,190,AQ$3)),1),""))</f>
        <v/>
      </c>
      <c r="AR191" s="8">
        <f>IF(AR$3="","",IFERROR(LEFT(TRIM(INDEX(Forms貼り付け!$A:$AZ,190,AR$3)),1),""))</f>
        <v/>
      </c>
      <c r="AS191" s="8">
        <f>IF(AS$3="","",IFERROR(LEFT(TRIM(INDEX(Forms貼り付け!$A:$AZ,190,AS$3)),1),""))</f>
        <v/>
      </c>
      <c r="AT191" s="8">
        <f>IF(AT$3="","",IFERROR(LEFT(TRIM(INDEX(Forms貼り付け!$A:$AZ,190,AT$3)),1),""))</f>
        <v/>
      </c>
      <c r="AU191" s="8">
        <f>IF(AU$3="","",IFERROR(LEFT(TRIM(INDEX(Forms貼り付け!$A:$AZ,190,AU$3)),1),""))</f>
        <v/>
      </c>
      <c r="AV191" s="8">
        <f>IF(AV$3="","",IFERROR(LEFT(TRIM(INDEX(Forms貼り付け!$A:$AZ,190,AV$3)),1),""))</f>
        <v/>
      </c>
      <c r="AW191" s="8">
        <f>IF(AW$3="","",IFERROR(LEFT(TRIM(INDEX(Forms貼り付け!$A:$AZ,190,AW$3)),1),""))</f>
        <v/>
      </c>
      <c r="AX191" s="8">
        <f>IF(AX$3="","",IFERROR(LEFT(TRIM(INDEX(Forms貼り付け!$A:$AZ,190,AX$3)),1),""))</f>
        <v/>
      </c>
      <c r="AY191" s="8">
        <f>IF(AY$3="","",IFERROR(LEFT(TRIM(INDEX(Forms貼り付け!$A:$AZ,190,AY$3)),1),""))</f>
        <v/>
      </c>
      <c r="AZ191" s="8">
        <f>IF(AZ$3="","",IFERROR(LEFT(TRIM(INDEX(Forms貼り付け!$A:$AZ,190,AZ$3)),1),""))</f>
        <v/>
      </c>
      <c r="BA191" s="8">
        <f>IF(BA$3="","",IFERROR(LEFT(TRIM(INDEX(Forms貼り付け!$A:$AZ,190,BA$3)),1),""))</f>
        <v/>
      </c>
      <c r="BB191" s="8">
        <f>IF(BB$3="","",IFERROR(LEFT(TRIM(INDEX(Forms貼り付け!$A:$AZ,190,BB$3)),1),""))</f>
        <v/>
      </c>
      <c r="BC191" s="8">
        <f>IF(BC$3="","",IFERROR(LEFT(TRIM(INDEX(Forms貼り付け!$A:$AZ,190,BC$3)),1),""))</f>
        <v/>
      </c>
    </row>
    <row r="192">
      <c r="A192" s="8" t="inlineStr">
        <is>
          <t>U188</t>
        </is>
      </c>
      <c r="B192" s="9">
        <f>IF($B$3="","",INDEX(Forms貼り付け!$A:$AZ,191,$B$3))</f>
        <v/>
      </c>
      <c r="C192" s="9">
        <f>IF($C$3="","",INDEX(Forms貼り付け!$A:$AZ,191,$C$3))</f>
        <v/>
      </c>
      <c r="D192" s="8">
        <f>IF($D$3="","",INDEX(Forms貼り付け!$A:$AZ,191,$D$3))</f>
        <v/>
      </c>
      <c r="E192" s="8">
        <f>IF($E$3="","",INDEX(Forms貼り付け!$A:$AZ,191,$E$3))</f>
        <v/>
      </c>
      <c r="F192" s="8">
        <f>IF(F$3="","",IFERROR(LEFT(TRIM(INDEX(Forms貼り付け!$A:$AZ,191,F$3)),1),""))</f>
        <v/>
      </c>
      <c r="G192" s="8">
        <f>IF(G$3="","",IFERROR(LEFT(TRIM(INDEX(Forms貼り付け!$A:$AZ,191,G$3)),1),""))</f>
        <v/>
      </c>
      <c r="H192" s="8">
        <f>IF(H$3="","",IFERROR(LEFT(TRIM(INDEX(Forms貼り付け!$A:$AZ,191,H$3)),1),""))</f>
        <v/>
      </c>
      <c r="I192" s="8">
        <f>IF(I$3="","",IFERROR(LEFT(TRIM(INDEX(Forms貼り付け!$A:$AZ,191,I$3)),1),""))</f>
        <v/>
      </c>
      <c r="J192" s="8">
        <f>IF(J$3="","",IFERROR(LEFT(TRIM(INDEX(Forms貼り付け!$A:$AZ,191,J$3)),1),""))</f>
        <v/>
      </c>
      <c r="K192" s="8">
        <f>IF(K$3="","",IFERROR(LEFT(TRIM(INDEX(Forms貼り付け!$A:$AZ,191,K$3)),1),""))</f>
        <v/>
      </c>
      <c r="L192" s="8">
        <f>IF(L$3="","",IFERROR(LEFT(TRIM(INDEX(Forms貼り付け!$A:$AZ,191,L$3)),1),""))</f>
        <v/>
      </c>
      <c r="M192" s="8">
        <f>IF(M$3="","",IFERROR(LEFT(TRIM(INDEX(Forms貼り付け!$A:$AZ,191,M$3)),1),""))</f>
        <v/>
      </c>
      <c r="N192" s="8">
        <f>IF(N$3="","",IFERROR(LEFT(TRIM(INDEX(Forms貼り付け!$A:$AZ,191,N$3)),1),""))</f>
        <v/>
      </c>
      <c r="O192" s="8">
        <f>IF(O$3="","",IFERROR(LEFT(TRIM(INDEX(Forms貼り付け!$A:$AZ,191,O$3)),1),""))</f>
        <v/>
      </c>
      <c r="P192" s="8">
        <f>IF(P$3="","",IFERROR(LEFT(TRIM(INDEX(Forms貼り付け!$A:$AZ,191,P$3)),1),""))</f>
        <v/>
      </c>
      <c r="Q192" s="8">
        <f>IF(Q$3="","",IFERROR(LEFT(TRIM(INDEX(Forms貼り付け!$A:$AZ,191,Q$3)),1),""))</f>
        <v/>
      </c>
      <c r="R192" s="8">
        <f>IF(R$3="","",IFERROR(LEFT(TRIM(INDEX(Forms貼り付け!$A:$AZ,191,R$3)),1),""))</f>
        <v/>
      </c>
      <c r="S192" s="8">
        <f>IF(S$3="","",IFERROR(LEFT(TRIM(INDEX(Forms貼り付け!$A:$AZ,191,S$3)),1),""))</f>
        <v/>
      </c>
      <c r="T192" s="8">
        <f>IF(T$3="","",IFERROR(LEFT(TRIM(INDEX(Forms貼り付け!$A:$AZ,191,T$3)),1),""))</f>
        <v/>
      </c>
      <c r="U192" s="8">
        <f>IF(U$3="","",IFERROR(LEFT(TRIM(INDEX(Forms貼り付け!$A:$AZ,191,U$3)),1),""))</f>
        <v/>
      </c>
      <c r="V192" s="8">
        <f>IF(V$3="","",IFERROR(LEFT(TRIM(INDEX(Forms貼り付け!$A:$AZ,191,V$3)),1),""))</f>
        <v/>
      </c>
      <c r="W192" s="8">
        <f>IF(W$3="","",IFERROR(LEFT(TRIM(INDEX(Forms貼り付け!$A:$AZ,191,W$3)),1),""))</f>
        <v/>
      </c>
      <c r="X192" s="8">
        <f>IF(X$3="","",IFERROR(LEFT(TRIM(INDEX(Forms貼り付け!$A:$AZ,191,X$3)),1),""))</f>
        <v/>
      </c>
      <c r="Y192" s="8">
        <f>IF(Y$3="","",IFERROR(LEFT(TRIM(INDEX(Forms貼り付け!$A:$AZ,191,Y$3)),1),""))</f>
        <v/>
      </c>
      <c r="Z192" s="8">
        <f>IF(Z$3="","",IFERROR(LEFT(TRIM(INDEX(Forms貼り付け!$A:$AZ,191,Z$3)),1),""))</f>
        <v/>
      </c>
      <c r="AA192" s="8">
        <f>IF(AA$3="","",IFERROR(LEFT(TRIM(INDEX(Forms貼り付け!$A:$AZ,191,AA$3)),1),""))</f>
        <v/>
      </c>
      <c r="AB192" s="8">
        <f>IF(AB$3="","",IFERROR(LEFT(TRIM(INDEX(Forms貼り付け!$A:$AZ,191,AB$3)),1),""))</f>
        <v/>
      </c>
      <c r="AC192" s="8">
        <f>IF(AC$3="","",IFERROR(LEFT(TRIM(INDEX(Forms貼り付け!$A:$AZ,191,AC$3)),1),""))</f>
        <v/>
      </c>
      <c r="AD192" s="8">
        <f>IF(AD$3="","",IFERROR(LEFT(TRIM(INDEX(Forms貼り付け!$A:$AZ,191,AD$3)),1),""))</f>
        <v/>
      </c>
      <c r="AE192" s="8">
        <f>IF(AE$3="","",IFERROR(LEFT(TRIM(INDEX(Forms貼り付け!$A:$AZ,191,AE$3)),1),""))</f>
        <v/>
      </c>
      <c r="AF192" s="8">
        <f>IF(AF$3="","",IFERROR(LEFT(TRIM(INDEX(Forms貼り付け!$A:$AZ,191,AF$3)),1),""))</f>
        <v/>
      </c>
      <c r="AG192" s="8">
        <f>IF(AG$3="","",IFERROR(LEFT(TRIM(INDEX(Forms貼り付け!$A:$AZ,191,AG$3)),1),""))</f>
        <v/>
      </c>
      <c r="AH192" s="8">
        <f>IF(AH$3="","",IFERROR(LEFT(TRIM(INDEX(Forms貼り付け!$A:$AZ,191,AH$3)),1),""))</f>
        <v/>
      </c>
      <c r="AI192" s="8">
        <f>IF(AI$3="","",IFERROR(LEFT(TRIM(INDEX(Forms貼り付け!$A:$AZ,191,AI$3)),1),""))</f>
        <v/>
      </c>
      <c r="AJ192" s="8">
        <f>IF(AJ$3="","",IFERROR(LEFT(TRIM(INDEX(Forms貼り付け!$A:$AZ,191,AJ$3)),1),""))</f>
        <v/>
      </c>
      <c r="AK192" s="8">
        <f>IF(AK$3="","",IFERROR(LEFT(TRIM(INDEX(Forms貼り付け!$A:$AZ,191,AK$3)),1),""))</f>
        <v/>
      </c>
      <c r="AL192" s="8">
        <f>IF(AL$3="","",IFERROR(LEFT(TRIM(INDEX(Forms貼り付け!$A:$AZ,191,AL$3)),1),""))</f>
        <v/>
      </c>
      <c r="AM192" s="8">
        <f>IF(AM$3="","",IFERROR(LEFT(TRIM(INDEX(Forms貼り付け!$A:$AZ,191,AM$3)),1),""))</f>
        <v/>
      </c>
      <c r="AN192" s="8">
        <f>IF(AN$3="","",IFERROR(LEFT(TRIM(INDEX(Forms貼り付け!$A:$AZ,191,AN$3)),1),""))</f>
        <v/>
      </c>
      <c r="AO192" s="8">
        <f>IF(AO$3="","",IFERROR(LEFT(TRIM(INDEX(Forms貼り付け!$A:$AZ,191,AO$3)),1),""))</f>
        <v/>
      </c>
      <c r="AP192" s="8">
        <f>IF(AP$3="","",IFERROR(LEFT(TRIM(INDEX(Forms貼り付け!$A:$AZ,191,AP$3)),1),""))</f>
        <v/>
      </c>
      <c r="AQ192" s="8">
        <f>IF(AQ$3="","",IFERROR(LEFT(TRIM(INDEX(Forms貼り付け!$A:$AZ,191,AQ$3)),1),""))</f>
        <v/>
      </c>
      <c r="AR192" s="8">
        <f>IF(AR$3="","",IFERROR(LEFT(TRIM(INDEX(Forms貼り付け!$A:$AZ,191,AR$3)),1),""))</f>
        <v/>
      </c>
      <c r="AS192" s="8">
        <f>IF(AS$3="","",IFERROR(LEFT(TRIM(INDEX(Forms貼り付け!$A:$AZ,191,AS$3)),1),""))</f>
        <v/>
      </c>
      <c r="AT192" s="8">
        <f>IF(AT$3="","",IFERROR(LEFT(TRIM(INDEX(Forms貼り付け!$A:$AZ,191,AT$3)),1),""))</f>
        <v/>
      </c>
      <c r="AU192" s="8">
        <f>IF(AU$3="","",IFERROR(LEFT(TRIM(INDEX(Forms貼り付け!$A:$AZ,191,AU$3)),1),""))</f>
        <v/>
      </c>
      <c r="AV192" s="8">
        <f>IF(AV$3="","",IFERROR(LEFT(TRIM(INDEX(Forms貼り付け!$A:$AZ,191,AV$3)),1),""))</f>
        <v/>
      </c>
      <c r="AW192" s="8">
        <f>IF(AW$3="","",IFERROR(LEFT(TRIM(INDEX(Forms貼り付け!$A:$AZ,191,AW$3)),1),""))</f>
        <v/>
      </c>
      <c r="AX192" s="8">
        <f>IF(AX$3="","",IFERROR(LEFT(TRIM(INDEX(Forms貼り付け!$A:$AZ,191,AX$3)),1),""))</f>
        <v/>
      </c>
      <c r="AY192" s="8">
        <f>IF(AY$3="","",IFERROR(LEFT(TRIM(INDEX(Forms貼り付け!$A:$AZ,191,AY$3)),1),""))</f>
        <v/>
      </c>
      <c r="AZ192" s="8">
        <f>IF(AZ$3="","",IFERROR(LEFT(TRIM(INDEX(Forms貼り付け!$A:$AZ,191,AZ$3)),1),""))</f>
        <v/>
      </c>
      <c r="BA192" s="8">
        <f>IF(BA$3="","",IFERROR(LEFT(TRIM(INDEX(Forms貼り付け!$A:$AZ,191,BA$3)),1),""))</f>
        <v/>
      </c>
      <c r="BB192" s="8">
        <f>IF(BB$3="","",IFERROR(LEFT(TRIM(INDEX(Forms貼り付け!$A:$AZ,191,BB$3)),1),""))</f>
        <v/>
      </c>
      <c r="BC192" s="8">
        <f>IF(BC$3="","",IFERROR(LEFT(TRIM(INDEX(Forms貼り付け!$A:$AZ,191,BC$3)),1),""))</f>
        <v/>
      </c>
    </row>
    <row r="193">
      <c r="A193" s="8" t="inlineStr">
        <is>
          <t>U189</t>
        </is>
      </c>
      <c r="B193" s="9">
        <f>IF($B$3="","",INDEX(Forms貼り付け!$A:$AZ,192,$B$3))</f>
        <v/>
      </c>
      <c r="C193" s="9">
        <f>IF($C$3="","",INDEX(Forms貼り付け!$A:$AZ,192,$C$3))</f>
        <v/>
      </c>
      <c r="D193" s="8">
        <f>IF($D$3="","",INDEX(Forms貼り付け!$A:$AZ,192,$D$3))</f>
        <v/>
      </c>
      <c r="E193" s="8">
        <f>IF($E$3="","",INDEX(Forms貼り付け!$A:$AZ,192,$E$3))</f>
        <v/>
      </c>
      <c r="F193" s="8">
        <f>IF(F$3="","",IFERROR(LEFT(TRIM(INDEX(Forms貼り付け!$A:$AZ,192,F$3)),1),""))</f>
        <v/>
      </c>
      <c r="G193" s="8">
        <f>IF(G$3="","",IFERROR(LEFT(TRIM(INDEX(Forms貼り付け!$A:$AZ,192,G$3)),1),""))</f>
        <v/>
      </c>
      <c r="H193" s="8">
        <f>IF(H$3="","",IFERROR(LEFT(TRIM(INDEX(Forms貼り付け!$A:$AZ,192,H$3)),1),""))</f>
        <v/>
      </c>
      <c r="I193" s="8">
        <f>IF(I$3="","",IFERROR(LEFT(TRIM(INDEX(Forms貼り付け!$A:$AZ,192,I$3)),1),""))</f>
        <v/>
      </c>
      <c r="J193" s="8">
        <f>IF(J$3="","",IFERROR(LEFT(TRIM(INDEX(Forms貼り付け!$A:$AZ,192,J$3)),1),""))</f>
        <v/>
      </c>
      <c r="K193" s="8">
        <f>IF(K$3="","",IFERROR(LEFT(TRIM(INDEX(Forms貼り付け!$A:$AZ,192,K$3)),1),""))</f>
        <v/>
      </c>
      <c r="L193" s="8">
        <f>IF(L$3="","",IFERROR(LEFT(TRIM(INDEX(Forms貼り付け!$A:$AZ,192,L$3)),1),""))</f>
        <v/>
      </c>
      <c r="M193" s="8">
        <f>IF(M$3="","",IFERROR(LEFT(TRIM(INDEX(Forms貼り付け!$A:$AZ,192,M$3)),1),""))</f>
        <v/>
      </c>
      <c r="N193" s="8">
        <f>IF(N$3="","",IFERROR(LEFT(TRIM(INDEX(Forms貼り付け!$A:$AZ,192,N$3)),1),""))</f>
        <v/>
      </c>
      <c r="O193" s="8">
        <f>IF(O$3="","",IFERROR(LEFT(TRIM(INDEX(Forms貼り付け!$A:$AZ,192,O$3)),1),""))</f>
        <v/>
      </c>
      <c r="P193" s="8">
        <f>IF(P$3="","",IFERROR(LEFT(TRIM(INDEX(Forms貼り付け!$A:$AZ,192,P$3)),1),""))</f>
        <v/>
      </c>
      <c r="Q193" s="8">
        <f>IF(Q$3="","",IFERROR(LEFT(TRIM(INDEX(Forms貼り付け!$A:$AZ,192,Q$3)),1),""))</f>
        <v/>
      </c>
      <c r="R193" s="8">
        <f>IF(R$3="","",IFERROR(LEFT(TRIM(INDEX(Forms貼り付け!$A:$AZ,192,R$3)),1),""))</f>
        <v/>
      </c>
      <c r="S193" s="8">
        <f>IF(S$3="","",IFERROR(LEFT(TRIM(INDEX(Forms貼り付け!$A:$AZ,192,S$3)),1),""))</f>
        <v/>
      </c>
      <c r="T193" s="8">
        <f>IF(T$3="","",IFERROR(LEFT(TRIM(INDEX(Forms貼り付け!$A:$AZ,192,T$3)),1),""))</f>
        <v/>
      </c>
      <c r="U193" s="8">
        <f>IF(U$3="","",IFERROR(LEFT(TRIM(INDEX(Forms貼り付け!$A:$AZ,192,U$3)),1),""))</f>
        <v/>
      </c>
      <c r="V193" s="8">
        <f>IF(V$3="","",IFERROR(LEFT(TRIM(INDEX(Forms貼り付け!$A:$AZ,192,V$3)),1),""))</f>
        <v/>
      </c>
      <c r="W193" s="8">
        <f>IF(W$3="","",IFERROR(LEFT(TRIM(INDEX(Forms貼り付け!$A:$AZ,192,W$3)),1),""))</f>
        <v/>
      </c>
      <c r="X193" s="8">
        <f>IF(X$3="","",IFERROR(LEFT(TRIM(INDEX(Forms貼り付け!$A:$AZ,192,X$3)),1),""))</f>
        <v/>
      </c>
      <c r="Y193" s="8">
        <f>IF(Y$3="","",IFERROR(LEFT(TRIM(INDEX(Forms貼り付け!$A:$AZ,192,Y$3)),1),""))</f>
        <v/>
      </c>
      <c r="Z193" s="8">
        <f>IF(Z$3="","",IFERROR(LEFT(TRIM(INDEX(Forms貼り付け!$A:$AZ,192,Z$3)),1),""))</f>
        <v/>
      </c>
      <c r="AA193" s="8">
        <f>IF(AA$3="","",IFERROR(LEFT(TRIM(INDEX(Forms貼り付け!$A:$AZ,192,AA$3)),1),""))</f>
        <v/>
      </c>
      <c r="AB193" s="8">
        <f>IF(AB$3="","",IFERROR(LEFT(TRIM(INDEX(Forms貼り付け!$A:$AZ,192,AB$3)),1),""))</f>
        <v/>
      </c>
      <c r="AC193" s="8">
        <f>IF(AC$3="","",IFERROR(LEFT(TRIM(INDEX(Forms貼り付け!$A:$AZ,192,AC$3)),1),""))</f>
        <v/>
      </c>
      <c r="AD193" s="8">
        <f>IF(AD$3="","",IFERROR(LEFT(TRIM(INDEX(Forms貼り付け!$A:$AZ,192,AD$3)),1),""))</f>
        <v/>
      </c>
      <c r="AE193" s="8">
        <f>IF(AE$3="","",IFERROR(LEFT(TRIM(INDEX(Forms貼り付け!$A:$AZ,192,AE$3)),1),""))</f>
        <v/>
      </c>
      <c r="AF193" s="8">
        <f>IF(AF$3="","",IFERROR(LEFT(TRIM(INDEX(Forms貼り付け!$A:$AZ,192,AF$3)),1),""))</f>
        <v/>
      </c>
      <c r="AG193" s="8">
        <f>IF(AG$3="","",IFERROR(LEFT(TRIM(INDEX(Forms貼り付け!$A:$AZ,192,AG$3)),1),""))</f>
        <v/>
      </c>
      <c r="AH193" s="8">
        <f>IF(AH$3="","",IFERROR(LEFT(TRIM(INDEX(Forms貼り付け!$A:$AZ,192,AH$3)),1),""))</f>
        <v/>
      </c>
      <c r="AI193" s="8">
        <f>IF(AI$3="","",IFERROR(LEFT(TRIM(INDEX(Forms貼り付け!$A:$AZ,192,AI$3)),1),""))</f>
        <v/>
      </c>
      <c r="AJ193" s="8">
        <f>IF(AJ$3="","",IFERROR(LEFT(TRIM(INDEX(Forms貼り付け!$A:$AZ,192,AJ$3)),1),""))</f>
        <v/>
      </c>
      <c r="AK193" s="8">
        <f>IF(AK$3="","",IFERROR(LEFT(TRIM(INDEX(Forms貼り付け!$A:$AZ,192,AK$3)),1),""))</f>
        <v/>
      </c>
      <c r="AL193" s="8">
        <f>IF(AL$3="","",IFERROR(LEFT(TRIM(INDEX(Forms貼り付け!$A:$AZ,192,AL$3)),1),""))</f>
        <v/>
      </c>
      <c r="AM193" s="8">
        <f>IF(AM$3="","",IFERROR(LEFT(TRIM(INDEX(Forms貼り付け!$A:$AZ,192,AM$3)),1),""))</f>
        <v/>
      </c>
      <c r="AN193" s="8">
        <f>IF(AN$3="","",IFERROR(LEFT(TRIM(INDEX(Forms貼り付け!$A:$AZ,192,AN$3)),1),""))</f>
        <v/>
      </c>
      <c r="AO193" s="8">
        <f>IF(AO$3="","",IFERROR(LEFT(TRIM(INDEX(Forms貼り付け!$A:$AZ,192,AO$3)),1),""))</f>
        <v/>
      </c>
      <c r="AP193" s="8">
        <f>IF(AP$3="","",IFERROR(LEFT(TRIM(INDEX(Forms貼り付け!$A:$AZ,192,AP$3)),1),""))</f>
        <v/>
      </c>
      <c r="AQ193" s="8">
        <f>IF(AQ$3="","",IFERROR(LEFT(TRIM(INDEX(Forms貼り付け!$A:$AZ,192,AQ$3)),1),""))</f>
        <v/>
      </c>
      <c r="AR193" s="8">
        <f>IF(AR$3="","",IFERROR(LEFT(TRIM(INDEX(Forms貼り付け!$A:$AZ,192,AR$3)),1),""))</f>
        <v/>
      </c>
      <c r="AS193" s="8">
        <f>IF(AS$3="","",IFERROR(LEFT(TRIM(INDEX(Forms貼り付け!$A:$AZ,192,AS$3)),1),""))</f>
        <v/>
      </c>
      <c r="AT193" s="8">
        <f>IF(AT$3="","",IFERROR(LEFT(TRIM(INDEX(Forms貼り付け!$A:$AZ,192,AT$3)),1),""))</f>
        <v/>
      </c>
      <c r="AU193" s="8">
        <f>IF(AU$3="","",IFERROR(LEFT(TRIM(INDEX(Forms貼り付け!$A:$AZ,192,AU$3)),1),""))</f>
        <v/>
      </c>
      <c r="AV193" s="8">
        <f>IF(AV$3="","",IFERROR(LEFT(TRIM(INDEX(Forms貼り付け!$A:$AZ,192,AV$3)),1),""))</f>
        <v/>
      </c>
      <c r="AW193" s="8">
        <f>IF(AW$3="","",IFERROR(LEFT(TRIM(INDEX(Forms貼り付け!$A:$AZ,192,AW$3)),1),""))</f>
        <v/>
      </c>
      <c r="AX193" s="8">
        <f>IF(AX$3="","",IFERROR(LEFT(TRIM(INDEX(Forms貼り付け!$A:$AZ,192,AX$3)),1),""))</f>
        <v/>
      </c>
      <c r="AY193" s="8">
        <f>IF(AY$3="","",IFERROR(LEFT(TRIM(INDEX(Forms貼り付け!$A:$AZ,192,AY$3)),1),""))</f>
        <v/>
      </c>
      <c r="AZ193" s="8">
        <f>IF(AZ$3="","",IFERROR(LEFT(TRIM(INDEX(Forms貼り付け!$A:$AZ,192,AZ$3)),1),""))</f>
        <v/>
      </c>
      <c r="BA193" s="8">
        <f>IF(BA$3="","",IFERROR(LEFT(TRIM(INDEX(Forms貼り付け!$A:$AZ,192,BA$3)),1),""))</f>
        <v/>
      </c>
      <c r="BB193" s="8">
        <f>IF(BB$3="","",IFERROR(LEFT(TRIM(INDEX(Forms貼り付け!$A:$AZ,192,BB$3)),1),""))</f>
        <v/>
      </c>
      <c r="BC193" s="8">
        <f>IF(BC$3="","",IFERROR(LEFT(TRIM(INDEX(Forms貼り付け!$A:$AZ,192,BC$3)),1),""))</f>
        <v/>
      </c>
    </row>
    <row r="194">
      <c r="A194" s="8" t="inlineStr">
        <is>
          <t>U190</t>
        </is>
      </c>
      <c r="B194" s="9">
        <f>IF($B$3="","",INDEX(Forms貼り付け!$A:$AZ,193,$B$3))</f>
        <v/>
      </c>
      <c r="C194" s="9">
        <f>IF($C$3="","",INDEX(Forms貼り付け!$A:$AZ,193,$C$3))</f>
        <v/>
      </c>
      <c r="D194" s="8">
        <f>IF($D$3="","",INDEX(Forms貼り付け!$A:$AZ,193,$D$3))</f>
        <v/>
      </c>
      <c r="E194" s="8">
        <f>IF($E$3="","",INDEX(Forms貼り付け!$A:$AZ,193,$E$3))</f>
        <v/>
      </c>
      <c r="F194" s="8">
        <f>IF(F$3="","",IFERROR(LEFT(TRIM(INDEX(Forms貼り付け!$A:$AZ,193,F$3)),1),""))</f>
        <v/>
      </c>
      <c r="G194" s="8">
        <f>IF(G$3="","",IFERROR(LEFT(TRIM(INDEX(Forms貼り付け!$A:$AZ,193,G$3)),1),""))</f>
        <v/>
      </c>
      <c r="H194" s="8">
        <f>IF(H$3="","",IFERROR(LEFT(TRIM(INDEX(Forms貼り付け!$A:$AZ,193,H$3)),1),""))</f>
        <v/>
      </c>
      <c r="I194" s="8">
        <f>IF(I$3="","",IFERROR(LEFT(TRIM(INDEX(Forms貼り付け!$A:$AZ,193,I$3)),1),""))</f>
        <v/>
      </c>
      <c r="J194" s="8">
        <f>IF(J$3="","",IFERROR(LEFT(TRIM(INDEX(Forms貼り付け!$A:$AZ,193,J$3)),1),""))</f>
        <v/>
      </c>
      <c r="K194" s="8">
        <f>IF(K$3="","",IFERROR(LEFT(TRIM(INDEX(Forms貼り付け!$A:$AZ,193,K$3)),1),""))</f>
        <v/>
      </c>
      <c r="L194" s="8">
        <f>IF(L$3="","",IFERROR(LEFT(TRIM(INDEX(Forms貼り付け!$A:$AZ,193,L$3)),1),""))</f>
        <v/>
      </c>
      <c r="M194" s="8">
        <f>IF(M$3="","",IFERROR(LEFT(TRIM(INDEX(Forms貼り付け!$A:$AZ,193,M$3)),1),""))</f>
        <v/>
      </c>
      <c r="N194" s="8">
        <f>IF(N$3="","",IFERROR(LEFT(TRIM(INDEX(Forms貼り付け!$A:$AZ,193,N$3)),1),""))</f>
        <v/>
      </c>
      <c r="O194" s="8">
        <f>IF(O$3="","",IFERROR(LEFT(TRIM(INDEX(Forms貼り付け!$A:$AZ,193,O$3)),1),""))</f>
        <v/>
      </c>
      <c r="P194" s="8">
        <f>IF(P$3="","",IFERROR(LEFT(TRIM(INDEX(Forms貼り付け!$A:$AZ,193,P$3)),1),""))</f>
        <v/>
      </c>
      <c r="Q194" s="8">
        <f>IF(Q$3="","",IFERROR(LEFT(TRIM(INDEX(Forms貼り付け!$A:$AZ,193,Q$3)),1),""))</f>
        <v/>
      </c>
      <c r="R194" s="8">
        <f>IF(R$3="","",IFERROR(LEFT(TRIM(INDEX(Forms貼り付け!$A:$AZ,193,R$3)),1),""))</f>
        <v/>
      </c>
      <c r="S194" s="8">
        <f>IF(S$3="","",IFERROR(LEFT(TRIM(INDEX(Forms貼り付け!$A:$AZ,193,S$3)),1),""))</f>
        <v/>
      </c>
      <c r="T194" s="8">
        <f>IF(T$3="","",IFERROR(LEFT(TRIM(INDEX(Forms貼り付け!$A:$AZ,193,T$3)),1),""))</f>
        <v/>
      </c>
      <c r="U194" s="8">
        <f>IF(U$3="","",IFERROR(LEFT(TRIM(INDEX(Forms貼り付け!$A:$AZ,193,U$3)),1),""))</f>
        <v/>
      </c>
      <c r="V194" s="8">
        <f>IF(V$3="","",IFERROR(LEFT(TRIM(INDEX(Forms貼り付け!$A:$AZ,193,V$3)),1),""))</f>
        <v/>
      </c>
      <c r="W194" s="8">
        <f>IF(W$3="","",IFERROR(LEFT(TRIM(INDEX(Forms貼り付け!$A:$AZ,193,W$3)),1),""))</f>
        <v/>
      </c>
      <c r="X194" s="8">
        <f>IF(X$3="","",IFERROR(LEFT(TRIM(INDEX(Forms貼り付け!$A:$AZ,193,X$3)),1),""))</f>
        <v/>
      </c>
      <c r="Y194" s="8">
        <f>IF(Y$3="","",IFERROR(LEFT(TRIM(INDEX(Forms貼り付け!$A:$AZ,193,Y$3)),1),""))</f>
        <v/>
      </c>
      <c r="Z194" s="8">
        <f>IF(Z$3="","",IFERROR(LEFT(TRIM(INDEX(Forms貼り付け!$A:$AZ,193,Z$3)),1),""))</f>
        <v/>
      </c>
      <c r="AA194" s="8">
        <f>IF(AA$3="","",IFERROR(LEFT(TRIM(INDEX(Forms貼り付け!$A:$AZ,193,AA$3)),1),""))</f>
        <v/>
      </c>
      <c r="AB194" s="8">
        <f>IF(AB$3="","",IFERROR(LEFT(TRIM(INDEX(Forms貼り付け!$A:$AZ,193,AB$3)),1),""))</f>
        <v/>
      </c>
      <c r="AC194" s="8">
        <f>IF(AC$3="","",IFERROR(LEFT(TRIM(INDEX(Forms貼り付け!$A:$AZ,193,AC$3)),1),""))</f>
        <v/>
      </c>
      <c r="AD194" s="8">
        <f>IF(AD$3="","",IFERROR(LEFT(TRIM(INDEX(Forms貼り付け!$A:$AZ,193,AD$3)),1),""))</f>
        <v/>
      </c>
      <c r="AE194" s="8">
        <f>IF(AE$3="","",IFERROR(LEFT(TRIM(INDEX(Forms貼り付け!$A:$AZ,193,AE$3)),1),""))</f>
        <v/>
      </c>
      <c r="AF194" s="8">
        <f>IF(AF$3="","",IFERROR(LEFT(TRIM(INDEX(Forms貼り付け!$A:$AZ,193,AF$3)),1),""))</f>
        <v/>
      </c>
      <c r="AG194" s="8">
        <f>IF(AG$3="","",IFERROR(LEFT(TRIM(INDEX(Forms貼り付け!$A:$AZ,193,AG$3)),1),""))</f>
        <v/>
      </c>
      <c r="AH194" s="8">
        <f>IF(AH$3="","",IFERROR(LEFT(TRIM(INDEX(Forms貼り付け!$A:$AZ,193,AH$3)),1),""))</f>
        <v/>
      </c>
      <c r="AI194" s="8">
        <f>IF(AI$3="","",IFERROR(LEFT(TRIM(INDEX(Forms貼り付け!$A:$AZ,193,AI$3)),1),""))</f>
        <v/>
      </c>
      <c r="AJ194" s="8">
        <f>IF(AJ$3="","",IFERROR(LEFT(TRIM(INDEX(Forms貼り付け!$A:$AZ,193,AJ$3)),1),""))</f>
        <v/>
      </c>
      <c r="AK194" s="8">
        <f>IF(AK$3="","",IFERROR(LEFT(TRIM(INDEX(Forms貼り付け!$A:$AZ,193,AK$3)),1),""))</f>
        <v/>
      </c>
      <c r="AL194" s="8">
        <f>IF(AL$3="","",IFERROR(LEFT(TRIM(INDEX(Forms貼り付け!$A:$AZ,193,AL$3)),1),""))</f>
        <v/>
      </c>
      <c r="AM194" s="8">
        <f>IF(AM$3="","",IFERROR(LEFT(TRIM(INDEX(Forms貼り付け!$A:$AZ,193,AM$3)),1),""))</f>
        <v/>
      </c>
      <c r="AN194" s="8">
        <f>IF(AN$3="","",IFERROR(LEFT(TRIM(INDEX(Forms貼り付け!$A:$AZ,193,AN$3)),1),""))</f>
        <v/>
      </c>
      <c r="AO194" s="8">
        <f>IF(AO$3="","",IFERROR(LEFT(TRIM(INDEX(Forms貼り付け!$A:$AZ,193,AO$3)),1),""))</f>
        <v/>
      </c>
      <c r="AP194" s="8">
        <f>IF(AP$3="","",IFERROR(LEFT(TRIM(INDEX(Forms貼り付け!$A:$AZ,193,AP$3)),1),""))</f>
        <v/>
      </c>
      <c r="AQ194" s="8">
        <f>IF(AQ$3="","",IFERROR(LEFT(TRIM(INDEX(Forms貼り付け!$A:$AZ,193,AQ$3)),1),""))</f>
        <v/>
      </c>
      <c r="AR194" s="8">
        <f>IF(AR$3="","",IFERROR(LEFT(TRIM(INDEX(Forms貼り付け!$A:$AZ,193,AR$3)),1),""))</f>
        <v/>
      </c>
      <c r="AS194" s="8">
        <f>IF(AS$3="","",IFERROR(LEFT(TRIM(INDEX(Forms貼り付け!$A:$AZ,193,AS$3)),1),""))</f>
        <v/>
      </c>
      <c r="AT194" s="8">
        <f>IF(AT$3="","",IFERROR(LEFT(TRIM(INDEX(Forms貼り付け!$A:$AZ,193,AT$3)),1),""))</f>
        <v/>
      </c>
      <c r="AU194" s="8">
        <f>IF(AU$3="","",IFERROR(LEFT(TRIM(INDEX(Forms貼り付け!$A:$AZ,193,AU$3)),1),""))</f>
        <v/>
      </c>
      <c r="AV194" s="8">
        <f>IF(AV$3="","",IFERROR(LEFT(TRIM(INDEX(Forms貼り付け!$A:$AZ,193,AV$3)),1),""))</f>
        <v/>
      </c>
      <c r="AW194" s="8">
        <f>IF(AW$3="","",IFERROR(LEFT(TRIM(INDEX(Forms貼り付け!$A:$AZ,193,AW$3)),1),""))</f>
        <v/>
      </c>
      <c r="AX194" s="8">
        <f>IF(AX$3="","",IFERROR(LEFT(TRIM(INDEX(Forms貼り付け!$A:$AZ,193,AX$3)),1),""))</f>
        <v/>
      </c>
      <c r="AY194" s="8">
        <f>IF(AY$3="","",IFERROR(LEFT(TRIM(INDEX(Forms貼り付け!$A:$AZ,193,AY$3)),1),""))</f>
        <v/>
      </c>
      <c r="AZ194" s="8">
        <f>IF(AZ$3="","",IFERROR(LEFT(TRIM(INDEX(Forms貼り付け!$A:$AZ,193,AZ$3)),1),""))</f>
        <v/>
      </c>
      <c r="BA194" s="8">
        <f>IF(BA$3="","",IFERROR(LEFT(TRIM(INDEX(Forms貼り付け!$A:$AZ,193,BA$3)),1),""))</f>
        <v/>
      </c>
      <c r="BB194" s="8">
        <f>IF(BB$3="","",IFERROR(LEFT(TRIM(INDEX(Forms貼り付け!$A:$AZ,193,BB$3)),1),""))</f>
        <v/>
      </c>
      <c r="BC194" s="8">
        <f>IF(BC$3="","",IFERROR(LEFT(TRIM(INDEX(Forms貼り付け!$A:$AZ,193,BC$3)),1),""))</f>
        <v/>
      </c>
    </row>
    <row r="195">
      <c r="A195" s="8" t="inlineStr">
        <is>
          <t>U191</t>
        </is>
      </c>
      <c r="B195" s="9">
        <f>IF($B$3="","",INDEX(Forms貼り付け!$A:$AZ,194,$B$3))</f>
        <v/>
      </c>
      <c r="C195" s="9">
        <f>IF($C$3="","",INDEX(Forms貼り付け!$A:$AZ,194,$C$3))</f>
        <v/>
      </c>
      <c r="D195" s="8">
        <f>IF($D$3="","",INDEX(Forms貼り付け!$A:$AZ,194,$D$3))</f>
        <v/>
      </c>
      <c r="E195" s="8">
        <f>IF($E$3="","",INDEX(Forms貼り付け!$A:$AZ,194,$E$3))</f>
        <v/>
      </c>
      <c r="F195" s="8">
        <f>IF(F$3="","",IFERROR(LEFT(TRIM(INDEX(Forms貼り付け!$A:$AZ,194,F$3)),1),""))</f>
        <v/>
      </c>
      <c r="G195" s="8">
        <f>IF(G$3="","",IFERROR(LEFT(TRIM(INDEX(Forms貼り付け!$A:$AZ,194,G$3)),1),""))</f>
        <v/>
      </c>
      <c r="H195" s="8">
        <f>IF(H$3="","",IFERROR(LEFT(TRIM(INDEX(Forms貼り付け!$A:$AZ,194,H$3)),1),""))</f>
        <v/>
      </c>
      <c r="I195" s="8">
        <f>IF(I$3="","",IFERROR(LEFT(TRIM(INDEX(Forms貼り付け!$A:$AZ,194,I$3)),1),""))</f>
        <v/>
      </c>
      <c r="J195" s="8">
        <f>IF(J$3="","",IFERROR(LEFT(TRIM(INDEX(Forms貼り付け!$A:$AZ,194,J$3)),1),""))</f>
        <v/>
      </c>
      <c r="K195" s="8">
        <f>IF(K$3="","",IFERROR(LEFT(TRIM(INDEX(Forms貼り付け!$A:$AZ,194,K$3)),1),""))</f>
        <v/>
      </c>
      <c r="L195" s="8">
        <f>IF(L$3="","",IFERROR(LEFT(TRIM(INDEX(Forms貼り付け!$A:$AZ,194,L$3)),1),""))</f>
        <v/>
      </c>
      <c r="M195" s="8">
        <f>IF(M$3="","",IFERROR(LEFT(TRIM(INDEX(Forms貼り付け!$A:$AZ,194,M$3)),1),""))</f>
        <v/>
      </c>
      <c r="N195" s="8">
        <f>IF(N$3="","",IFERROR(LEFT(TRIM(INDEX(Forms貼り付け!$A:$AZ,194,N$3)),1),""))</f>
        <v/>
      </c>
      <c r="O195" s="8">
        <f>IF(O$3="","",IFERROR(LEFT(TRIM(INDEX(Forms貼り付け!$A:$AZ,194,O$3)),1),""))</f>
        <v/>
      </c>
      <c r="P195" s="8">
        <f>IF(P$3="","",IFERROR(LEFT(TRIM(INDEX(Forms貼り付け!$A:$AZ,194,P$3)),1),""))</f>
        <v/>
      </c>
      <c r="Q195" s="8">
        <f>IF(Q$3="","",IFERROR(LEFT(TRIM(INDEX(Forms貼り付け!$A:$AZ,194,Q$3)),1),""))</f>
        <v/>
      </c>
      <c r="R195" s="8">
        <f>IF(R$3="","",IFERROR(LEFT(TRIM(INDEX(Forms貼り付け!$A:$AZ,194,R$3)),1),""))</f>
        <v/>
      </c>
      <c r="S195" s="8">
        <f>IF(S$3="","",IFERROR(LEFT(TRIM(INDEX(Forms貼り付け!$A:$AZ,194,S$3)),1),""))</f>
        <v/>
      </c>
      <c r="T195" s="8">
        <f>IF(T$3="","",IFERROR(LEFT(TRIM(INDEX(Forms貼り付け!$A:$AZ,194,T$3)),1),""))</f>
        <v/>
      </c>
      <c r="U195" s="8">
        <f>IF(U$3="","",IFERROR(LEFT(TRIM(INDEX(Forms貼り付け!$A:$AZ,194,U$3)),1),""))</f>
        <v/>
      </c>
      <c r="V195" s="8">
        <f>IF(V$3="","",IFERROR(LEFT(TRIM(INDEX(Forms貼り付け!$A:$AZ,194,V$3)),1),""))</f>
        <v/>
      </c>
      <c r="W195" s="8">
        <f>IF(W$3="","",IFERROR(LEFT(TRIM(INDEX(Forms貼り付け!$A:$AZ,194,W$3)),1),""))</f>
        <v/>
      </c>
      <c r="X195" s="8">
        <f>IF(X$3="","",IFERROR(LEFT(TRIM(INDEX(Forms貼り付け!$A:$AZ,194,X$3)),1),""))</f>
        <v/>
      </c>
      <c r="Y195" s="8">
        <f>IF(Y$3="","",IFERROR(LEFT(TRIM(INDEX(Forms貼り付け!$A:$AZ,194,Y$3)),1),""))</f>
        <v/>
      </c>
      <c r="Z195" s="8">
        <f>IF(Z$3="","",IFERROR(LEFT(TRIM(INDEX(Forms貼り付け!$A:$AZ,194,Z$3)),1),""))</f>
        <v/>
      </c>
      <c r="AA195" s="8">
        <f>IF(AA$3="","",IFERROR(LEFT(TRIM(INDEX(Forms貼り付け!$A:$AZ,194,AA$3)),1),""))</f>
        <v/>
      </c>
      <c r="AB195" s="8">
        <f>IF(AB$3="","",IFERROR(LEFT(TRIM(INDEX(Forms貼り付け!$A:$AZ,194,AB$3)),1),""))</f>
        <v/>
      </c>
      <c r="AC195" s="8">
        <f>IF(AC$3="","",IFERROR(LEFT(TRIM(INDEX(Forms貼り付け!$A:$AZ,194,AC$3)),1),""))</f>
        <v/>
      </c>
      <c r="AD195" s="8">
        <f>IF(AD$3="","",IFERROR(LEFT(TRIM(INDEX(Forms貼り付け!$A:$AZ,194,AD$3)),1),""))</f>
        <v/>
      </c>
      <c r="AE195" s="8">
        <f>IF(AE$3="","",IFERROR(LEFT(TRIM(INDEX(Forms貼り付け!$A:$AZ,194,AE$3)),1),""))</f>
        <v/>
      </c>
      <c r="AF195" s="8">
        <f>IF(AF$3="","",IFERROR(LEFT(TRIM(INDEX(Forms貼り付け!$A:$AZ,194,AF$3)),1),""))</f>
        <v/>
      </c>
      <c r="AG195" s="8">
        <f>IF(AG$3="","",IFERROR(LEFT(TRIM(INDEX(Forms貼り付け!$A:$AZ,194,AG$3)),1),""))</f>
        <v/>
      </c>
      <c r="AH195" s="8">
        <f>IF(AH$3="","",IFERROR(LEFT(TRIM(INDEX(Forms貼り付け!$A:$AZ,194,AH$3)),1),""))</f>
        <v/>
      </c>
      <c r="AI195" s="8">
        <f>IF(AI$3="","",IFERROR(LEFT(TRIM(INDEX(Forms貼り付け!$A:$AZ,194,AI$3)),1),""))</f>
        <v/>
      </c>
      <c r="AJ195" s="8">
        <f>IF(AJ$3="","",IFERROR(LEFT(TRIM(INDEX(Forms貼り付け!$A:$AZ,194,AJ$3)),1),""))</f>
        <v/>
      </c>
      <c r="AK195" s="8">
        <f>IF(AK$3="","",IFERROR(LEFT(TRIM(INDEX(Forms貼り付け!$A:$AZ,194,AK$3)),1),""))</f>
        <v/>
      </c>
      <c r="AL195" s="8">
        <f>IF(AL$3="","",IFERROR(LEFT(TRIM(INDEX(Forms貼り付け!$A:$AZ,194,AL$3)),1),""))</f>
        <v/>
      </c>
      <c r="AM195" s="8">
        <f>IF(AM$3="","",IFERROR(LEFT(TRIM(INDEX(Forms貼り付け!$A:$AZ,194,AM$3)),1),""))</f>
        <v/>
      </c>
      <c r="AN195" s="8">
        <f>IF(AN$3="","",IFERROR(LEFT(TRIM(INDEX(Forms貼り付け!$A:$AZ,194,AN$3)),1),""))</f>
        <v/>
      </c>
      <c r="AO195" s="8">
        <f>IF(AO$3="","",IFERROR(LEFT(TRIM(INDEX(Forms貼り付け!$A:$AZ,194,AO$3)),1),""))</f>
        <v/>
      </c>
      <c r="AP195" s="8">
        <f>IF(AP$3="","",IFERROR(LEFT(TRIM(INDEX(Forms貼り付け!$A:$AZ,194,AP$3)),1),""))</f>
        <v/>
      </c>
      <c r="AQ195" s="8">
        <f>IF(AQ$3="","",IFERROR(LEFT(TRIM(INDEX(Forms貼り付け!$A:$AZ,194,AQ$3)),1),""))</f>
        <v/>
      </c>
      <c r="AR195" s="8">
        <f>IF(AR$3="","",IFERROR(LEFT(TRIM(INDEX(Forms貼り付け!$A:$AZ,194,AR$3)),1),""))</f>
        <v/>
      </c>
      <c r="AS195" s="8">
        <f>IF(AS$3="","",IFERROR(LEFT(TRIM(INDEX(Forms貼り付け!$A:$AZ,194,AS$3)),1),""))</f>
        <v/>
      </c>
      <c r="AT195" s="8">
        <f>IF(AT$3="","",IFERROR(LEFT(TRIM(INDEX(Forms貼り付け!$A:$AZ,194,AT$3)),1),""))</f>
        <v/>
      </c>
      <c r="AU195" s="8">
        <f>IF(AU$3="","",IFERROR(LEFT(TRIM(INDEX(Forms貼り付け!$A:$AZ,194,AU$3)),1),""))</f>
        <v/>
      </c>
      <c r="AV195" s="8">
        <f>IF(AV$3="","",IFERROR(LEFT(TRIM(INDEX(Forms貼り付け!$A:$AZ,194,AV$3)),1),""))</f>
        <v/>
      </c>
      <c r="AW195" s="8">
        <f>IF(AW$3="","",IFERROR(LEFT(TRIM(INDEX(Forms貼り付け!$A:$AZ,194,AW$3)),1),""))</f>
        <v/>
      </c>
      <c r="AX195" s="8">
        <f>IF(AX$3="","",IFERROR(LEFT(TRIM(INDEX(Forms貼り付け!$A:$AZ,194,AX$3)),1),""))</f>
        <v/>
      </c>
      <c r="AY195" s="8">
        <f>IF(AY$3="","",IFERROR(LEFT(TRIM(INDEX(Forms貼り付け!$A:$AZ,194,AY$3)),1),""))</f>
        <v/>
      </c>
      <c r="AZ195" s="8">
        <f>IF(AZ$3="","",IFERROR(LEFT(TRIM(INDEX(Forms貼り付け!$A:$AZ,194,AZ$3)),1),""))</f>
        <v/>
      </c>
      <c r="BA195" s="8">
        <f>IF(BA$3="","",IFERROR(LEFT(TRIM(INDEX(Forms貼り付け!$A:$AZ,194,BA$3)),1),""))</f>
        <v/>
      </c>
      <c r="BB195" s="8">
        <f>IF(BB$3="","",IFERROR(LEFT(TRIM(INDEX(Forms貼り付け!$A:$AZ,194,BB$3)),1),""))</f>
        <v/>
      </c>
      <c r="BC195" s="8">
        <f>IF(BC$3="","",IFERROR(LEFT(TRIM(INDEX(Forms貼り付け!$A:$AZ,194,BC$3)),1),""))</f>
        <v/>
      </c>
    </row>
    <row r="196">
      <c r="A196" s="8" t="inlineStr">
        <is>
          <t>U192</t>
        </is>
      </c>
      <c r="B196" s="9">
        <f>IF($B$3="","",INDEX(Forms貼り付け!$A:$AZ,195,$B$3))</f>
        <v/>
      </c>
      <c r="C196" s="9">
        <f>IF($C$3="","",INDEX(Forms貼り付け!$A:$AZ,195,$C$3))</f>
        <v/>
      </c>
      <c r="D196" s="8">
        <f>IF($D$3="","",INDEX(Forms貼り付け!$A:$AZ,195,$D$3))</f>
        <v/>
      </c>
      <c r="E196" s="8">
        <f>IF($E$3="","",INDEX(Forms貼り付け!$A:$AZ,195,$E$3))</f>
        <v/>
      </c>
      <c r="F196" s="8">
        <f>IF(F$3="","",IFERROR(LEFT(TRIM(INDEX(Forms貼り付け!$A:$AZ,195,F$3)),1),""))</f>
        <v/>
      </c>
      <c r="G196" s="8">
        <f>IF(G$3="","",IFERROR(LEFT(TRIM(INDEX(Forms貼り付け!$A:$AZ,195,G$3)),1),""))</f>
        <v/>
      </c>
      <c r="H196" s="8">
        <f>IF(H$3="","",IFERROR(LEFT(TRIM(INDEX(Forms貼り付け!$A:$AZ,195,H$3)),1),""))</f>
        <v/>
      </c>
      <c r="I196" s="8">
        <f>IF(I$3="","",IFERROR(LEFT(TRIM(INDEX(Forms貼り付け!$A:$AZ,195,I$3)),1),""))</f>
        <v/>
      </c>
      <c r="J196" s="8">
        <f>IF(J$3="","",IFERROR(LEFT(TRIM(INDEX(Forms貼り付け!$A:$AZ,195,J$3)),1),""))</f>
        <v/>
      </c>
      <c r="K196" s="8">
        <f>IF(K$3="","",IFERROR(LEFT(TRIM(INDEX(Forms貼り付け!$A:$AZ,195,K$3)),1),""))</f>
        <v/>
      </c>
      <c r="L196" s="8">
        <f>IF(L$3="","",IFERROR(LEFT(TRIM(INDEX(Forms貼り付け!$A:$AZ,195,L$3)),1),""))</f>
        <v/>
      </c>
      <c r="M196" s="8">
        <f>IF(M$3="","",IFERROR(LEFT(TRIM(INDEX(Forms貼り付け!$A:$AZ,195,M$3)),1),""))</f>
        <v/>
      </c>
      <c r="N196" s="8">
        <f>IF(N$3="","",IFERROR(LEFT(TRIM(INDEX(Forms貼り付け!$A:$AZ,195,N$3)),1),""))</f>
        <v/>
      </c>
      <c r="O196" s="8">
        <f>IF(O$3="","",IFERROR(LEFT(TRIM(INDEX(Forms貼り付け!$A:$AZ,195,O$3)),1),""))</f>
        <v/>
      </c>
      <c r="P196" s="8">
        <f>IF(P$3="","",IFERROR(LEFT(TRIM(INDEX(Forms貼り付け!$A:$AZ,195,P$3)),1),""))</f>
        <v/>
      </c>
      <c r="Q196" s="8">
        <f>IF(Q$3="","",IFERROR(LEFT(TRIM(INDEX(Forms貼り付け!$A:$AZ,195,Q$3)),1),""))</f>
        <v/>
      </c>
      <c r="R196" s="8">
        <f>IF(R$3="","",IFERROR(LEFT(TRIM(INDEX(Forms貼り付け!$A:$AZ,195,R$3)),1),""))</f>
        <v/>
      </c>
      <c r="S196" s="8">
        <f>IF(S$3="","",IFERROR(LEFT(TRIM(INDEX(Forms貼り付け!$A:$AZ,195,S$3)),1),""))</f>
        <v/>
      </c>
      <c r="T196" s="8">
        <f>IF(T$3="","",IFERROR(LEFT(TRIM(INDEX(Forms貼り付け!$A:$AZ,195,T$3)),1),""))</f>
        <v/>
      </c>
      <c r="U196" s="8">
        <f>IF(U$3="","",IFERROR(LEFT(TRIM(INDEX(Forms貼り付け!$A:$AZ,195,U$3)),1),""))</f>
        <v/>
      </c>
      <c r="V196" s="8">
        <f>IF(V$3="","",IFERROR(LEFT(TRIM(INDEX(Forms貼り付け!$A:$AZ,195,V$3)),1),""))</f>
        <v/>
      </c>
      <c r="W196" s="8">
        <f>IF(W$3="","",IFERROR(LEFT(TRIM(INDEX(Forms貼り付け!$A:$AZ,195,W$3)),1),""))</f>
        <v/>
      </c>
      <c r="X196" s="8">
        <f>IF(X$3="","",IFERROR(LEFT(TRIM(INDEX(Forms貼り付け!$A:$AZ,195,X$3)),1),""))</f>
        <v/>
      </c>
      <c r="Y196" s="8">
        <f>IF(Y$3="","",IFERROR(LEFT(TRIM(INDEX(Forms貼り付け!$A:$AZ,195,Y$3)),1),""))</f>
        <v/>
      </c>
      <c r="Z196" s="8">
        <f>IF(Z$3="","",IFERROR(LEFT(TRIM(INDEX(Forms貼り付け!$A:$AZ,195,Z$3)),1),""))</f>
        <v/>
      </c>
      <c r="AA196" s="8">
        <f>IF(AA$3="","",IFERROR(LEFT(TRIM(INDEX(Forms貼り付け!$A:$AZ,195,AA$3)),1),""))</f>
        <v/>
      </c>
      <c r="AB196" s="8">
        <f>IF(AB$3="","",IFERROR(LEFT(TRIM(INDEX(Forms貼り付け!$A:$AZ,195,AB$3)),1),""))</f>
        <v/>
      </c>
      <c r="AC196" s="8">
        <f>IF(AC$3="","",IFERROR(LEFT(TRIM(INDEX(Forms貼り付け!$A:$AZ,195,AC$3)),1),""))</f>
        <v/>
      </c>
      <c r="AD196" s="8">
        <f>IF(AD$3="","",IFERROR(LEFT(TRIM(INDEX(Forms貼り付け!$A:$AZ,195,AD$3)),1),""))</f>
        <v/>
      </c>
      <c r="AE196" s="8">
        <f>IF(AE$3="","",IFERROR(LEFT(TRIM(INDEX(Forms貼り付け!$A:$AZ,195,AE$3)),1),""))</f>
        <v/>
      </c>
      <c r="AF196" s="8">
        <f>IF(AF$3="","",IFERROR(LEFT(TRIM(INDEX(Forms貼り付け!$A:$AZ,195,AF$3)),1),""))</f>
        <v/>
      </c>
      <c r="AG196" s="8">
        <f>IF(AG$3="","",IFERROR(LEFT(TRIM(INDEX(Forms貼り付け!$A:$AZ,195,AG$3)),1),""))</f>
        <v/>
      </c>
      <c r="AH196" s="8">
        <f>IF(AH$3="","",IFERROR(LEFT(TRIM(INDEX(Forms貼り付け!$A:$AZ,195,AH$3)),1),""))</f>
        <v/>
      </c>
      <c r="AI196" s="8">
        <f>IF(AI$3="","",IFERROR(LEFT(TRIM(INDEX(Forms貼り付け!$A:$AZ,195,AI$3)),1),""))</f>
        <v/>
      </c>
      <c r="AJ196" s="8">
        <f>IF(AJ$3="","",IFERROR(LEFT(TRIM(INDEX(Forms貼り付け!$A:$AZ,195,AJ$3)),1),""))</f>
        <v/>
      </c>
      <c r="AK196" s="8">
        <f>IF(AK$3="","",IFERROR(LEFT(TRIM(INDEX(Forms貼り付け!$A:$AZ,195,AK$3)),1),""))</f>
        <v/>
      </c>
      <c r="AL196" s="8">
        <f>IF(AL$3="","",IFERROR(LEFT(TRIM(INDEX(Forms貼り付け!$A:$AZ,195,AL$3)),1),""))</f>
        <v/>
      </c>
      <c r="AM196" s="8">
        <f>IF(AM$3="","",IFERROR(LEFT(TRIM(INDEX(Forms貼り付け!$A:$AZ,195,AM$3)),1),""))</f>
        <v/>
      </c>
      <c r="AN196" s="8">
        <f>IF(AN$3="","",IFERROR(LEFT(TRIM(INDEX(Forms貼り付け!$A:$AZ,195,AN$3)),1),""))</f>
        <v/>
      </c>
      <c r="AO196" s="8">
        <f>IF(AO$3="","",IFERROR(LEFT(TRIM(INDEX(Forms貼り付け!$A:$AZ,195,AO$3)),1),""))</f>
        <v/>
      </c>
      <c r="AP196" s="8">
        <f>IF(AP$3="","",IFERROR(LEFT(TRIM(INDEX(Forms貼り付け!$A:$AZ,195,AP$3)),1),""))</f>
        <v/>
      </c>
      <c r="AQ196" s="8">
        <f>IF(AQ$3="","",IFERROR(LEFT(TRIM(INDEX(Forms貼り付け!$A:$AZ,195,AQ$3)),1),""))</f>
        <v/>
      </c>
      <c r="AR196" s="8">
        <f>IF(AR$3="","",IFERROR(LEFT(TRIM(INDEX(Forms貼り付け!$A:$AZ,195,AR$3)),1),""))</f>
        <v/>
      </c>
      <c r="AS196" s="8">
        <f>IF(AS$3="","",IFERROR(LEFT(TRIM(INDEX(Forms貼り付け!$A:$AZ,195,AS$3)),1),""))</f>
        <v/>
      </c>
      <c r="AT196" s="8">
        <f>IF(AT$3="","",IFERROR(LEFT(TRIM(INDEX(Forms貼り付け!$A:$AZ,195,AT$3)),1),""))</f>
        <v/>
      </c>
      <c r="AU196" s="8">
        <f>IF(AU$3="","",IFERROR(LEFT(TRIM(INDEX(Forms貼り付け!$A:$AZ,195,AU$3)),1),""))</f>
        <v/>
      </c>
      <c r="AV196" s="8">
        <f>IF(AV$3="","",IFERROR(LEFT(TRIM(INDEX(Forms貼り付け!$A:$AZ,195,AV$3)),1),""))</f>
        <v/>
      </c>
      <c r="AW196" s="8">
        <f>IF(AW$3="","",IFERROR(LEFT(TRIM(INDEX(Forms貼り付け!$A:$AZ,195,AW$3)),1),""))</f>
        <v/>
      </c>
      <c r="AX196" s="8">
        <f>IF(AX$3="","",IFERROR(LEFT(TRIM(INDEX(Forms貼り付け!$A:$AZ,195,AX$3)),1),""))</f>
        <v/>
      </c>
      <c r="AY196" s="8">
        <f>IF(AY$3="","",IFERROR(LEFT(TRIM(INDEX(Forms貼り付け!$A:$AZ,195,AY$3)),1),""))</f>
        <v/>
      </c>
      <c r="AZ196" s="8">
        <f>IF(AZ$3="","",IFERROR(LEFT(TRIM(INDEX(Forms貼り付け!$A:$AZ,195,AZ$3)),1),""))</f>
        <v/>
      </c>
      <c r="BA196" s="8">
        <f>IF(BA$3="","",IFERROR(LEFT(TRIM(INDEX(Forms貼り付け!$A:$AZ,195,BA$3)),1),""))</f>
        <v/>
      </c>
      <c r="BB196" s="8">
        <f>IF(BB$3="","",IFERROR(LEFT(TRIM(INDEX(Forms貼り付け!$A:$AZ,195,BB$3)),1),""))</f>
        <v/>
      </c>
      <c r="BC196" s="8">
        <f>IF(BC$3="","",IFERROR(LEFT(TRIM(INDEX(Forms貼り付け!$A:$AZ,195,BC$3)),1),""))</f>
        <v/>
      </c>
    </row>
    <row r="197">
      <c r="A197" s="8" t="inlineStr">
        <is>
          <t>U193</t>
        </is>
      </c>
      <c r="B197" s="9">
        <f>IF($B$3="","",INDEX(Forms貼り付け!$A:$AZ,196,$B$3))</f>
        <v/>
      </c>
      <c r="C197" s="9">
        <f>IF($C$3="","",INDEX(Forms貼り付け!$A:$AZ,196,$C$3))</f>
        <v/>
      </c>
      <c r="D197" s="8">
        <f>IF($D$3="","",INDEX(Forms貼り付け!$A:$AZ,196,$D$3))</f>
        <v/>
      </c>
      <c r="E197" s="8">
        <f>IF($E$3="","",INDEX(Forms貼り付け!$A:$AZ,196,$E$3))</f>
        <v/>
      </c>
      <c r="F197" s="8">
        <f>IF(F$3="","",IFERROR(LEFT(TRIM(INDEX(Forms貼り付け!$A:$AZ,196,F$3)),1),""))</f>
        <v/>
      </c>
      <c r="G197" s="8">
        <f>IF(G$3="","",IFERROR(LEFT(TRIM(INDEX(Forms貼り付け!$A:$AZ,196,G$3)),1),""))</f>
        <v/>
      </c>
      <c r="H197" s="8">
        <f>IF(H$3="","",IFERROR(LEFT(TRIM(INDEX(Forms貼り付け!$A:$AZ,196,H$3)),1),""))</f>
        <v/>
      </c>
      <c r="I197" s="8">
        <f>IF(I$3="","",IFERROR(LEFT(TRIM(INDEX(Forms貼り付け!$A:$AZ,196,I$3)),1),""))</f>
        <v/>
      </c>
      <c r="J197" s="8">
        <f>IF(J$3="","",IFERROR(LEFT(TRIM(INDEX(Forms貼り付け!$A:$AZ,196,J$3)),1),""))</f>
        <v/>
      </c>
      <c r="K197" s="8">
        <f>IF(K$3="","",IFERROR(LEFT(TRIM(INDEX(Forms貼り付け!$A:$AZ,196,K$3)),1),""))</f>
        <v/>
      </c>
      <c r="L197" s="8">
        <f>IF(L$3="","",IFERROR(LEFT(TRIM(INDEX(Forms貼り付け!$A:$AZ,196,L$3)),1),""))</f>
        <v/>
      </c>
      <c r="M197" s="8">
        <f>IF(M$3="","",IFERROR(LEFT(TRIM(INDEX(Forms貼り付け!$A:$AZ,196,M$3)),1),""))</f>
        <v/>
      </c>
      <c r="N197" s="8">
        <f>IF(N$3="","",IFERROR(LEFT(TRIM(INDEX(Forms貼り付け!$A:$AZ,196,N$3)),1),""))</f>
        <v/>
      </c>
      <c r="O197" s="8">
        <f>IF(O$3="","",IFERROR(LEFT(TRIM(INDEX(Forms貼り付け!$A:$AZ,196,O$3)),1),""))</f>
        <v/>
      </c>
      <c r="P197" s="8">
        <f>IF(P$3="","",IFERROR(LEFT(TRIM(INDEX(Forms貼り付け!$A:$AZ,196,P$3)),1),""))</f>
        <v/>
      </c>
      <c r="Q197" s="8">
        <f>IF(Q$3="","",IFERROR(LEFT(TRIM(INDEX(Forms貼り付け!$A:$AZ,196,Q$3)),1),""))</f>
        <v/>
      </c>
      <c r="R197" s="8">
        <f>IF(R$3="","",IFERROR(LEFT(TRIM(INDEX(Forms貼り付け!$A:$AZ,196,R$3)),1),""))</f>
        <v/>
      </c>
      <c r="S197" s="8">
        <f>IF(S$3="","",IFERROR(LEFT(TRIM(INDEX(Forms貼り付け!$A:$AZ,196,S$3)),1),""))</f>
        <v/>
      </c>
      <c r="T197" s="8">
        <f>IF(T$3="","",IFERROR(LEFT(TRIM(INDEX(Forms貼り付け!$A:$AZ,196,T$3)),1),""))</f>
        <v/>
      </c>
      <c r="U197" s="8">
        <f>IF(U$3="","",IFERROR(LEFT(TRIM(INDEX(Forms貼り付け!$A:$AZ,196,U$3)),1),""))</f>
        <v/>
      </c>
      <c r="V197" s="8">
        <f>IF(V$3="","",IFERROR(LEFT(TRIM(INDEX(Forms貼り付け!$A:$AZ,196,V$3)),1),""))</f>
        <v/>
      </c>
      <c r="W197" s="8">
        <f>IF(W$3="","",IFERROR(LEFT(TRIM(INDEX(Forms貼り付け!$A:$AZ,196,W$3)),1),""))</f>
        <v/>
      </c>
      <c r="X197" s="8">
        <f>IF(X$3="","",IFERROR(LEFT(TRIM(INDEX(Forms貼り付け!$A:$AZ,196,X$3)),1),""))</f>
        <v/>
      </c>
      <c r="Y197" s="8">
        <f>IF(Y$3="","",IFERROR(LEFT(TRIM(INDEX(Forms貼り付け!$A:$AZ,196,Y$3)),1),""))</f>
        <v/>
      </c>
      <c r="Z197" s="8">
        <f>IF(Z$3="","",IFERROR(LEFT(TRIM(INDEX(Forms貼り付け!$A:$AZ,196,Z$3)),1),""))</f>
        <v/>
      </c>
      <c r="AA197" s="8">
        <f>IF(AA$3="","",IFERROR(LEFT(TRIM(INDEX(Forms貼り付け!$A:$AZ,196,AA$3)),1),""))</f>
        <v/>
      </c>
      <c r="AB197" s="8">
        <f>IF(AB$3="","",IFERROR(LEFT(TRIM(INDEX(Forms貼り付け!$A:$AZ,196,AB$3)),1),""))</f>
        <v/>
      </c>
      <c r="AC197" s="8">
        <f>IF(AC$3="","",IFERROR(LEFT(TRIM(INDEX(Forms貼り付け!$A:$AZ,196,AC$3)),1),""))</f>
        <v/>
      </c>
      <c r="AD197" s="8">
        <f>IF(AD$3="","",IFERROR(LEFT(TRIM(INDEX(Forms貼り付け!$A:$AZ,196,AD$3)),1),""))</f>
        <v/>
      </c>
      <c r="AE197" s="8">
        <f>IF(AE$3="","",IFERROR(LEFT(TRIM(INDEX(Forms貼り付け!$A:$AZ,196,AE$3)),1),""))</f>
        <v/>
      </c>
      <c r="AF197" s="8">
        <f>IF(AF$3="","",IFERROR(LEFT(TRIM(INDEX(Forms貼り付け!$A:$AZ,196,AF$3)),1),""))</f>
        <v/>
      </c>
      <c r="AG197" s="8">
        <f>IF(AG$3="","",IFERROR(LEFT(TRIM(INDEX(Forms貼り付け!$A:$AZ,196,AG$3)),1),""))</f>
        <v/>
      </c>
      <c r="AH197" s="8">
        <f>IF(AH$3="","",IFERROR(LEFT(TRIM(INDEX(Forms貼り付け!$A:$AZ,196,AH$3)),1),""))</f>
        <v/>
      </c>
      <c r="AI197" s="8">
        <f>IF(AI$3="","",IFERROR(LEFT(TRIM(INDEX(Forms貼り付け!$A:$AZ,196,AI$3)),1),""))</f>
        <v/>
      </c>
      <c r="AJ197" s="8">
        <f>IF(AJ$3="","",IFERROR(LEFT(TRIM(INDEX(Forms貼り付け!$A:$AZ,196,AJ$3)),1),""))</f>
        <v/>
      </c>
      <c r="AK197" s="8">
        <f>IF(AK$3="","",IFERROR(LEFT(TRIM(INDEX(Forms貼り付け!$A:$AZ,196,AK$3)),1),""))</f>
        <v/>
      </c>
      <c r="AL197" s="8">
        <f>IF(AL$3="","",IFERROR(LEFT(TRIM(INDEX(Forms貼り付け!$A:$AZ,196,AL$3)),1),""))</f>
        <v/>
      </c>
      <c r="AM197" s="8">
        <f>IF(AM$3="","",IFERROR(LEFT(TRIM(INDEX(Forms貼り付け!$A:$AZ,196,AM$3)),1),""))</f>
        <v/>
      </c>
      <c r="AN197" s="8">
        <f>IF(AN$3="","",IFERROR(LEFT(TRIM(INDEX(Forms貼り付け!$A:$AZ,196,AN$3)),1),""))</f>
        <v/>
      </c>
      <c r="AO197" s="8">
        <f>IF(AO$3="","",IFERROR(LEFT(TRIM(INDEX(Forms貼り付け!$A:$AZ,196,AO$3)),1),""))</f>
        <v/>
      </c>
      <c r="AP197" s="8">
        <f>IF(AP$3="","",IFERROR(LEFT(TRIM(INDEX(Forms貼り付け!$A:$AZ,196,AP$3)),1),""))</f>
        <v/>
      </c>
      <c r="AQ197" s="8">
        <f>IF(AQ$3="","",IFERROR(LEFT(TRIM(INDEX(Forms貼り付け!$A:$AZ,196,AQ$3)),1),""))</f>
        <v/>
      </c>
      <c r="AR197" s="8">
        <f>IF(AR$3="","",IFERROR(LEFT(TRIM(INDEX(Forms貼り付け!$A:$AZ,196,AR$3)),1),""))</f>
        <v/>
      </c>
      <c r="AS197" s="8">
        <f>IF(AS$3="","",IFERROR(LEFT(TRIM(INDEX(Forms貼り付け!$A:$AZ,196,AS$3)),1),""))</f>
        <v/>
      </c>
      <c r="AT197" s="8">
        <f>IF(AT$3="","",IFERROR(LEFT(TRIM(INDEX(Forms貼り付け!$A:$AZ,196,AT$3)),1),""))</f>
        <v/>
      </c>
      <c r="AU197" s="8">
        <f>IF(AU$3="","",IFERROR(LEFT(TRIM(INDEX(Forms貼り付け!$A:$AZ,196,AU$3)),1),""))</f>
        <v/>
      </c>
      <c r="AV197" s="8">
        <f>IF(AV$3="","",IFERROR(LEFT(TRIM(INDEX(Forms貼り付け!$A:$AZ,196,AV$3)),1),""))</f>
        <v/>
      </c>
      <c r="AW197" s="8">
        <f>IF(AW$3="","",IFERROR(LEFT(TRIM(INDEX(Forms貼り付け!$A:$AZ,196,AW$3)),1),""))</f>
        <v/>
      </c>
      <c r="AX197" s="8">
        <f>IF(AX$3="","",IFERROR(LEFT(TRIM(INDEX(Forms貼り付け!$A:$AZ,196,AX$3)),1),""))</f>
        <v/>
      </c>
      <c r="AY197" s="8">
        <f>IF(AY$3="","",IFERROR(LEFT(TRIM(INDEX(Forms貼り付け!$A:$AZ,196,AY$3)),1),""))</f>
        <v/>
      </c>
      <c r="AZ197" s="8">
        <f>IF(AZ$3="","",IFERROR(LEFT(TRIM(INDEX(Forms貼り付け!$A:$AZ,196,AZ$3)),1),""))</f>
        <v/>
      </c>
      <c r="BA197" s="8">
        <f>IF(BA$3="","",IFERROR(LEFT(TRIM(INDEX(Forms貼り付け!$A:$AZ,196,BA$3)),1),""))</f>
        <v/>
      </c>
      <c r="BB197" s="8">
        <f>IF(BB$3="","",IFERROR(LEFT(TRIM(INDEX(Forms貼り付け!$A:$AZ,196,BB$3)),1),""))</f>
        <v/>
      </c>
      <c r="BC197" s="8">
        <f>IF(BC$3="","",IFERROR(LEFT(TRIM(INDEX(Forms貼り付け!$A:$AZ,196,BC$3)),1),""))</f>
        <v/>
      </c>
    </row>
    <row r="198">
      <c r="A198" s="8" t="inlineStr">
        <is>
          <t>U194</t>
        </is>
      </c>
      <c r="B198" s="9">
        <f>IF($B$3="","",INDEX(Forms貼り付け!$A:$AZ,197,$B$3))</f>
        <v/>
      </c>
      <c r="C198" s="9">
        <f>IF($C$3="","",INDEX(Forms貼り付け!$A:$AZ,197,$C$3))</f>
        <v/>
      </c>
      <c r="D198" s="8">
        <f>IF($D$3="","",INDEX(Forms貼り付け!$A:$AZ,197,$D$3))</f>
        <v/>
      </c>
      <c r="E198" s="8">
        <f>IF($E$3="","",INDEX(Forms貼り付け!$A:$AZ,197,$E$3))</f>
        <v/>
      </c>
      <c r="F198" s="8">
        <f>IF(F$3="","",IFERROR(LEFT(TRIM(INDEX(Forms貼り付け!$A:$AZ,197,F$3)),1),""))</f>
        <v/>
      </c>
      <c r="G198" s="8">
        <f>IF(G$3="","",IFERROR(LEFT(TRIM(INDEX(Forms貼り付け!$A:$AZ,197,G$3)),1),""))</f>
        <v/>
      </c>
      <c r="H198" s="8">
        <f>IF(H$3="","",IFERROR(LEFT(TRIM(INDEX(Forms貼り付け!$A:$AZ,197,H$3)),1),""))</f>
        <v/>
      </c>
      <c r="I198" s="8">
        <f>IF(I$3="","",IFERROR(LEFT(TRIM(INDEX(Forms貼り付け!$A:$AZ,197,I$3)),1),""))</f>
        <v/>
      </c>
      <c r="J198" s="8">
        <f>IF(J$3="","",IFERROR(LEFT(TRIM(INDEX(Forms貼り付け!$A:$AZ,197,J$3)),1),""))</f>
        <v/>
      </c>
      <c r="K198" s="8">
        <f>IF(K$3="","",IFERROR(LEFT(TRIM(INDEX(Forms貼り付け!$A:$AZ,197,K$3)),1),""))</f>
        <v/>
      </c>
      <c r="L198" s="8">
        <f>IF(L$3="","",IFERROR(LEFT(TRIM(INDEX(Forms貼り付け!$A:$AZ,197,L$3)),1),""))</f>
        <v/>
      </c>
      <c r="M198" s="8">
        <f>IF(M$3="","",IFERROR(LEFT(TRIM(INDEX(Forms貼り付け!$A:$AZ,197,M$3)),1),""))</f>
        <v/>
      </c>
      <c r="N198" s="8">
        <f>IF(N$3="","",IFERROR(LEFT(TRIM(INDEX(Forms貼り付け!$A:$AZ,197,N$3)),1),""))</f>
        <v/>
      </c>
      <c r="O198" s="8">
        <f>IF(O$3="","",IFERROR(LEFT(TRIM(INDEX(Forms貼り付け!$A:$AZ,197,O$3)),1),""))</f>
        <v/>
      </c>
      <c r="P198" s="8">
        <f>IF(P$3="","",IFERROR(LEFT(TRIM(INDEX(Forms貼り付け!$A:$AZ,197,P$3)),1),""))</f>
        <v/>
      </c>
      <c r="Q198" s="8">
        <f>IF(Q$3="","",IFERROR(LEFT(TRIM(INDEX(Forms貼り付け!$A:$AZ,197,Q$3)),1),""))</f>
        <v/>
      </c>
      <c r="R198" s="8">
        <f>IF(R$3="","",IFERROR(LEFT(TRIM(INDEX(Forms貼り付け!$A:$AZ,197,R$3)),1),""))</f>
        <v/>
      </c>
      <c r="S198" s="8">
        <f>IF(S$3="","",IFERROR(LEFT(TRIM(INDEX(Forms貼り付け!$A:$AZ,197,S$3)),1),""))</f>
        <v/>
      </c>
      <c r="T198" s="8">
        <f>IF(T$3="","",IFERROR(LEFT(TRIM(INDEX(Forms貼り付け!$A:$AZ,197,T$3)),1),""))</f>
        <v/>
      </c>
      <c r="U198" s="8">
        <f>IF(U$3="","",IFERROR(LEFT(TRIM(INDEX(Forms貼り付け!$A:$AZ,197,U$3)),1),""))</f>
        <v/>
      </c>
      <c r="V198" s="8">
        <f>IF(V$3="","",IFERROR(LEFT(TRIM(INDEX(Forms貼り付け!$A:$AZ,197,V$3)),1),""))</f>
        <v/>
      </c>
      <c r="W198" s="8">
        <f>IF(W$3="","",IFERROR(LEFT(TRIM(INDEX(Forms貼り付け!$A:$AZ,197,W$3)),1),""))</f>
        <v/>
      </c>
      <c r="X198" s="8">
        <f>IF(X$3="","",IFERROR(LEFT(TRIM(INDEX(Forms貼り付け!$A:$AZ,197,X$3)),1),""))</f>
        <v/>
      </c>
      <c r="Y198" s="8">
        <f>IF(Y$3="","",IFERROR(LEFT(TRIM(INDEX(Forms貼り付け!$A:$AZ,197,Y$3)),1),""))</f>
        <v/>
      </c>
      <c r="Z198" s="8">
        <f>IF(Z$3="","",IFERROR(LEFT(TRIM(INDEX(Forms貼り付け!$A:$AZ,197,Z$3)),1),""))</f>
        <v/>
      </c>
      <c r="AA198" s="8">
        <f>IF(AA$3="","",IFERROR(LEFT(TRIM(INDEX(Forms貼り付け!$A:$AZ,197,AA$3)),1),""))</f>
        <v/>
      </c>
      <c r="AB198" s="8">
        <f>IF(AB$3="","",IFERROR(LEFT(TRIM(INDEX(Forms貼り付け!$A:$AZ,197,AB$3)),1),""))</f>
        <v/>
      </c>
      <c r="AC198" s="8">
        <f>IF(AC$3="","",IFERROR(LEFT(TRIM(INDEX(Forms貼り付け!$A:$AZ,197,AC$3)),1),""))</f>
        <v/>
      </c>
      <c r="AD198" s="8">
        <f>IF(AD$3="","",IFERROR(LEFT(TRIM(INDEX(Forms貼り付け!$A:$AZ,197,AD$3)),1),""))</f>
        <v/>
      </c>
      <c r="AE198" s="8">
        <f>IF(AE$3="","",IFERROR(LEFT(TRIM(INDEX(Forms貼り付け!$A:$AZ,197,AE$3)),1),""))</f>
        <v/>
      </c>
      <c r="AF198" s="8">
        <f>IF(AF$3="","",IFERROR(LEFT(TRIM(INDEX(Forms貼り付け!$A:$AZ,197,AF$3)),1),""))</f>
        <v/>
      </c>
      <c r="AG198" s="8">
        <f>IF(AG$3="","",IFERROR(LEFT(TRIM(INDEX(Forms貼り付け!$A:$AZ,197,AG$3)),1),""))</f>
        <v/>
      </c>
      <c r="AH198" s="8">
        <f>IF(AH$3="","",IFERROR(LEFT(TRIM(INDEX(Forms貼り付け!$A:$AZ,197,AH$3)),1),""))</f>
        <v/>
      </c>
      <c r="AI198" s="8">
        <f>IF(AI$3="","",IFERROR(LEFT(TRIM(INDEX(Forms貼り付け!$A:$AZ,197,AI$3)),1),""))</f>
        <v/>
      </c>
      <c r="AJ198" s="8">
        <f>IF(AJ$3="","",IFERROR(LEFT(TRIM(INDEX(Forms貼り付け!$A:$AZ,197,AJ$3)),1),""))</f>
        <v/>
      </c>
      <c r="AK198" s="8">
        <f>IF(AK$3="","",IFERROR(LEFT(TRIM(INDEX(Forms貼り付け!$A:$AZ,197,AK$3)),1),""))</f>
        <v/>
      </c>
      <c r="AL198" s="8">
        <f>IF(AL$3="","",IFERROR(LEFT(TRIM(INDEX(Forms貼り付け!$A:$AZ,197,AL$3)),1),""))</f>
        <v/>
      </c>
      <c r="AM198" s="8">
        <f>IF(AM$3="","",IFERROR(LEFT(TRIM(INDEX(Forms貼り付け!$A:$AZ,197,AM$3)),1),""))</f>
        <v/>
      </c>
      <c r="AN198" s="8">
        <f>IF(AN$3="","",IFERROR(LEFT(TRIM(INDEX(Forms貼り付け!$A:$AZ,197,AN$3)),1),""))</f>
        <v/>
      </c>
      <c r="AO198" s="8">
        <f>IF(AO$3="","",IFERROR(LEFT(TRIM(INDEX(Forms貼り付け!$A:$AZ,197,AO$3)),1),""))</f>
        <v/>
      </c>
      <c r="AP198" s="8">
        <f>IF(AP$3="","",IFERROR(LEFT(TRIM(INDEX(Forms貼り付け!$A:$AZ,197,AP$3)),1),""))</f>
        <v/>
      </c>
      <c r="AQ198" s="8">
        <f>IF(AQ$3="","",IFERROR(LEFT(TRIM(INDEX(Forms貼り付け!$A:$AZ,197,AQ$3)),1),""))</f>
        <v/>
      </c>
      <c r="AR198" s="8">
        <f>IF(AR$3="","",IFERROR(LEFT(TRIM(INDEX(Forms貼り付け!$A:$AZ,197,AR$3)),1),""))</f>
        <v/>
      </c>
      <c r="AS198" s="8">
        <f>IF(AS$3="","",IFERROR(LEFT(TRIM(INDEX(Forms貼り付け!$A:$AZ,197,AS$3)),1),""))</f>
        <v/>
      </c>
      <c r="AT198" s="8">
        <f>IF(AT$3="","",IFERROR(LEFT(TRIM(INDEX(Forms貼り付け!$A:$AZ,197,AT$3)),1),""))</f>
        <v/>
      </c>
      <c r="AU198" s="8">
        <f>IF(AU$3="","",IFERROR(LEFT(TRIM(INDEX(Forms貼り付け!$A:$AZ,197,AU$3)),1),""))</f>
        <v/>
      </c>
      <c r="AV198" s="8">
        <f>IF(AV$3="","",IFERROR(LEFT(TRIM(INDEX(Forms貼り付け!$A:$AZ,197,AV$3)),1),""))</f>
        <v/>
      </c>
      <c r="AW198" s="8">
        <f>IF(AW$3="","",IFERROR(LEFT(TRIM(INDEX(Forms貼り付け!$A:$AZ,197,AW$3)),1),""))</f>
        <v/>
      </c>
      <c r="AX198" s="8">
        <f>IF(AX$3="","",IFERROR(LEFT(TRIM(INDEX(Forms貼り付け!$A:$AZ,197,AX$3)),1),""))</f>
        <v/>
      </c>
      <c r="AY198" s="8">
        <f>IF(AY$3="","",IFERROR(LEFT(TRIM(INDEX(Forms貼り付け!$A:$AZ,197,AY$3)),1),""))</f>
        <v/>
      </c>
      <c r="AZ198" s="8">
        <f>IF(AZ$3="","",IFERROR(LEFT(TRIM(INDEX(Forms貼り付け!$A:$AZ,197,AZ$3)),1),""))</f>
        <v/>
      </c>
      <c r="BA198" s="8">
        <f>IF(BA$3="","",IFERROR(LEFT(TRIM(INDEX(Forms貼り付け!$A:$AZ,197,BA$3)),1),""))</f>
        <v/>
      </c>
      <c r="BB198" s="8">
        <f>IF(BB$3="","",IFERROR(LEFT(TRIM(INDEX(Forms貼り付け!$A:$AZ,197,BB$3)),1),""))</f>
        <v/>
      </c>
      <c r="BC198" s="8">
        <f>IF(BC$3="","",IFERROR(LEFT(TRIM(INDEX(Forms貼り付け!$A:$AZ,197,BC$3)),1),""))</f>
        <v/>
      </c>
    </row>
    <row r="199">
      <c r="A199" s="8" t="inlineStr">
        <is>
          <t>U195</t>
        </is>
      </c>
      <c r="B199" s="9">
        <f>IF($B$3="","",INDEX(Forms貼り付け!$A:$AZ,198,$B$3))</f>
        <v/>
      </c>
      <c r="C199" s="9">
        <f>IF($C$3="","",INDEX(Forms貼り付け!$A:$AZ,198,$C$3))</f>
        <v/>
      </c>
      <c r="D199" s="8">
        <f>IF($D$3="","",INDEX(Forms貼り付け!$A:$AZ,198,$D$3))</f>
        <v/>
      </c>
      <c r="E199" s="8">
        <f>IF($E$3="","",INDEX(Forms貼り付け!$A:$AZ,198,$E$3))</f>
        <v/>
      </c>
      <c r="F199" s="8">
        <f>IF(F$3="","",IFERROR(LEFT(TRIM(INDEX(Forms貼り付け!$A:$AZ,198,F$3)),1),""))</f>
        <v/>
      </c>
      <c r="G199" s="8">
        <f>IF(G$3="","",IFERROR(LEFT(TRIM(INDEX(Forms貼り付け!$A:$AZ,198,G$3)),1),""))</f>
        <v/>
      </c>
      <c r="H199" s="8">
        <f>IF(H$3="","",IFERROR(LEFT(TRIM(INDEX(Forms貼り付け!$A:$AZ,198,H$3)),1),""))</f>
        <v/>
      </c>
      <c r="I199" s="8">
        <f>IF(I$3="","",IFERROR(LEFT(TRIM(INDEX(Forms貼り付け!$A:$AZ,198,I$3)),1),""))</f>
        <v/>
      </c>
      <c r="J199" s="8">
        <f>IF(J$3="","",IFERROR(LEFT(TRIM(INDEX(Forms貼り付け!$A:$AZ,198,J$3)),1),""))</f>
        <v/>
      </c>
      <c r="K199" s="8">
        <f>IF(K$3="","",IFERROR(LEFT(TRIM(INDEX(Forms貼り付け!$A:$AZ,198,K$3)),1),""))</f>
        <v/>
      </c>
      <c r="L199" s="8">
        <f>IF(L$3="","",IFERROR(LEFT(TRIM(INDEX(Forms貼り付け!$A:$AZ,198,L$3)),1),""))</f>
        <v/>
      </c>
      <c r="M199" s="8">
        <f>IF(M$3="","",IFERROR(LEFT(TRIM(INDEX(Forms貼り付け!$A:$AZ,198,M$3)),1),""))</f>
        <v/>
      </c>
      <c r="N199" s="8">
        <f>IF(N$3="","",IFERROR(LEFT(TRIM(INDEX(Forms貼り付け!$A:$AZ,198,N$3)),1),""))</f>
        <v/>
      </c>
      <c r="O199" s="8">
        <f>IF(O$3="","",IFERROR(LEFT(TRIM(INDEX(Forms貼り付け!$A:$AZ,198,O$3)),1),""))</f>
        <v/>
      </c>
      <c r="P199" s="8">
        <f>IF(P$3="","",IFERROR(LEFT(TRIM(INDEX(Forms貼り付け!$A:$AZ,198,P$3)),1),""))</f>
        <v/>
      </c>
      <c r="Q199" s="8">
        <f>IF(Q$3="","",IFERROR(LEFT(TRIM(INDEX(Forms貼り付け!$A:$AZ,198,Q$3)),1),""))</f>
        <v/>
      </c>
      <c r="R199" s="8">
        <f>IF(R$3="","",IFERROR(LEFT(TRIM(INDEX(Forms貼り付け!$A:$AZ,198,R$3)),1),""))</f>
        <v/>
      </c>
      <c r="S199" s="8">
        <f>IF(S$3="","",IFERROR(LEFT(TRIM(INDEX(Forms貼り付け!$A:$AZ,198,S$3)),1),""))</f>
        <v/>
      </c>
      <c r="T199" s="8">
        <f>IF(T$3="","",IFERROR(LEFT(TRIM(INDEX(Forms貼り付け!$A:$AZ,198,T$3)),1),""))</f>
        <v/>
      </c>
      <c r="U199" s="8">
        <f>IF(U$3="","",IFERROR(LEFT(TRIM(INDEX(Forms貼り付け!$A:$AZ,198,U$3)),1),""))</f>
        <v/>
      </c>
      <c r="V199" s="8">
        <f>IF(V$3="","",IFERROR(LEFT(TRIM(INDEX(Forms貼り付け!$A:$AZ,198,V$3)),1),""))</f>
        <v/>
      </c>
      <c r="W199" s="8">
        <f>IF(W$3="","",IFERROR(LEFT(TRIM(INDEX(Forms貼り付け!$A:$AZ,198,W$3)),1),""))</f>
        <v/>
      </c>
      <c r="X199" s="8">
        <f>IF(X$3="","",IFERROR(LEFT(TRIM(INDEX(Forms貼り付け!$A:$AZ,198,X$3)),1),""))</f>
        <v/>
      </c>
      <c r="Y199" s="8">
        <f>IF(Y$3="","",IFERROR(LEFT(TRIM(INDEX(Forms貼り付け!$A:$AZ,198,Y$3)),1),""))</f>
        <v/>
      </c>
      <c r="Z199" s="8">
        <f>IF(Z$3="","",IFERROR(LEFT(TRIM(INDEX(Forms貼り付け!$A:$AZ,198,Z$3)),1),""))</f>
        <v/>
      </c>
      <c r="AA199" s="8">
        <f>IF(AA$3="","",IFERROR(LEFT(TRIM(INDEX(Forms貼り付け!$A:$AZ,198,AA$3)),1),""))</f>
        <v/>
      </c>
      <c r="AB199" s="8">
        <f>IF(AB$3="","",IFERROR(LEFT(TRIM(INDEX(Forms貼り付け!$A:$AZ,198,AB$3)),1),""))</f>
        <v/>
      </c>
      <c r="AC199" s="8">
        <f>IF(AC$3="","",IFERROR(LEFT(TRIM(INDEX(Forms貼り付け!$A:$AZ,198,AC$3)),1),""))</f>
        <v/>
      </c>
      <c r="AD199" s="8">
        <f>IF(AD$3="","",IFERROR(LEFT(TRIM(INDEX(Forms貼り付け!$A:$AZ,198,AD$3)),1),""))</f>
        <v/>
      </c>
      <c r="AE199" s="8">
        <f>IF(AE$3="","",IFERROR(LEFT(TRIM(INDEX(Forms貼り付け!$A:$AZ,198,AE$3)),1),""))</f>
        <v/>
      </c>
      <c r="AF199" s="8">
        <f>IF(AF$3="","",IFERROR(LEFT(TRIM(INDEX(Forms貼り付け!$A:$AZ,198,AF$3)),1),""))</f>
        <v/>
      </c>
      <c r="AG199" s="8">
        <f>IF(AG$3="","",IFERROR(LEFT(TRIM(INDEX(Forms貼り付け!$A:$AZ,198,AG$3)),1),""))</f>
        <v/>
      </c>
      <c r="AH199" s="8">
        <f>IF(AH$3="","",IFERROR(LEFT(TRIM(INDEX(Forms貼り付け!$A:$AZ,198,AH$3)),1),""))</f>
        <v/>
      </c>
      <c r="AI199" s="8">
        <f>IF(AI$3="","",IFERROR(LEFT(TRIM(INDEX(Forms貼り付け!$A:$AZ,198,AI$3)),1),""))</f>
        <v/>
      </c>
      <c r="AJ199" s="8">
        <f>IF(AJ$3="","",IFERROR(LEFT(TRIM(INDEX(Forms貼り付け!$A:$AZ,198,AJ$3)),1),""))</f>
        <v/>
      </c>
      <c r="AK199" s="8">
        <f>IF(AK$3="","",IFERROR(LEFT(TRIM(INDEX(Forms貼り付け!$A:$AZ,198,AK$3)),1),""))</f>
        <v/>
      </c>
      <c r="AL199" s="8">
        <f>IF(AL$3="","",IFERROR(LEFT(TRIM(INDEX(Forms貼り付け!$A:$AZ,198,AL$3)),1),""))</f>
        <v/>
      </c>
      <c r="AM199" s="8">
        <f>IF(AM$3="","",IFERROR(LEFT(TRIM(INDEX(Forms貼り付け!$A:$AZ,198,AM$3)),1),""))</f>
        <v/>
      </c>
      <c r="AN199" s="8">
        <f>IF(AN$3="","",IFERROR(LEFT(TRIM(INDEX(Forms貼り付け!$A:$AZ,198,AN$3)),1),""))</f>
        <v/>
      </c>
      <c r="AO199" s="8">
        <f>IF(AO$3="","",IFERROR(LEFT(TRIM(INDEX(Forms貼り付け!$A:$AZ,198,AO$3)),1),""))</f>
        <v/>
      </c>
      <c r="AP199" s="8">
        <f>IF(AP$3="","",IFERROR(LEFT(TRIM(INDEX(Forms貼り付け!$A:$AZ,198,AP$3)),1),""))</f>
        <v/>
      </c>
      <c r="AQ199" s="8">
        <f>IF(AQ$3="","",IFERROR(LEFT(TRIM(INDEX(Forms貼り付け!$A:$AZ,198,AQ$3)),1),""))</f>
        <v/>
      </c>
      <c r="AR199" s="8">
        <f>IF(AR$3="","",IFERROR(LEFT(TRIM(INDEX(Forms貼り付け!$A:$AZ,198,AR$3)),1),""))</f>
        <v/>
      </c>
      <c r="AS199" s="8">
        <f>IF(AS$3="","",IFERROR(LEFT(TRIM(INDEX(Forms貼り付け!$A:$AZ,198,AS$3)),1),""))</f>
        <v/>
      </c>
      <c r="AT199" s="8">
        <f>IF(AT$3="","",IFERROR(LEFT(TRIM(INDEX(Forms貼り付け!$A:$AZ,198,AT$3)),1),""))</f>
        <v/>
      </c>
      <c r="AU199" s="8">
        <f>IF(AU$3="","",IFERROR(LEFT(TRIM(INDEX(Forms貼り付け!$A:$AZ,198,AU$3)),1),""))</f>
        <v/>
      </c>
      <c r="AV199" s="8">
        <f>IF(AV$3="","",IFERROR(LEFT(TRIM(INDEX(Forms貼り付け!$A:$AZ,198,AV$3)),1),""))</f>
        <v/>
      </c>
      <c r="AW199" s="8">
        <f>IF(AW$3="","",IFERROR(LEFT(TRIM(INDEX(Forms貼り付け!$A:$AZ,198,AW$3)),1),""))</f>
        <v/>
      </c>
      <c r="AX199" s="8">
        <f>IF(AX$3="","",IFERROR(LEFT(TRIM(INDEX(Forms貼り付け!$A:$AZ,198,AX$3)),1),""))</f>
        <v/>
      </c>
      <c r="AY199" s="8">
        <f>IF(AY$3="","",IFERROR(LEFT(TRIM(INDEX(Forms貼り付け!$A:$AZ,198,AY$3)),1),""))</f>
        <v/>
      </c>
      <c r="AZ199" s="8">
        <f>IF(AZ$3="","",IFERROR(LEFT(TRIM(INDEX(Forms貼り付け!$A:$AZ,198,AZ$3)),1),""))</f>
        <v/>
      </c>
      <c r="BA199" s="8">
        <f>IF(BA$3="","",IFERROR(LEFT(TRIM(INDEX(Forms貼り付け!$A:$AZ,198,BA$3)),1),""))</f>
        <v/>
      </c>
      <c r="BB199" s="8">
        <f>IF(BB$3="","",IFERROR(LEFT(TRIM(INDEX(Forms貼り付け!$A:$AZ,198,BB$3)),1),""))</f>
        <v/>
      </c>
      <c r="BC199" s="8">
        <f>IF(BC$3="","",IFERROR(LEFT(TRIM(INDEX(Forms貼り付け!$A:$AZ,198,BC$3)),1),""))</f>
        <v/>
      </c>
    </row>
    <row r="200">
      <c r="A200" s="8" t="inlineStr">
        <is>
          <t>U196</t>
        </is>
      </c>
      <c r="B200" s="9">
        <f>IF($B$3="","",INDEX(Forms貼り付け!$A:$AZ,199,$B$3))</f>
        <v/>
      </c>
      <c r="C200" s="9">
        <f>IF($C$3="","",INDEX(Forms貼り付け!$A:$AZ,199,$C$3))</f>
        <v/>
      </c>
      <c r="D200" s="8">
        <f>IF($D$3="","",INDEX(Forms貼り付け!$A:$AZ,199,$D$3))</f>
        <v/>
      </c>
      <c r="E200" s="8">
        <f>IF($E$3="","",INDEX(Forms貼り付け!$A:$AZ,199,$E$3))</f>
        <v/>
      </c>
      <c r="F200" s="8">
        <f>IF(F$3="","",IFERROR(LEFT(TRIM(INDEX(Forms貼り付け!$A:$AZ,199,F$3)),1),""))</f>
        <v/>
      </c>
      <c r="G200" s="8">
        <f>IF(G$3="","",IFERROR(LEFT(TRIM(INDEX(Forms貼り付け!$A:$AZ,199,G$3)),1),""))</f>
        <v/>
      </c>
      <c r="H200" s="8">
        <f>IF(H$3="","",IFERROR(LEFT(TRIM(INDEX(Forms貼り付け!$A:$AZ,199,H$3)),1),""))</f>
        <v/>
      </c>
      <c r="I200" s="8">
        <f>IF(I$3="","",IFERROR(LEFT(TRIM(INDEX(Forms貼り付け!$A:$AZ,199,I$3)),1),""))</f>
        <v/>
      </c>
      <c r="J200" s="8">
        <f>IF(J$3="","",IFERROR(LEFT(TRIM(INDEX(Forms貼り付け!$A:$AZ,199,J$3)),1),""))</f>
        <v/>
      </c>
      <c r="K200" s="8">
        <f>IF(K$3="","",IFERROR(LEFT(TRIM(INDEX(Forms貼り付け!$A:$AZ,199,K$3)),1),""))</f>
        <v/>
      </c>
      <c r="L200" s="8">
        <f>IF(L$3="","",IFERROR(LEFT(TRIM(INDEX(Forms貼り付け!$A:$AZ,199,L$3)),1),""))</f>
        <v/>
      </c>
      <c r="M200" s="8">
        <f>IF(M$3="","",IFERROR(LEFT(TRIM(INDEX(Forms貼り付け!$A:$AZ,199,M$3)),1),""))</f>
        <v/>
      </c>
      <c r="N200" s="8">
        <f>IF(N$3="","",IFERROR(LEFT(TRIM(INDEX(Forms貼り付け!$A:$AZ,199,N$3)),1),""))</f>
        <v/>
      </c>
      <c r="O200" s="8">
        <f>IF(O$3="","",IFERROR(LEFT(TRIM(INDEX(Forms貼り付け!$A:$AZ,199,O$3)),1),""))</f>
        <v/>
      </c>
      <c r="P200" s="8">
        <f>IF(P$3="","",IFERROR(LEFT(TRIM(INDEX(Forms貼り付け!$A:$AZ,199,P$3)),1),""))</f>
        <v/>
      </c>
      <c r="Q200" s="8">
        <f>IF(Q$3="","",IFERROR(LEFT(TRIM(INDEX(Forms貼り付け!$A:$AZ,199,Q$3)),1),""))</f>
        <v/>
      </c>
      <c r="R200" s="8">
        <f>IF(R$3="","",IFERROR(LEFT(TRIM(INDEX(Forms貼り付け!$A:$AZ,199,R$3)),1),""))</f>
        <v/>
      </c>
      <c r="S200" s="8">
        <f>IF(S$3="","",IFERROR(LEFT(TRIM(INDEX(Forms貼り付け!$A:$AZ,199,S$3)),1),""))</f>
        <v/>
      </c>
      <c r="T200" s="8">
        <f>IF(T$3="","",IFERROR(LEFT(TRIM(INDEX(Forms貼り付け!$A:$AZ,199,T$3)),1),""))</f>
        <v/>
      </c>
      <c r="U200" s="8">
        <f>IF(U$3="","",IFERROR(LEFT(TRIM(INDEX(Forms貼り付け!$A:$AZ,199,U$3)),1),""))</f>
        <v/>
      </c>
      <c r="V200" s="8">
        <f>IF(V$3="","",IFERROR(LEFT(TRIM(INDEX(Forms貼り付け!$A:$AZ,199,V$3)),1),""))</f>
        <v/>
      </c>
      <c r="W200" s="8">
        <f>IF(W$3="","",IFERROR(LEFT(TRIM(INDEX(Forms貼り付け!$A:$AZ,199,W$3)),1),""))</f>
        <v/>
      </c>
      <c r="X200" s="8">
        <f>IF(X$3="","",IFERROR(LEFT(TRIM(INDEX(Forms貼り付け!$A:$AZ,199,X$3)),1),""))</f>
        <v/>
      </c>
      <c r="Y200" s="8">
        <f>IF(Y$3="","",IFERROR(LEFT(TRIM(INDEX(Forms貼り付け!$A:$AZ,199,Y$3)),1),""))</f>
        <v/>
      </c>
      <c r="Z200" s="8">
        <f>IF(Z$3="","",IFERROR(LEFT(TRIM(INDEX(Forms貼り付け!$A:$AZ,199,Z$3)),1),""))</f>
        <v/>
      </c>
      <c r="AA200" s="8">
        <f>IF(AA$3="","",IFERROR(LEFT(TRIM(INDEX(Forms貼り付け!$A:$AZ,199,AA$3)),1),""))</f>
        <v/>
      </c>
      <c r="AB200" s="8">
        <f>IF(AB$3="","",IFERROR(LEFT(TRIM(INDEX(Forms貼り付け!$A:$AZ,199,AB$3)),1),""))</f>
        <v/>
      </c>
      <c r="AC200" s="8">
        <f>IF(AC$3="","",IFERROR(LEFT(TRIM(INDEX(Forms貼り付け!$A:$AZ,199,AC$3)),1),""))</f>
        <v/>
      </c>
      <c r="AD200" s="8">
        <f>IF(AD$3="","",IFERROR(LEFT(TRIM(INDEX(Forms貼り付け!$A:$AZ,199,AD$3)),1),""))</f>
        <v/>
      </c>
      <c r="AE200" s="8">
        <f>IF(AE$3="","",IFERROR(LEFT(TRIM(INDEX(Forms貼り付け!$A:$AZ,199,AE$3)),1),""))</f>
        <v/>
      </c>
      <c r="AF200" s="8">
        <f>IF(AF$3="","",IFERROR(LEFT(TRIM(INDEX(Forms貼り付け!$A:$AZ,199,AF$3)),1),""))</f>
        <v/>
      </c>
      <c r="AG200" s="8">
        <f>IF(AG$3="","",IFERROR(LEFT(TRIM(INDEX(Forms貼り付け!$A:$AZ,199,AG$3)),1),""))</f>
        <v/>
      </c>
      <c r="AH200" s="8">
        <f>IF(AH$3="","",IFERROR(LEFT(TRIM(INDEX(Forms貼り付け!$A:$AZ,199,AH$3)),1),""))</f>
        <v/>
      </c>
      <c r="AI200" s="8">
        <f>IF(AI$3="","",IFERROR(LEFT(TRIM(INDEX(Forms貼り付け!$A:$AZ,199,AI$3)),1),""))</f>
        <v/>
      </c>
      <c r="AJ200" s="8">
        <f>IF(AJ$3="","",IFERROR(LEFT(TRIM(INDEX(Forms貼り付け!$A:$AZ,199,AJ$3)),1),""))</f>
        <v/>
      </c>
      <c r="AK200" s="8">
        <f>IF(AK$3="","",IFERROR(LEFT(TRIM(INDEX(Forms貼り付け!$A:$AZ,199,AK$3)),1),""))</f>
        <v/>
      </c>
      <c r="AL200" s="8">
        <f>IF(AL$3="","",IFERROR(LEFT(TRIM(INDEX(Forms貼り付け!$A:$AZ,199,AL$3)),1),""))</f>
        <v/>
      </c>
      <c r="AM200" s="8">
        <f>IF(AM$3="","",IFERROR(LEFT(TRIM(INDEX(Forms貼り付け!$A:$AZ,199,AM$3)),1),""))</f>
        <v/>
      </c>
      <c r="AN200" s="8">
        <f>IF(AN$3="","",IFERROR(LEFT(TRIM(INDEX(Forms貼り付け!$A:$AZ,199,AN$3)),1),""))</f>
        <v/>
      </c>
      <c r="AO200" s="8">
        <f>IF(AO$3="","",IFERROR(LEFT(TRIM(INDEX(Forms貼り付け!$A:$AZ,199,AO$3)),1),""))</f>
        <v/>
      </c>
      <c r="AP200" s="8">
        <f>IF(AP$3="","",IFERROR(LEFT(TRIM(INDEX(Forms貼り付け!$A:$AZ,199,AP$3)),1),""))</f>
        <v/>
      </c>
      <c r="AQ200" s="8">
        <f>IF(AQ$3="","",IFERROR(LEFT(TRIM(INDEX(Forms貼り付け!$A:$AZ,199,AQ$3)),1),""))</f>
        <v/>
      </c>
      <c r="AR200" s="8">
        <f>IF(AR$3="","",IFERROR(LEFT(TRIM(INDEX(Forms貼り付け!$A:$AZ,199,AR$3)),1),""))</f>
        <v/>
      </c>
      <c r="AS200" s="8">
        <f>IF(AS$3="","",IFERROR(LEFT(TRIM(INDEX(Forms貼り付け!$A:$AZ,199,AS$3)),1),""))</f>
        <v/>
      </c>
      <c r="AT200" s="8">
        <f>IF(AT$3="","",IFERROR(LEFT(TRIM(INDEX(Forms貼り付け!$A:$AZ,199,AT$3)),1),""))</f>
        <v/>
      </c>
      <c r="AU200" s="8">
        <f>IF(AU$3="","",IFERROR(LEFT(TRIM(INDEX(Forms貼り付け!$A:$AZ,199,AU$3)),1),""))</f>
        <v/>
      </c>
      <c r="AV200" s="8">
        <f>IF(AV$3="","",IFERROR(LEFT(TRIM(INDEX(Forms貼り付け!$A:$AZ,199,AV$3)),1),""))</f>
        <v/>
      </c>
      <c r="AW200" s="8">
        <f>IF(AW$3="","",IFERROR(LEFT(TRIM(INDEX(Forms貼り付け!$A:$AZ,199,AW$3)),1),""))</f>
        <v/>
      </c>
      <c r="AX200" s="8">
        <f>IF(AX$3="","",IFERROR(LEFT(TRIM(INDEX(Forms貼り付け!$A:$AZ,199,AX$3)),1),""))</f>
        <v/>
      </c>
      <c r="AY200" s="8">
        <f>IF(AY$3="","",IFERROR(LEFT(TRIM(INDEX(Forms貼り付け!$A:$AZ,199,AY$3)),1),""))</f>
        <v/>
      </c>
      <c r="AZ200" s="8">
        <f>IF(AZ$3="","",IFERROR(LEFT(TRIM(INDEX(Forms貼り付け!$A:$AZ,199,AZ$3)),1),""))</f>
        <v/>
      </c>
      <c r="BA200" s="8">
        <f>IF(BA$3="","",IFERROR(LEFT(TRIM(INDEX(Forms貼り付け!$A:$AZ,199,BA$3)),1),""))</f>
        <v/>
      </c>
      <c r="BB200" s="8">
        <f>IF(BB$3="","",IFERROR(LEFT(TRIM(INDEX(Forms貼り付け!$A:$AZ,199,BB$3)),1),""))</f>
        <v/>
      </c>
      <c r="BC200" s="8">
        <f>IF(BC$3="","",IFERROR(LEFT(TRIM(INDEX(Forms貼り付け!$A:$AZ,199,BC$3)),1),""))</f>
        <v/>
      </c>
    </row>
    <row r="201">
      <c r="A201" s="8" t="inlineStr">
        <is>
          <t>U197</t>
        </is>
      </c>
      <c r="B201" s="9">
        <f>IF($B$3="","",INDEX(Forms貼り付け!$A:$AZ,200,$B$3))</f>
        <v/>
      </c>
      <c r="C201" s="9">
        <f>IF($C$3="","",INDEX(Forms貼り付け!$A:$AZ,200,$C$3))</f>
        <v/>
      </c>
      <c r="D201" s="8">
        <f>IF($D$3="","",INDEX(Forms貼り付け!$A:$AZ,200,$D$3))</f>
        <v/>
      </c>
      <c r="E201" s="8">
        <f>IF($E$3="","",INDEX(Forms貼り付け!$A:$AZ,200,$E$3))</f>
        <v/>
      </c>
      <c r="F201" s="8">
        <f>IF(F$3="","",IFERROR(LEFT(TRIM(INDEX(Forms貼り付け!$A:$AZ,200,F$3)),1),""))</f>
        <v/>
      </c>
      <c r="G201" s="8">
        <f>IF(G$3="","",IFERROR(LEFT(TRIM(INDEX(Forms貼り付け!$A:$AZ,200,G$3)),1),""))</f>
        <v/>
      </c>
      <c r="H201" s="8">
        <f>IF(H$3="","",IFERROR(LEFT(TRIM(INDEX(Forms貼り付け!$A:$AZ,200,H$3)),1),""))</f>
        <v/>
      </c>
      <c r="I201" s="8">
        <f>IF(I$3="","",IFERROR(LEFT(TRIM(INDEX(Forms貼り付け!$A:$AZ,200,I$3)),1),""))</f>
        <v/>
      </c>
      <c r="J201" s="8">
        <f>IF(J$3="","",IFERROR(LEFT(TRIM(INDEX(Forms貼り付け!$A:$AZ,200,J$3)),1),""))</f>
        <v/>
      </c>
      <c r="K201" s="8">
        <f>IF(K$3="","",IFERROR(LEFT(TRIM(INDEX(Forms貼り付け!$A:$AZ,200,K$3)),1),""))</f>
        <v/>
      </c>
      <c r="L201" s="8">
        <f>IF(L$3="","",IFERROR(LEFT(TRIM(INDEX(Forms貼り付け!$A:$AZ,200,L$3)),1),""))</f>
        <v/>
      </c>
      <c r="M201" s="8">
        <f>IF(M$3="","",IFERROR(LEFT(TRIM(INDEX(Forms貼り付け!$A:$AZ,200,M$3)),1),""))</f>
        <v/>
      </c>
      <c r="N201" s="8">
        <f>IF(N$3="","",IFERROR(LEFT(TRIM(INDEX(Forms貼り付け!$A:$AZ,200,N$3)),1),""))</f>
        <v/>
      </c>
      <c r="O201" s="8">
        <f>IF(O$3="","",IFERROR(LEFT(TRIM(INDEX(Forms貼り付け!$A:$AZ,200,O$3)),1),""))</f>
        <v/>
      </c>
      <c r="P201" s="8">
        <f>IF(P$3="","",IFERROR(LEFT(TRIM(INDEX(Forms貼り付け!$A:$AZ,200,P$3)),1),""))</f>
        <v/>
      </c>
      <c r="Q201" s="8">
        <f>IF(Q$3="","",IFERROR(LEFT(TRIM(INDEX(Forms貼り付け!$A:$AZ,200,Q$3)),1),""))</f>
        <v/>
      </c>
      <c r="R201" s="8">
        <f>IF(R$3="","",IFERROR(LEFT(TRIM(INDEX(Forms貼り付け!$A:$AZ,200,R$3)),1),""))</f>
        <v/>
      </c>
      <c r="S201" s="8">
        <f>IF(S$3="","",IFERROR(LEFT(TRIM(INDEX(Forms貼り付け!$A:$AZ,200,S$3)),1),""))</f>
        <v/>
      </c>
      <c r="T201" s="8">
        <f>IF(T$3="","",IFERROR(LEFT(TRIM(INDEX(Forms貼り付け!$A:$AZ,200,T$3)),1),""))</f>
        <v/>
      </c>
      <c r="U201" s="8">
        <f>IF(U$3="","",IFERROR(LEFT(TRIM(INDEX(Forms貼り付け!$A:$AZ,200,U$3)),1),""))</f>
        <v/>
      </c>
      <c r="V201" s="8">
        <f>IF(V$3="","",IFERROR(LEFT(TRIM(INDEX(Forms貼り付け!$A:$AZ,200,V$3)),1),""))</f>
        <v/>
      </c>
      <c r="W201" s="8">
        <f>IF(W$3="","",IFERROR(LEFT(TRIM(INDEX(Forms貼り付け!$A:$AZ,200,W$3)),1),""))</f>
        <v/>
      </c>
      <c r="X201" s="8">
        <f>IF(X$3="","",IFERROR(LEFT(TRIM(INDEX(Forms貼り付け!$A:$AZ,200,X$3)),1),""))</f>
        <v/>
      </c>
      <c r="Y201" s="8">
        <f>IF(Y$3="","",IFERROR(LEFT(TRIM(INDEX(Forms貼り付け!$A:$AZ,200,Y$3)),1),""))</f>
        <v/>
      </c>
      <c r="Z201" s="8">
        <f>IF(Z$3="","",IFERROR(LEFT(TRIM(INDEX(Forms貼り付け!$A:$AZ,200,Z$3)),1),""))</f>
        <v/>
      </c>
      <c r="AA201" s="8">
        <f>IF(AA$3="","",IFERROR(LEFT(TRIM(INDEX(Forms貼り付け!$A:$AZ,200,AA$3)),1),""))</f>
        <v/>
      </c>
      <c r="AB201" s="8">
        <f>IF(AB$3="","",IFERROR(LEFT(TRIM(INDEX(Forms貼り付け!$A:$AZ,200,AB$3)),1),""))</f>
        <v/>
      </c>
      <c r="AC201" s="8">
        <f>IF(AC$3="","",IFERROR(LEFT(TRIM(INDEX(Forms貼り付け!$A:$AZ,200,AC$3)),1),""))</f>
        <v/>
      </c>
      <c r="AD201" s="8">
        <f>IF(AD$3="","",IFERROR(LEFT(TRIM(INDEX(Forms貼り付け!$A:$AZ,200,AD$3)),1),""))</f>
        <v/>
      </c>
      <c r="AE201" s="8">
        <f>IF(AE$3="","",IFERROR(LEFT(TRIM(INDEX(Forms貼り付け!$A:$AZ,200,AE$3)),1),""))</f>
        <v/>
      </c>
      <c r="AF201" s="8">
        <f>IF(AF$3="","",IFERROR(LEFT(TRIM(INDEX(Forms貼り付け!$A:$AZ,200,AF$3)),1),""))</f>
        <v/>
      </c>
      <c r="AG201" s="8">
        <f>IF(AG$3="","",IFERROR(LEFT(TRIM(INDEX(Forms貼り付け!$A:$AZ,200,AG$3)),1),""))</f>
        <v/>
      </c>
      <c r="AH201" s="8">
        <f>IF(AH$3="","",IFERROR(LEFT(TRIM(INDEX(Forms貼り付け!$A:$AZ,200,AH$3)),1),""))</f>
        <v/>
      </c>
      <c r="AI201" s="8">
        <f>IF(AI$3="","",IFERROR(LEFT(TRIM(INDEX(Forms貼り付け!$A:$AZ,200,AI$3)),1),""))</f>
        <v/>
      </c>
      <c r="AJ201" s="8">
        <f>IF(AJ$3="","",IFERROR(LEFT(TRIM(INDEX(Forms貼り付け!$A:$AZ,200,AJ$3)),1),""))</f>
        <v/>
      </c>
      <c r="AK201" s="8">
        <f>IF(AK$3="","",IFERROR(LEFT(TRIM(INDEX(Forms貼り付け!$A:$AZ,200,AK$3)),1),""))</f>
        <v/>
      </c>
      <c r="AL201" s="8">
        <f>IF(AL$3="","",IFERROR(LEFT(TRIM(INDEX(Forms貼り付け!$A:$AZ,200,AL$3)),1),""))</f>
        <v/>
      </c>
      <c r="AM201" s="8">
        <f>IF(AM$3="","",IFERROR(LEFT(TRIM(INDEX(Forms貼り付け!$A:$AZ,200,AM$3)),1),""))</f>
        <v/>
      </c>
      <c r="AN201" s="8">
        <f>IF(AN$3="","",IFERROR(LEFT(TRIM(INDEX(Forms貼り付け!$A:$AZ,200,AN$3)),1),""))</f>
        <v/>
      </c>
      <c r="AO201" s="8">
        <f>IF(AO$3="","",IFERROR(LEFT(TRIM(INDEX(Forms貼り付け!$A:$AZ,200,AO$3)),1),""))</f>
        <v/>
      </c>
      <c r="AP201" s="8">
        <f>IF(AP$3="","",IFERROR(LEFT(TRIM(INDEX(Forms貼り付け!$A:$AZ,200,AP$3)),1),""))</f>
        <v/>
      </c>
      <c r="AQ201" s="8">
        <f>IF(AQ$3="","",IFERROR(LEFT(TRIM(INDEX(Forms貼り付け!$A:$AZ,200,AQ$3)),1),""))</f>
        <v/>
      </c>
      <c r="AR201" s="8">
        <f>IF(AR$3="","",IFERROR(LEFT(TRIM(INDEX(Forms貼り付け!$A:$AZ,200,AR$3)),1),""))</f>
        <v/>
      </c>
      <c r="AS201" s="8">
        <f>IF(AS$3="","",IFERROR(LEFT(TRIM(INDEX(Forms貼り付け!$A:$AZ,200,AS$3)),1),""))</f>
        <v/>
      </c>
      <c r="AT201" s="8">
        <f>IF(AT$3="","",IFERROR(LEFT(TRIM(INDEX(Forms貼り付け!$A:$AZ,200,AT$3)),1),""))</f>
        <v/>
      </c>
      <c r="AU201" s="8">
        <f>IF(AU$3="","",IFERROR(LEFT(TRIM(INDEX(Forms貼り付け!$A:$AZ,200,AU$3)),1),""))</f>
        <v/>
      </c>
      <c r="AV201" s="8">
        <f>IF(AV$3="","",IFERROR(LEFT(TRIM(INDEX(Forms貼り付け!$A:$AZ,200,AV$3)),1),""))</f>
        <v/>
      </c>
      <c r="AW201" s="8">
        <f>IF(AW$3="","",IFERROR(LEFT(TRIM(INDEX(Forms貼り付け!$A:$AZ,200,AW$3)),1),""))</f>
        <v/>
      </c>
      <c r="AX201" s="8">
        <f>IF(AX$3="","",IFERROR(LEFT(TRIM(INDEX(Forms貼り付け!$A:$AZ,200,AX$3)),1),""))</f>
        <v/>
      </c>
      <c r="AY201" s="8">
        <f>IF(AY$3="","",IFERROR(LEFT(TRIM(INDEX(Forms貼り付け!$A:$AZ,200,AY$3)),1),""))</f>
        <v/>
      </c>
      <c r="AZ201" s="8">
        <f>IF(AZ$3="","",IFERROR(LEFT(TRIM(INDEX(Forms貼り付け!$A:$AZ,200,AZ$3)),1),""))</f>
        <v/>
      </c>
      <c r="BA201" s="8">
        <f>IF(BA$3="","",IFERROR(LEFT(TRIM(INDEX(Forms貼り付け!$A:$AZ,200,BA$3)),1),""))</f>
        <v/>
      </c>
      <c r="BB201" s="8">
        <f>IF(BB$3="","",IFERROR(LEFT(TRIM(INDEX(Forms貼り付け!$A:$AZ,200,BB$3)),1),""))</f>
        <v/>
      </c>
      <c r="BC201" s="8">
        <f>IF(BC$3="","",IFERROR(LEFT(TRIM(INDEX(Forms貼り付け!$A:$AZ,200,BC$3)),1),""))</f>
        <v/>
      </c>
    </row>
    <row r="202">
      <c r="A202" s="8" t="inlineStr">
        <is>
          <t>U198</t>
        </is>
      </c>
      <c r="B202" s="9">
        <f>IF($B$3="","",INDEX(Forms貼り付け!$A:$AZ,201,$B$3))</f>
        <v/>
      </c>
      <c r="C202" s="9">
        <f>IF($C$3="","",INDEX(Forms貼り付け!$A:$AZ,201,$C$3))</f>
        <v/>
      </c>
      <c r="D202" s="8">
        <f>IF($D$3="","",INDEX(Forms貼り付け!$A:$AZ,201,$D$3))</f>
        <v/>
      </c>
      <c r="E202" s="8">
        <f>IF($E$3="","",INDEX(Forms貼り付け!$A:$AZ,201,$E$3))</f>
        <v/>
      </c>
      <c r="F202" s="8">
        <f>IF(F$3="","",IFERROR(LEFT(TRIM(INDEX(Forms貼り付け!$A:$AZ,201,F$3)),1),""))</f>
        <v/>
      </c>
      <c r="G202" s="8">
        <f>IF(G$3="","",IFERROR(LEFT(TRIM(INDEX(Forms貼り付け!$A:$AZ,201,G$3)),1),""))</f>
        <v/>
      </c>
      <c r="H202" s="8">
        <f>IF(H$3="","",IFERROR(LEFT(TRIM(INDEX(Forms貼り付け!$A:$AZ,201,H$3)),1),""))</f>
        <v/>
      </c>
      <c r="I202" s="8">
        <f>IF(I$3="","",IFERROR(LEFT(TRIM(INDEX(Forms貼り付け!$A:$AZ,201,I$3)),1),""))</f>
        <v/>
      </c>
      <c r="J202" s="8">
        <f>IF(J$3="","",IFERROR(LEFT(TRIM(INDEX(Forms貼り付け!$A:$AZ,201,J$3)),1),""))</f>
        <v/>
      </c>
      <c r="K202" s="8">
        <f>IF(K$3="","",IFERROR(LEFT(TRIM(INDEX(Forms貼り付け!$A:$AZ,201,K$3)),1),""))</f>
        <v/>
      </c>
      <c r="L202" s="8">
        <f>IF(L$3="","",IFERROR(LEFT(TRIM(INDEX(Forms貼り付け!$A:$AZ,201,L$3)),1),""))</f>
        <v/>
      </c>
      <c r="M202" s="8">
        <f>IF(M$3="","",IFERROR(LEFT(TRIM(INDEX(Forms貼り付け!$A:$AZ,201,M$3)),1),""))</f>
        <v/>
      </c>
      <c r="N202" s="8">
        <f>IF(N$3="","",IFERROR(LEFT(TRIM(INDEX(Forms貼り付け!$A:$AZ,201,N$3)),1),""))</f>
        <v/>
      </c>
      <c r="O202" s="8">
        <f>IF(O$3="","",IFERROR(LEFT(TRIM(INDEX(Forms貼り付け!$A:$AZ,201,O$3)),1),""))</f>
        <v/>
      </c>
      <c r="P202" s="8">
        <f>IF(P$3="","",IFERROR(LEFT(TRIM(INDEX(Forms貼り付け!$A:$AZ,201,P$3)),1),""))</f>
        <v/>
      </c>
      <c r="Q202" s="8">
        <f>IF(Q$3="","",IFERROR(LEFT(TRIM(INDEX(Forms貼り付け!$A:$AZ,201,Q$3)),1),""))</f>
        <v/>
      </c>
      <c r="R202" s="8">
        <f>IF(R$3="","",IFERROR(LEFT(TRIM(INDEX(Forms貼り付け!$A:$AZ,201,R$3)),1),""))</f>
        <v/>
      </c>
      <c r="S202" s="8">
        <f>IF(S$3="","",IFERROR(LEFT(TRIM(INDEX(Forms貼り付け!$A:$AZ,201,S$3)),1),""))</f>
        <v/>
      </c>
      <c r="T202" s="8">
        <f>IF(T$3="","",IFERROR(LEFT(TRIM(INDEX(Forms貼り付け!$A:$AZ,201,T$3)),1),""))</f>
        <v/>
      </c>
      <c r="U202" s="8">
        <f>IF(U$3="","",IFERROR(LEFT(TRIM(INDEX(Forms貼り付け!$A:$AZ,201,U$3)),1),""))</f>
        <v/>
      </c>
      <c r="V202" s="8">
        <f>IF(V$3="","",IFERROR(LEFT(TRIM(INDEX(Forms貼り付け!$A:$AZ,201,V$3)),1),""))</f>
        <v/>
      </c>
      <c r="W202" s="8">
        <f>IF(W$3="","",IFERROR(LEFT(TRIM(INDEX(Forms貼り付け!$A:$AZ,201,W$3)),1),""))</f>
        <v/>
      </c>
      <c r="X202" s="8">
        <f>IF(X$3="","",IFERROR(LEFT(TRIM(INDEX(Forms貼り付け!$A:$AZ,201,X$3)),1),""))</f>
        <v/>
      </c>
      <c r="Y202" s="8">
        <f>IF(Y$3="","",IFERROR(LEFT(TRIM(INDEX(Forms貼り付け!$A:$AZ,201,Y$3)),1),""))</f>
        <v/>
      </c>
      <c r="Z202" s="8">
        <f>IF(Z$3="","",IFERROR(LEFT(TRIM(INDEX(Forms貼り付け!$A:$AZ,201,Z$3)),1),""))</f>
        <v/>
      </c>
      <c r="AA202" s="8">
        <f>IF(AA$3="","",IFERROR(LEFT(TRIM(INDEX(Forms貼り付け!$A:$AZ,201,AA$3)),1),""))</f>
        <v/>
      </c>
      <c r="AB202" s="8">
        <f>IF(AB$3="","",IFERROR(LEFT(TRIM(INDEX(Forms貼り付け!$A:$AZ,201,AB$3)),1),""))</f>
        <v/>
      </c>
      <c r="AC202" s="8">
        <f>IF(AC$3="","",IFERROR(LEFT(TRIM(INDEX(Forms貼り付け!$A:$AZ,201,AC$3)),1),""))</f>
        <v/>
      </c>
      <c r="AD202" s="8">
        <f>IF(AD$3="","",IFERROR(LEFT(TRIM(INDEX(Forms貼り付け!$A:$AZ,201,AD$3)),1),""))</f>
        <v/>
      </c>
      <c r="AE202" s="8">
        <f>IF(AE$3="","",IFERROR(LEFT(TRIM(INDEX(Forms貼り付け!$A:$AZ,201,AE$3)),1),""))</f>
        <v/>
      </c>
      <c r="AF202" s="8">
        <f>IF(AF$3="","",IFERROR(LEFT(TRIM(INDEX(Forms貼り付け!$A:$AZ,201,AF$3)),1),""))</f>
        <v/>
      </c>
      <c r="AG202" s="8">
        <f>IF(AG$3="","",IFERROR(LEFT(TRIM(INDEX(Forms貼り付け!$A:$AZ,201,AG$3)),1),""))</f>
        <v/>
      </c>
      <c r="AH202" s="8">
        <f>IF(AH$3="","",IFERROR(LEFT(TRIM(INDEX(Forms貼り付け!$A:$AZ,201,AH$3)),1),""))</f>
        <v/>
      </c>
      <c r="AI202" s="8">
        <f>IF(AI$3="","",IFERROR(LEFT(TRIM(INDEX(Forms貼り付け!$A:$AZ,201,AI$3)),1),""))</f>
        <v/>
      </c>
      <c r="AJ202" s="8">
        <f>IF(AJ$3="","",IFERROR(LEFT(TRIM(INDEX(Forms貼り付け!$A:$AZ,201,AJ$3)),1),""))</f>
        <v/>
      </c>
      <c r="AK202" s="8">
        <f>IF(AK$3="","",IFERROR(LEFT(TRIM(INDEX(Forms貼り付け!$A:$AZ,201,AK$3)),1),""))</f>
        <v/>
      </c>
      <c r="AL202" s="8">
        <f>IF(AL$3="","",IFERROR(LEFT(TRIM(INDEX(Forms貼り付け!$A:$AZ,201,AL$3)),1),""))</f>
        <v/>
      </c>
      <c r="AM202" s="8">
        <f>IF(AM$3="","",IFERROR(LEFT(TRIM(INDEX(Forms貼り付け!$A:$AZ,201,AM$3)),1),""))</f>
        <v/>
      </c>
      <c r="AN202" s="8">
        <f>IF(AN$3="","",IFERROR(LEFT(TRIM(INDEX(Forms貼り付け!$A:$AZ,201,AN$3)),1),""))</f>
        <v/>
      </c>
      <c r="AO202" s="8">
        <f>IF(AO$3="","",IFERROR(LEFT(TRIM(INDEX(Forms貼り付け!$A:$AZ,201,AO$3)),1),""))</f>
        <v/>
      </c>
      <c r="AP202" s="8">
        <f>IF(AP$3="","",IFERROR(LEFT(TRIM(INDEX(Forms貼り付け!$A:$AZ,201,AP$3)),1),""))</f>
        <v/>
      </c>
      <c r="AQ202" s="8">
        <f>IF(AQ$3="","",IFERROR(LEFT(TRIM(INDEX(Forms貼り付け!$A:$AZ,201,AQ$3)),1),""))</f>
        <v/>
      </c>
      <c r="AR202" s="8">
        <f>IF(AR$3="","",IFERROR(LEFT(TRIM(INDEX(Forms貼り付け!$A:$AZ,201,AR$3)),1),""))</f>
        <v/>
      </c>
      <c r="AS202" s="8">
        <f>IF(AS$3="","",IFERROR(LEFT(TRIM(INDEX(Forms貼り付け!$A:$AZ,201,AS$3)),1),""))</f>
        <v/>
      </c>
      <c r="AT202" s="8">
        <f>IF(AT$3="","",IFERROR(LEFT(TRIM(INDEX(Forms貼り付け!$A:$AZ,201,AT$3)),1),""))</f>
        <v/>
      </c>
      <c r="AU202" s="8">
        <f>IF(AU$3="","",IFERROR(LEFT(TRIM(INDEX(Forms貼り付け!$A:$AZ,201,AU$3)),1),""))</f>
        <v/>
      </c>
      <c r="AV202" s="8">
        <f>IF(AV$3="","",IFERROR(LEFT(TRIM(INDEX(Forms貼り付け!$A:$AZ,201,AV$3)),1),""))</f>
        <v/>
      </c>
      <c r="AW202" s="8">
        <f>IF(AW$3="","",IFERROR(LEFT(TRIM(INDEX(Forms貼り付け!$A:$AZ,201,AW$3)),1),""))</f>
        <v/>
      </c>
      <c r="AX202" s="8">
        <f>IF(AX$3="","",IFERROR(LEFT(TRIM(INDEX(Forms貼り付け!$A:$AZ,201,AX$3)),1),""))</f>
        <v/>
      </c>
      <c r="AY202" s="8">
        <f>IF(AY$3="","",IFERROR(LEFT(TRIM(INDEX(Forms貼り付け!$A:$AZ,201,AY$3)),1),""))</f>
        <v/>
      </c>
      <c r="AZ202" s="8">
        <f>IF(AZ$3="","",IFERROR(LEFT(TRIM(INDEX(Forms貼り付け!$A:$AZ,201,AZ$3)),1),""))</f>
        <v/>
      </c>
      <c r="BA202" s="8">
        <f>IF(BA$3="","",IFERROR(LEFT(TRIM(INDEX(Forms貼り付け!$A:$AZ,201,BA$3)),1),""))</f>
        <v/>
      </c>
      <c r="BB202" s="8">
        <f>IF(BB$3="","",IFERROR(LEFT(TRIM(INDEX(Forms貼り付け!$A:$AZ,201,BB$3)),1),""))</f>
        <v/>
      </c>
      <c r="BC202" s="8">
        <f>IF(BC$3="","",IFERROR(LEFT(TRIM(INDEX(Forms貼り付け!$A:$AZ,201,BC$3)),1),""))</f>
        <v/>
      </c>
    </row>
    <row r="203">
      <c r="A203" s="8" t="inlineStr">
        <is>
          <t>U199</t>
        </is>
      </c>
      <c r="B203" s="9">
        <f>IF($B$3="","",INDEX(Forms貼り付け!$A:$AZ,202,$B$3))</f>
        <v/>
      </c>
      <c r="C203" s="9">
        <f>IF($C$3="","",INDEX(Forms貼り付け!$A:$AZ,202,$C$3))</f>
        <v/>
      </c>
      <c r="D203" s="8">
        <f>IF($D$3="","",INDEX(Forms貼り付け!$A:$AZ,202,$D$3))</f>
        <v/>
      </c>
      <c r="E203" s="8">
        <f>IF($E$3="","",INDEX(Forms貼り付け!$A:$AZ,202,$E$3))</f>
        <v/>
      </c>
      <c r="F203" s="8">
        <f>IF(F$3="","",IFERROR(LEFT(TRIM(INDEX(Forms貼り付け!$A:$AZ,202,F$3)),1),""))</f>
        <v/>
      </c>
      <c r="G203" s="8">
        <f>IF(G$3="","",IFERROR(LEFT(TRIM(INDEX(Forms貼り付け!$A:$AZ,202,G$3)),1),""))</f>
        <v/>
      </c>
      <c r="H203" s="8">
        <f>IF(H$3="","",IFERROR(LEFT(TRIM(INDEX(Forms貼り付け!$A:$AZ,202,H$3)),1),""))</f>
        <v/>
      </c>
      <c r="I203" s="8">
        <f>IF(I$3="","",IFERROR(LEFT(TRIM(INDEX(Forms貼り付け!$A:$AZ,202,I$3)),1),""))</f>
        <v/>
      </c>
      <c r="J203" s="8">
        <f>IF(J$3="","",IFERROR(LEFT(TRIM(INDEX(Forms貼り付け!$A:$AZ,202,J$3)),1),""))</f>
        <v/>
      </c>
      <c r="K203" s="8">
        <f>IF(K$3="","",IFERROR(LEFT(TRIM(INDEX(Forms貼り付け!$A:$AZ,202,K$3)),1),""))</f>
        <v/>
      </c>
      <c r="L203" s="8">
        <f>IF(L$3="","",IFERROR(LEFT(TRIM(INDEX(Forms貼り付け!$A:$AZ,202,L$3)),1),""))</f>
        <v/>
      </c>
      <c r="M203" s="8">
        <f>IF(M$3="","",IFERROR(LEFT(TRIM(INDEX(Forms貼り付け!$A:$AZ,202,M$3)),1),""))</f>
        <v/>
      </c>
      <c r="N203" s="8">
        <f>IF(N$3="","",IFERROR(LEFT(TRIM(INDEX(Forms貼り付け!$A:$AZ,202,N$3)),1),""))</f>
        <v/>
      </c>
      <c r="O203" s="8">
        <f>IF(O$3="","",IFERROR(LEFT(TRIM(INDEX(Forms貼り付け!$A:$AZ,202,O$3)),1),""))</f>
        <v/>
      </c>
      <c r="P203" s="8">
        <f>IF(P$3="","",IFERROR(LEFT(TRIM(INDEX(Forms貼り付け!$A:$AZ,202,P$3)),1),""))</f>
        <v/>
      </c>
      <c r="Q203" s="8">
        <f>IF(Q$3="","",IFERROR(LEFT(TRIM(INDEX(Forms貼り付け!$A:$AZ,202,Q$3)),1),""))</f>
        <v/>
      </c>
      <c r="R203" s="8">
        <f>IF(R$3="","",IFERROR(LEFT(TRIM(INDEX(Forms貼り付け!$A:$AZ,202,R$3)),1),""))</f>
        <v/>
      </c>
      <c r="S203" s="8">
        <f>IF(S$3="","",IFERROR(LEFT(TRIM(INDEX(Forms貼り付け!$A:$AZ,202,S$3)),1),""))</f>
        <v/>
      </c>
      <c r="T203" s="8">
        <f>IF(T$3="","",IFERROR(LEFT(TRIM(INDEX(Forms貼り付け!$A:$AZ,202,T$3)),1),""))</f>
        <v/>
      </c>
      <c r="U203" s="8">
        <f>IF(U$3="","",IFERROR(LEFT(TRIM(INDEX(Forms貼り付け!$A:$AZ,202,U$3)),1),""))</f>
        <v/>
      </c>
      <c r="V203" s="8">
        <f>IF(V$3="","",IFERROR(LEFT(TRIM(INDEX(Forms貼り付け!$A:$AZ,202,V$3)),1),""))</f>
        <v/>
      </c>
      <c r="W203" s="8">
        <f>IF(W$3="","",IFERROR(LEFT(TRIM(INDEX(Forms貼り付け!$A:$AZ,202,W$3)),1),""))</f>
        <v/>
      </c>
      <c r="X203" s="8">
        <f>IF(X$3="","",IFERROR(LEFT(TRIM(INDEX(Forms貼り付け!$A:$AZ,202,X$3)),1),""))</f>
        <v/>
      </c>
      <c r="Y203" s="8">
        <f>IF(Y$3="","",IFERROR(LEFT(TRIM(INDEX(Forms貼り付け!$A:$AZ,202,Y$3)),1),""))</f>
        <v/>
      </c>
      <c r="Z203" s="8">
        <f>IF(Z$3="","",IFERROR(LEFT(TRIM(INDEX(Forms貼り付け!$A:$AZ,202,Z$3)),1),""))</f>
        <v/>
      </c>
      <c r="AA203" s="8">
        <f>IF(AA$3="","",IFERROR(LEFT(TRIM(INDEX(Forms貼り付け!$A:$AZ,202,AA$3)),1),""))</f>
        <v/>
      </c>
      <c r="AB203" s="8">
        <f>IF(AB$3="","",IFERROR(LEFT(TRIM(INDEX(Forms貼り付け!$A:$AZ,202,AB$3)),1),""))</f>
        <v/>
      </c>
      <c r="AC203" s="8">
        <f>IF(AC$3="","",IFERROR(LEFT(TRIM(INDEX(Forms貼り付け!$A:$AZ,202,AC$3)),1),""))</f>
        <v/>
      </c>
      <c r="AD203" s="8">
        <f>IF(AD$3="","",IFERROR(LEFT(TRIM(INDEX(Forms貼り付け!$A:$AZ,202,AD$3)),1),""))</f>
        <v/>
      </c>
      <c r="AE203" s="8">
        <f>IF(AE$3="","",IFERROR(LEFT(TRIM(INDEX(Forms貼り付け!$A:$AZ,202,AE$3)),1),""))</f>
        <v/>
      </c>
      <c r="AF203" s="8">
        <f>IF(AF$3="","",IFERROR(LEFT(TRIM(INDEX(Forms貼り付け!$A:$AZ,202,AF$3)),1),""))</f>
        <v/>
      </c>
      <c r="AG203" s="8">
        <f>IF(AG$3="","",IFERROR(LEFT(TRIM(INDEX(Forms貼り付け!$A:$AZ,202,AG$3)),1),""))</f>
        <v/>
      </c>
      <c r="AH203" s="8">
        <f>IF(AH$3="","",IFERROR(LEFT(TRIM(INDEX(Forms貼り付け!$A:$AZ,202,AH$3)),1),""))</f>
        <v/>
      </c>
      <c r="AI203" s="8">
        <f>IF(AI$3="","",IFERROR(LEFT(TRIM(INDEX(Forms貼り付け!$A:$AZ,202,AI$3)),1),""))</f>
        <v/>
      </c>
      <c r="AJ203" s="8">
        <f>IF(AJ$3="","",IFERROR(LEFT(TRIM(INDEX(Forms貼り付け!$A:$AZ,202,AJ$3)),1),""))</f>
        <v/>
      </c>
      <c r="AK203" s="8">
        <f>IF(AK$3="","",IFERROR(LEFT(TRIM(INDEX(Forms貼り付け!$A:$AZ,202,AK$3)),1),""))</f>
        <v/>
      </c>
      <c r="AL203" s="8">
        <f>IF(AL$3="","",IFERROR(LEFT(TRIM(INDEX(Forms貼り付け!$A:$AZ,202,AL$3)),1),""))</f>
        <v/>
      </c>
      <c r="AM203" s="8">
        <f>IF(AM$3="","",IFERROR(LEFT(TRIM(INDEX(Forms貼り付け!$A:$AZ,202,AM$3)),1),""))</f>
        <v/>
      </c>
      <c r="AN203" s="8">
        <f>IF(AN$3="","",IFERROR(LEFT(TRIM(INDEX(Forms貼り付け!$A:$AZ,202,AN$3)),1),""))</f>
        <v/>
      </c>
      <c r="AO203" s="8">
        <f>IF(AO$3="","",IFERROR(LEFT(TRIM(INDEX(Forms貼り付け!$A:$AZ,202,AO$3)),1),""))</f>
        <v/>
      </c>
      <c r="AP203" s="8">
        <f>IF(AP$3="","",IFERROR(LEFT(TRIM(INDEX(Forms貼り付け!$A:$AZ,202,AP$3)),1),""))</f>
        <v/>
      </c>
      <c r="AQ203" s="8">
        <f>IF(AQ$3="","",IFERROR(LEFT(TRIM(INDEX(Forms貼り付け!$A:$AZ,202,AQ$3)),1),""))</f>
        <v/>
      </c>
      <c r="AR203" s="8">
        <f>IF(AR$3="","",IFERROR(LEFT(TRIM(INDEX(Forms貼り付け!$A:$AZ,202,AR$3)),1),""))</f>
        <v/>
      </c>
      <c r="AS203" s="8">
        <f>IF(AS$3="","",IFERROR(LEFT(TRIM(INDEX(Forms貼り付け!$A:$AZ,202,AS$3)),1),""))</f>
        <v/>
      </c>
      <c r="AT203" s="8">
        <f>IF(AT$3="","",IFERROR(LEFT(TRIM(INDEX(Forms貼り付け!$A:$AZ,202,AT$3)),1),""))</f>
        <v/>
      </c>
      <c r="AU203" s="8">
        <f>IF(AU$3="","",IFERROR(LEFT(TRIM(INDEX(Forms貼り付け!$A:$AZ,202,AU$3)),1),""))</f>
        <v/>
      </c>
      <c r="AV203" s="8">
        <f>IF(AV$3="","",IFERROR(LEFT(TRIM(INDEX(Forms貼り付け!$A:$AZ,202,AV$3)),1),""))</f>
        <v/>
      </c>
      <c r="AW203" s="8">
        <f>IF(AW$3="","",IFERROR(LEFT(TRIM(INDEX(Forms貼り付け!$A:$AZ,202,AW$3)),1),""))</f>
        <v/>
      </c>
      <c r="AX203" s="8">
        <f>IF(AX$3="","",IFERROR(LEFT(TRIM(INDEX(Forms貼り付け!$A:$AZ,202,AX$3)),1),""))</f>
        <v/>
      </c>
      <c r="AY203" s="8">
        <f>IF(AY$3="","",IFERROR(LEFT(TRIM(INDEX(Forms貼り付け!$A:$AZ,202,AY$3)),1),""))</f>
        <v/>
      </c>
      <c r="AZ203" s="8">
        <f>IF(AZ$3="","",IFERROR(LEFT(TRIM(INDEX(Forms貼り付け!$A:$AZ,202,AZ$3)),1),""))</f>
        <v/>
      </c>
      <c r="BA203" s="8">
        <f>IF(BA$3="","",IFERROR(LEFT(TRIM(INDEX(Forms貼り付け!$A:$AZ,202,BA$3)),1),""))</f>
        <v/>
      </c>
      <c r="BB203" s="8">
        <f>IF(BB$3="","",IFERROR(LEFT(TRIM(INDEX(Forms貼り付け!$A:$AZ,202,BB$3)),1),""))</f>
        <v/>
      </c>
      <c r="BC203" s="8">
        <f>IF(BC$3="","",IFERROR(LEFT(TRIM(INDEX(Forms貼り付け!$A:$AZ,202,BC$3)),1),""))</f>
        <v/>
      </c>
    </row>
    <row r="204">
      <c r="A204" s="8" t="inlineStr">
        <is>
          <t>U200</t>
        </is>
      </c>
      <c r="B204" s="9">
        <f>IF($B$3="","",INDEX(Forms貼り付け!$A:$AZ,203,$B$3))</f>
        <v/>
      </c>
      <c r="C204" s="9">
        <f>IF($C$3="","",INDEX(Forms貼り付け!$A:$AZ,203,$C$3))</f>
        <v/>
      </c>
      <c r="D204" s="8">
        <f>IF($D$3="","",INDEX(Forms貼り付け!$A:$AZ,203,$D$3))</f>
        <v/>
      </c>
      <c r="E204" s="8">
        <f>IF($E$3="","",INDEX(Forms貼り付け!$A:$AZ,203,$E$3))</f>
        <v/>
      </c>
      <c r="F204" s="8">
        <f>IF(F$3="","",IFERROR(LEFT(TRIM(INDEX(Forms貼り付け!$A:$AZ,203,F$3)),1),""))</f>
        <v/>
      </c>
      <c r="G204" s="8">
        <f>IF(G$3="","",IFERROR(LEFT(TRIM(INDEX(Forms貼り付け!$A:$AZ,203,G$3)),1),""))</f>
        <v/>
      </c>
      <c r="H204" s="8">
        <f>IF(H$3="","",IFERROR(LEFT(TRIM(INDEX(Forms貼り付け!$A:$AZ,203,H$3)),1),""))</f>
        <v/>
      </c>
      <c r="I204" s="8">
        <f>IF(I$3="","",IFERROR(LEFT(TRIM(INDEX(Forms貼り付け!$A:$AZ,203,I$3)),1),""))</f>
        <v/>
      </c>
      <c r="J204" s="8">
        <f>IF(J$3="","",IFERROR(LEFT(TRIM(INDEX(Forms貼り付け!$A:$AZ,203,J$3)),1),""))</f>
        <v/>
      </c>
      <c r="K204" s="8">
        <f>IF(K$3="","",IFERROR(LEFT(TRIM(INDEX(Forms貼り付け!$A:$AZ,203,K$3)),1),""))</f>
        <v/>
      </c>
      <c r="L204" s="8">
        <f>IF(L$3="","",IFERROR(LEFT(TRIM(INDEX(Forms貼り付け!$A:$AZ,203,L$3)),1),""))</f>
        <v/>
      </c>
      <c r="M204" s="8">
        <f>IF(M$3="","",IFERROR(LEFT(TRIM(INDEX(Forms貼り付け!$A:$AZ,203,M$3)),1),""))</f>
        <v/>
      </c>
      <c r="N204" s="8">
        <f>IF(N$3="","",IFERROR(LEFT(TRIM(INDEX(Forms貼り付け!$A:$AZ,203,N$3)),1),""))</f>
        <v/>
      </c>
      <c r="O204" s="8">
        <f>IF(O$3="","",IFERROR(LEFT(TRIM(INDEX(Forms貼り付け!$A:$AZ,203,O$3)),1),""))</f>
        <v/>
      </c>
      <c r="P204" s="8">
        <f>IF(P$3="","",IFERROR(LEFT(TRIM(INDEX(Forms貼り付け!$A:$AZ,203,P$3)),1),""))</f>
        <v/>
      </c>
      <c r="Q204" s="8">
        <f>IF(Q$3="","",IFERROR(LEFT(TRIM(INDEX(Forms貼り付け!$A:$AZ,203,Q$3)),1),""))</f>
        <v/>
      </c>
      <c r="R204" s="8">
        <f>IF(R$3="","",IFERROR(LEFT(TRIM(INDEX(Forms貼り付け!$A:$AZ,203,R$3)),1),""))</f>
        <v/>
      </c>
      <c r="S204" s="8">
        <f>IF(S$3="","",IFERROR(LEFT(TRIM(INDEX(Forms貼り付け!$A:$AZ,203,S$3)),1),""))</f>
        <v/>
      </c>
      <c r="T204" s="8">
        <f>IF(T$3="","",IFERROR(LEFT(TRIM(INDEX(Forms貼り付け!$A:$AZ,203,T$3)),1),""))</f>
        <v/>
      </c>
      <c r="U204" s="8">
        <f>IF(U$3="","",IFERROR(LEFT(TRIM(INDEX(Forms貼り付け!$A:$AZ,203,U$3)),1),""))</f>
        <v/>
      </c>
      <c r="V204" s="8">
        <f>IF(V$3="","",IFERROR(LEFT(TRIM(INDEX(Forms貼り付け!$A:$AZ,203,V$3)),1),""))</f>
        <v/>
      </c>
      <c r="W204" s="8">
        <f>IF(W$3="","",IFERROR(LEFT(TRIM(INDEX(Forms貼り付け!$A:$AZ,203,W$3)),1),""))</f>
        <v/>
      </c>
      <c r="X204" s="8">
        <f>IF(X$3="","",IFERROR(LEFT(TRIM(INDEX(Forms貼り付け!$A:$AZ,203,X$3)),1),""))</f>
        <v/>
      </c>
      <c r="Y204" s="8">
        <f>IF(Y$3="","",IFERROR(LEFT(TRIM(INDEX(Forms貼り付け!$A:$AZ,203,Y$3)),1),""))</f>
        <v/>
      </c>
      <c r="Z204" s="8">
        <f>IF(Z$3="","",IFERROR(LEFT(TRIM(INDEX(Forms貼り付け!$A:$AZ,203,Z$3)),1),""))</f>
        <v/>
      </c>
      <c r="AA204" s="8">
        <f>IF(AA$3="","",IFERROR(LEFT(TRIM(INDEX(Forms貼り付け!$A:$AZ,203,AA$3)),1),""))</f>
        <v/>
      </c>
      <c r="AB204" s="8">
        <f>IF(AB$3="","",IFERROR(LEFT(TRIM(INDEX(Forms貼り付け!$A:$AZ,203,AB$3)),1),""))</f>
        <v/>
      </c>
      <c r="AC204" s="8">
        <f>IF(AC$3="","",IFERROR(LEFT(TRIM(INDEX(Forms貼り付け!$A:$AZ,203,AC$3)),1),""))</f>
        <v/>
      </c>
      <c r="AD204" s="8">
        <f>IF(AD$3="","",IFERROR(LEFT(TRIM(INDEX(Forms貼り付け!$A:$AZ,203,AD$3)),1),""))</f>
        <v/>
      </c>
      <c r="AE204" s="8">
        <f>IF(AE$3="","",IFERROR(LEFT(TRIM(INDEX(Forms貼り付け!$A:$AZ,203,AE$3)),1),""))</f>
        <v/>
      </c>
      <c r="AF204" s="8">
        <f>IF(AF$3="","",IFERROR(LEFT(TRIM(INDEX(Forms貼り付け!$A:$AZ,203,AF$3)),1),""))</f>
        <v/>
      </c>
      <c r="AG204" s="8">
        <f>IF(AG$3="","",IFERROR(LEFT(TRIM(INDEX(Forms貼り付け!$A:$AZ,203,AG$3)),1),""))</f>
        <v/>
      </c>
      <c r="AH204" s="8">
        <f>IF(AH$3="","",IFERROR(LEFT(TRIM(INDEX(Forms貼り付け!$A:$AZ,203,AH$3)),1),""))</f>
        <v/>
      </c>
      <c r="AI204" s="8">
        <f>IF(AI$3="","",IFERROR(LEFT(TRIM(INDEX(Forms貼り付け!$A:$AZ,203,AI$3)),1),""))</f>
        <v/>
      </c>
      <c r="AJ204" s="8">
        <f>IF(AJ$3="","",IFERROR(LEFT(TRIM(INDEX(Forms貼り付け!$A:$AZ,203,AJ$3)),1),""))</f>
        <v/>
      </c>
      <c r="AK204" s="8">
        <f>IF(AK$3="","",IFERROR(LEFT(TRIM(INDEX(Forms貼り付け!$A:$AZ,203,AK$3)),1),""))</f>
        <v/>
      </c>
      <c r="AL204" s="8">
        <f>IF(AL$3="","",IFERROR(LEFT(TRIM(INDEX(Forms貼り付け!$A:$AZ,203,AL$3)),1),""))</f>
        <v/>
      </c>
      <c r="AM204" s="8">
        <f>IF(AM$3="","",IFERROR(LEFT(TRIM(INDEX(Forms貼り付け!$A:$AZ,203,AM$3)),1),""))</f>
        <v/>
      </c>
      <c r="AN204" s="8">
        <f>IF(AN$3="","",IFERROR(LEFT(TRIM(INDEX(Forms貼り付け!$A:$AZ,203,AN$3)),1),""))</f>
        <v/>
      </c>
      <c r="AO204" s="8">
        <f>IF(AO$3="","",IFERROR(LEFT(TRIM(INDEX(Forms貼り付け!$A:$AZ,203,AO$3)),1),""))</f>
        <v/>
      </c>
      <c r="AP204" s="8">
        <f>IF(AP$3="","",IFERROR(LEFT(TRIM(INDEX(Forms貼り付け!$A:$AZ,203,AP$3)),1),""))</f>
        <v/>
      </c>
      <c r="AQ204" s="8">
        <f>IF(AQ$3="","",IFERROR(LEFT(TRIM(INDEX(Forms貼り付け!$A:$AZ,203,AQ$3)),1),""))</f>
        <v/>
      </c>
      <c r="AR204" s="8">
        <f>IF(AR$3="","",IFERROR(LEFT(TRIM(INDEX(Forms貼り付け!$A:$AZ,203,AR$3)),1),""))</f>
        <v/>
      </c>
      <c r="AS204" s="8">
        <f>IF(AS$3="","",IFERROR(LEFT(TRIM(INDEX(Forms貼り付け!$A:$AZ,203,AS$3)),1),""))</f>
        <v/>
      </c>
      <c r="AT204" s="8">
        <f>IF(AT$3="","",IFERROR(LEFT(TRIM(INDEX(Forms貼り付け!$A:$AZ,203,AT$3)),1),""))</f>
        <v/>
      </c>
      <c r="AU204" s="8">
        <f>IF(AU$3="","",IFERROR(LEFT(TRIM(INDEX(Forms貼り付け!$A:$AZ,203,AU$3)),1),""))</f>
        <v/>
      </c>
      <c r="AV204" s="8">
        <f>IF(AV$3="","",IFERROR(LEFT(TRIM(INDEX(Forms貼り付け!$A:$AZ,203,AV$3)),1),""))</f>
        <v/>
      </c>
      <c r="AW204" s="8">
        <f>IF(AW$3="","",IFERROR(LEFT(TRIM(INDEX(Forms貼り付け!$A:$AZ,203,AW$3)),1),""))</f>
        <v/>
      </c>
      <c r="AX204" s="8">
        <f>IF(AX$3="","",IFERROR(LEFT(TRIM(INDEX(Forms貼り付け!$A:$AZ,203,AX$3)),1),""))</f>
        <v/>
      </c>
      <c r="AY204" s="8">
        <f>IF(AY$3="","",IFERROR(LEFT(TRIM(INDEX(Forms貼り付け!$A:$AZ,203,AY$3)),1),""))</f>
        <v/>
      </c>
      <c r="AZ204" s="8">
        <f>IF(AZ$3="","",IFERROR(LEFT(TRIM(INDEX(Forms貼り付け!$A:$AZ,203,AZ$3)),1),""))</f>
        <v/>
      </c>
      <c r="BA204" s="8">
        <f>IF(BA$3="","",IFERROR(LEFT(TRIM(INDEX(Forms貼り付け!$A:$AZ,203,BA$3)),1),""))</f>
        <v/>
      </c>
      <c r="BB204" s="8">
        <f>IF(BB$3="","",IFERROR(LEFT(TRIM(INDEX(Forms貼り付け!$A:$AZ,203,BB$3)),1),""))</f>
        <v/>
      </c>
      <c r="BC204" s="8">
        <f>IF(BC$3="","",IFERROR(LEFT(TRIM(INDEX(Forms貼り付け!$A:$AZ,203,BC$3)),1),""))</f>
        <v/>
      </c>
    </row>
  </sheetData>
  <mergeCells count="2">
    <mergeCell ref="A1:BC1"/>
    <mergeCell ref="A2:B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</cols>
  <sheetData>
    <row r="1">
      <c r="A1" s="3" t="inlineStr">
        <is>
          <t>集計（Forms貼り付け対応・自動計算）</t>
        </is>
      </c>
    </row>
    <row r="2">
      <c r="A2" s="4" t="inlineStr">
        <is>
          <t>整形回答のQ1〜Q50（A/B/C/D）を使って重み付け採点します。</t>
        </is>
      </c>
    </row>
    <row r="4">
      <c r="A4" s="7" t="inlineStr">
        <is>
          <t>受験者ID</t>
        </is>
      </c>
      <c r="B4" s="7" t="inlineStr">
        <is>
          <t>氏名</t>
        </is>
      </c>
      <c r="C4" s="7" t="inlineStr">
        <is>
          <t>メール</t>
        </is>
      </c>
      <c r="D4" s="7" t="inlineStr">
        <is>
          <t>得点合計</t>
        </is>
      </c>
      <c r="E4" s="7" t="inlineStr">
        <is>
          <t>最大点合計</t>
        </is>
      </c>
      <c r="F4" s="7" t="inlineStr">
        <is>
          <t>総合(100点)</t>
        </is>
      </c>
      <c r="G4" s="7" t="inlineStr">
        <is>
          <t>OS(100点)</t>
        </is>
      </c>
      <c r="H4" s="7" t="inlineStr">
        <is>
          <t>AWS(100点)</t>
        </is>
      </c>
      <c r="I4" s="7" t="inlineStr">
        <is>
          <t>NW/Sec(100点)</t>
        </is>
      </c>
      <c r="J4" s="7" t="inlineStr">
        <is>
          <t>判定</t>
        </is>
      </c>
      <c r="K4" s="7" t="inlineStr">
        <is>
          <t>完了時刻</t>
        </is>
      </c>
    </row>
    <row r="5">
      <c r="A5" s="8">
        <f>整形回答!A5</f>
        <v/>
      </c>
      <c r="B5" s="9">
        <f>整形回答!B5</f>
        <v/>
      </c>
      <c r="C5" s="9">
        <f>整形回答!C5</f>
        <v/>
      </c>
      <c r="D5" s="8">
        <f>IF(B5="","",SUMPRODUCT(--(整形回答!F5:BC5=正解キー!$B$2:$B$51)*XLOOKUP(設定!$B$11:$B$60,設定!$A$5:$A$7,設定!$B$5:$B$7)*XLOOKUP(設定!$C$11:$C$60,設定!$D$5:$D$7,設定!$E$5:$E$7)))</f>
        <v/>
      </c>
      <c r="E5" s="8">
        <f>SUMPRODUCT(XLOOKUP(設定!$B$11:$B$60,設定!$A$5:$A$7,設定!$B$5:$B$7)*XLOOKUP(設定!$C$11:$C$60,設定!$D$5:$D$7,設定!$E$5:$E$7))</f>
        <v/>
      </c>
      <c r="F5" s="10">
        <f>IF(D5="","",D5/E5*100)</f>
        <v/>
      </c>
      <c r="G5" s="10">
        <f>IF(D5="","",IF(SUMPRODUCT(--(設定!$B$11:$B$60="OS（Linux/Windows）")*XLOOKUP(設定!$B$11:$B$60,設定!$A$5:$A$7,設定!$B$5:$B$7)*XLOOKUP(設定!$C$11:$C$60,設定!$D$5:$D$7,設定!$E$5:$E$7))=0,"",SUMPRODUCT(--(設定!$B$11:$B$60="OS（Linux/Windows）")*--(整形回答!F5:BC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" s="10">
        <f>IF(D5="","",IF(SUMPRODUCT(--(設定!$B$11:$B$60="AWS")*XLOOKUP(設定!$B$11:$B$60,設定!$A$5:$A$7,設定!$B$5:$B$7)*XLOOKUP(設定!$C$11:$C$60,設定!$D$5:$D$7,設定!$E$5:$E$7))=0,"",SUMPRODUCT(--(設定!$B$11:$B$60="AWS")*--(整形回答!F5:BC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" s="10">
        <f>IF(D5="","",IF(SUMPRODUCT(--(設定!$B$11:$B$60="NW/Security")*XLOOKUP(設定!$B$11:$B$60,設定!$A$5:$A$7,設定!$B$5:$B$7)*XLOOKUP(設定!$C$11:$C$60,設定!$D$5:$D$7,設定!$E$5:$E$7))=0,"",SUMPRODUCT(--(設定!$B$11:$B$60="NW/Security")*--(整形回答!F5:BC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" s="8">
        <f>IF(F5="","",IF(F5&gt;=85,"即戦力",IF(F5&gt;=70,"主担当",IF(F5&gt;=55,"サポート","育成"))))</f>
        <v/>
      </c>
      <c r="K5" s="8">
        <f>整形回答!E5</f>
        <v/>
      </c>
    </row>
    <row r="6">
      <c r="A6" s="8">
        <f>整形回答!A6</f>
        <v/>
      </c>
      <c r="B6" s="9">
        <f>整形回答!B6</f>
        <v/>
      </c>
      <c r="C6" s="9">
        <f>整形回答!C6</f>
        <v/>
      </c>
      <c r="D6" s="8">
        <f>IF(B6="","",SUMPRODUCT(--(整形回答!F6:BC6=正解キー!$B$2:$B$51)*XLOOKUP(設定!$B$11:$B$60,設定!$A$5:$A$7,設定!$B$5:$B$7)*XLOOKUP(設定!$C$11:$C$60,設定!$D$5:$D$7,設定!$E$5:$E$7)))</f>
        <v/>
      </c>
      <c r="E6" s="8">
        <f>SUMPRODUCT(XLOOKUP(設定!$B$11:$B$60,設定!$A$5:$A$7,設定!$B$5:$B$7)*XLOOKUP(設定!$C$11:$C$60,設定!$D$5:$D$7,設定!$E$5:$E$7))</f>
        <v/>
      </c>
      <c r="F6" s="10">
        <f>IF(D6="","",D6/E6*100)</f>
        <v/>
      </c>
      <c r="G6" s="10">
        <f>IF(D6="","",IF(SUMPRODUCT(--(設定!$B$11:$B$60="OS（Linux/Windows）")*XLOOKUP(設定!$B$11:$B$60,設定!$A$5:$A$7,設定!$B$5:$B$7)*XLOOKUP(設定!$C$11:$C$60,設定!$D$5:$D$7,設定!$E$5:$E$7))=0,"",SUMPRODUCT(--(設定!$B$11:$B$60="OS（Linux/Windows）")*--(整形回答!F6:BC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" s="10">
        <f>IF(D6="","",IF(SUMPRODUCT(--(設定!$B$11:$B$60="AWS")*XLOOKUP(設定!$B$11:$B$60,設定!$A$5:$A$7,設定!$B$5:$B$7)*XLOOKUP(設定!$C$11:$C$60,設定!$D$5:$D$7,設定!$E$5:$E$7))=0,"",SUMPRODUCT(--(設定!$B$11:$B$60="AWS")*--(整形回答!F6:BC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" s="10">
        <f>IF(D6="","",IF(SUMPRODUCT(--(設定!$B$11:$B$60="NW/Security")*XLOOKUP(設定!$B$11:$B$60,設定!$A$5:$A$7,設定!$B$5:$B$7)*XLOOKUP(設定!$C$11:$C$60,設定!$D$5:$D$7,設定!$E$5:$E$7))=0,"",SUMPRODUCT(--(設定!$B$11:$B$60="NW/Security")*--(整形回答!F6:BC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" s="8">
        <f>IF(F6="","",IF(F6&gt;=85,"即戦力",IF(F6&gt;=70,"主担当",IF(F6&gt;=55,"サポート","育成"))))</f>
        <v/>
      </c>
      <c r="K6" s="8">
        <f>整形回答!E6</f>
        <v/>
      </c>
    </row>
    <row r="7">
      <c r="A7" s="8">
        <f>整形回答!A7</f>
        <v/>
      </c>
      <c r="B7" s="9">
        <f>整形回答!B7</f>
        <v/>
      </c>
      <c r="C7" s="9">
        <f>整形回答!C7</f>
        <v/>
      </c>
      <c r="D7" s="8">
        <f>IF(B7="","",SUMPRODUCT(--(整形回答!F7:BC7=正解キー!$B$2:$B$51)*XLOOKUP(設定!$B$11:$B$60,設定!$A$5:$A$7,設定!$B$5:$B$7)*XLOOKUP(設定!$C$11:$C$60,設定!$D$5:$D$7,設定!$E$5:$E$7)))</f>
        <v/>
      </c>
      <c r="E7" s="8">
        <f>SUMPRODUCT(XLOOKUP(設定!$B$11:$B$60,設定!$A$5:$A$7,設定!$B$5:$B$7)*XLOOKUP(設定!$C$11:$C$60,設定!$D$5:$D$7,設定!$E$5:$E$7))</f>
        <v/>
      </c>
      <c r="F7" s="10">
        <f>IF(D7="","",D7/E7*100)</f>
        <v/>
      </c>
      <c r="G7" s="10">
        <f>IF(D7="","",IF(SUMPRODUCT(--(設定!$B$11:$B$60="OS（Linux/Windows）")*XLOOKUP(設定!$B$11:$B$60,設定!$A$5:$A$7,設定!$B$5:$B$7)*XLOOKUP(設定!$C$11:$C$60,設定!$D$5:$D$7,設定!$E$5:$E$7))=0,"",SUMPRODUCT(--(設定!$B$11:$B$60="OS（Linux/Windows）")*--(整形回答!F7:BC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" s="10">
        <f>IF(D7="","",IF(SUMPRODUCT(--(設定!$B$11:$B$60="AWS")*XLOOKUP(設定!$B$11:$B$60,設定!$A$5:$A$7,設定!$B$5:$B$7)*XLOOKUP(設定!$C$11:$C$60,設定!$D$5:$D$7,設定!$E$5:$E$7))=0,"",SUMPRODUCT(--(設定!$B$11:$B$60="AWS")*--(整形回答!F7:BC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" s="10">
        <f>IF(D7="","",IF(SUMPRODUCT(--(設定!$B$11:$B$60="NW/Security")*XLOOKUP(設定!$B$11:$B$60,設定!$A$5:$A$7,設定!$B$5:$B$7)*XLOOKUP(設定!$C$11:$C$60,設定!$D$5:$D$7,設定!$E$5:$E$7))=0,"",SUMPRODUCT(--(設定!$B$11:$B$60="NW/Security")*--(整形回答!F7:BC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" s="8">
        <f>IF(F7="","",IF(F7&gt;=85,"即戦力",IF(F7&gt;=70,"主担当",IF(F7&gt;=55,"サポート","育成"))))</f>
        <v/>
      </c>
      <c r="K7" s="8">
        <f>整形回答!E7</f>
        <v/>
      </c>
    </row>
    <row r="8">
      <c r="A8" s="8">
        <f>整形回答!A8</f>
        <v/>
      </c>
      <c r="B8" s="9">
        <f>整形回答!B8</f>
        <v/>
      </c>
      <c r="C8" s="9">
        <f>整形回答!C8</f>
        <v/>
      </c>
      <c r="D8" s="8">
        <f>IF(B8="","",SUMPRODUCT(--(整形回答!F8:BC8=正解キー!$B$2:$B$51)*XLOOKUP(設定!$B$11:$B$60,設定!$A$5:$A$7,設定!$B$5:$B$7)*XLOOKUP(設定!$C$11:$C$60,設定!$D$5:$D$7,設定!$E$5:$E$7)))</f>
        <v/>
      </c>
      <c r="E8" s="8">
        <f>SUMPRODUCT(XLOOKUP(設定!$B$11:$B$60,設定!$A$5:$A$7,設定!$B$5:$B$7)*XLOOKUP(設定!$C$11:$C$60,設定!$D$5:$D$7,設定!$E$5:$E$7))</f>
        <v/>
      </c>
      <c r="F8" s="10">
        <f>IF(D8="","",D8/E8*100)</f>
        <v/>
      </c>
      <c r="G8" s="10">
        <f>IF(D8="","",IF(SUMPRODUCT(--(設定!$B$11:$B$60="OS（Linux/Windows）")*XLOOKUP(設定!$B$11:$B$60,設定!$A$5:$A$7,設定!$B$5:$B$7)*XLOOKUP(設定!$C$11:$C$60,設定!$D$5:$D$7,設定!$E$5:$E$7))=0,"",SUMPRODUCT(--(設定!$B$11:$B$60="OS（Linux/Windows）")*--(整形回答!F8:BC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" s="10">
        <f>IF(D8="","",IF(SUMPRODUCT(--(設定!$B$11:$B$60="AWS")*XLOOKUP(設定!$B$11:$B$60,設定!$A$5:$A$7,設定!$B$5:$B$7)*XLOOKUP(設定!$C$11:$C$60,設定!$D$5:$D$7,設定!$E$5:$E$7))=0,"",SUMPRODUCT(--(設定!$B$11:$B$60="AWS")*--(整形回答!F8:BC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" s="10">
        <f>IF(D8="","",IF(SUMPRODUCT(--(設定!$B$11:$B$60="NW/Security")*XLOOKUP(設定!$B$11:$B$60,設定!$A$5:$A$7,設定!$B$5:$B$7)*XLOOKUP(設定!$C$11:$C$60,設定!$D$5:$D$7,設定!$E$5:$E$7))=0,"",SUMPRODUCT(--(設定!$B$11:$B$60="NW/Security")*--(整形回答!F8:BC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" s="8">
        <f>IF(F8="","",IF(F8&gt;=85,"即戦力",IF(F8&gt;=70,"主担当",IF(F8&gt;=55,"サポート","育成"))))</f>
        <v/>
      </c>
      <c r="K8" s="8">
        <f>整形回答!E8</f>
        <v/>
      </c>
    </row>
    <row r="9">
      <c r="A9" s="8">
        <f>整形回答!A9</f>
        <v/>
      </c>
      <c r="B9" s="9">
        <f>整形回答!B9</f>
        <v/>
      </c>
      <c r="C9" s="9">
        <f>整形回答!C9</f>
        <v/>
      </c>
      <c r="D9" s="8">
        <f>IF(B9="","",SUMPRODUCT(--(整形回答!F9:BC9=正解キー!$B$2:$B$51)*XLOOKUP(設定!$B$11:$B$60,設定!$A$5:$A$7,設定!$B$5:$B$7)*XLOOKUP(設定!$C$11:$C$60,設定!$D$5:$D$7,設定!$E$5:$E$7)))</f>
        <v/>
      </c>
      <c r="E9" s="8">
        <f>SUMPRODUCT(XLOOKUP(設定!$B$11:$B$60,設定!$A$5:$A$7,設定!$B$5:$B$7)*XLOOKUP(設定!$C$11:$C$60,設定!$D$5:$D$7,設定!$E$5:$E$7))</f>
        <v/>
      </c>
      <c r="F9" s="10">
        <f>IF(D9="","",D9/E9*100)</f>
        <v/>
      </c>
      <c r="G9" s="10">
        <f>IF(D9="","",IF(SUMPRODUCT(--(設定!$B$11:$B$60="OS（Linux/Windows）")*XLOOKUP(設定!$B$11:$B$60,設定!$A$5:$A$7,設定!$B$5:$B$7)*XLOOKUP(設定!$C$11:$C$60,設定!$D$5:$D$7,設定!$E$5:$E$7))=0,"",SUMPRODUCT(--(設定!$B$11:$B$60="OS（Linux/Windows）")*--(整形回答!F9:BC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" s="10">
        <f>IF(D9="","",IF(SUMPRODUCT(--(設定!$B$11:$B$60="AWS")*XLOOKUP(設定!$B$11:$B$60,設定!$A$5:$A$7,設定!$B$5:$B$7)*XLOOKUP(設定!$C$11:$C$60,設定!$D$5:$D$7,設定!$E$5:$E$7))=0,"",SUMPRODUCT(--(設定!$B$11:$B$60="AWS")*--(整形回答!F9:BC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" s="10">
        <f>IF(D9="","",IF(SUMPRODUCT(--(設定!$B$11:$B$60="NW/Security")*XLOOKUP(設定!$B$11:$B$60,設定!$A$5:$A$7,設定!$B$5:$B$7)*XLOOKUP(設定!$C$11:$C$60,設定!$D$5:$D$7,設定!$E$5:$E$7))=0,"",SUMPRODUCT(--(設定!$B$11:$B$60="NW/Security")*--(整形回答!F9:BC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" s="8">
        <f>IF(F9="","",IF(F9&gt;=85,"即戦力",IF(F9&gt;=70,"主担当",IF(F9&gt;=55,"サポート","育成"))))</f>
        <v/>
      </c>
      <c r="K9" s="8">
        <f>整形回答!E9</f>
        <v/>
      </c>
    </row>
    <row r="10">
      <c r="A10" s="8">
        <f>整形回答!A10</f>
        <v/>
      </c>
      <c r="B10" s="9">
        <f>整形回答!B10</f>
        <v/>
      </c>
      <c r="C10" s="9">
        <f>整形回答!C10</f>
        <v/>
      </c>
      <c r="D10" s="8">
        <f>IF(B10="","",SUMPRODUCT(--(整形回答!F10:BC10=正解キー!$B$2:$B$51)*XLOOKUP(設定!$B$11:$B$60,設定!$A$5:$A$7,設定!$B$5:$B$7)*XLOOKUP(設定!$C$11:$C$60,設定!$D$5:$D$7,設定!$E$5:$E$7)))</f>
        <v/>
      </c>
      <c r="E10" s="8">
        <f>SUMPRODUCT(XLOOKUP(設定!$B$11:$B$60,設定!$A$5:$A$7,設定!$B$5:$B$7)*XLOOKUP(設定!$C$11:$C$60,設定!$D$5:$D$7,設定!$E$5:$E$7))</f>
        <v/>
      </c>
      <c r="F10" s="10">
        <f>IF(D10="","",D10/E10*100)</f>
        <v/>
      </c>
      <c r="G10" s="10">
        <f>IF(D10="","",IF(SUMPRODUCT(--(設定!$B$11:$B$60="OS（Linux/Windows）")*XLOOKUP(設定!$B$11:$B$60,設定!$A$5:$A$7,設定!$B$5:$B$7)*XLOOKUP(設定!$C$11:$C$60,設定!$D$5:$D$7,設定!$E$5:$E$7))=0,"",SUMPRODUCT(--(設定!$B$11:$B$60="OS（Linux/Windows）")*--(整形回答!F10:BC10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" s="10">
        <f>IF(D10="","",IF(SUMPRODUCT(--(設定!$B$11:$B$60="AWS")*XLOOKUP(設定!$B$11:$B$60,設定!$A$5:$A$7,設定!$B$5:$B$7)*XLOOKUP(設定!$C$11:$C$60,設定!$D$5:$D$7,設定!$E$5:$E$7))=0,"",SUMPRODUCT(--(設定!$B$11:$B$60="AWS")*--(整形回答!F10:BC10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" s="10">
        <f>IF(D10="","",IF(SUMPRODUCT(--(設定!$B$11:$B$60="NW/Security")*XLOOKUP(設定!$B$11:$B$60,設定!$A$5:$A$7,設定!$B$5:$B$7)*XLOOKUP(設定!$C$11:$C$60,設定!$D$5:$D$7,設定!$E$5:$E$7))=0,"",SUMPRODUCT(--(設定!$B$11:$B$60="NW/Security")*--(整形回答!F10:BC10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" s="8">
        <f>IF(F10="","",IF(F10&gt;=85,"即戦力",IF(F10&gt;=70,"主担当",IF(F10&gt;=55,"サポート","育成"))))</f>
        <v/>
      </c>
      <c r="K10" s="8">
        <f>整形回答!E10</f>
        <v/>
      </c>
    </row>
    <row r="11">
      <c r="A11" s="8">
        <f>整形回答!A11</f>
        <v/>
      </c>
      <c r="B11" s="9">
        <f>整形回答!B11</f>
        <v/>
      </c>
      <c r="C11" s="9">
        <f>整形回答!C11</f>
        <v/>
      </c>
      <c r="D11" s="8">
        <f>IF(B11="","",SUMPRODUCT(--(整形回答!F11:BC11=正解キー!$B$2:$B$51)*XLOOKUP(設定!$B$11:$B$60,設定!$A$5:$A$7,設定!$B$5:$B$7)*XLOOKUP(設定!$C$11:$C$60,設定!$D$5:$D$7,設定!$E$5:$E$7)))</f>
        <v/>
      </c>
      <c r="E11" s="8">
        <f>SUMPRODUCT(XLOOKUP(設定!$B$11:$B$60,設定!$A$5:$A$7,設定!$B$5:$B$7)*XLOOKUP(設定!$C$11:$C$60,設定!$D$5:$D$7,設定!$E$5:$E$7))</f>
        <v/>
      </c>
      <c r="F11" s="10">
        <f>IF(D11="","",D11/E11*100)</f>
        <v/>
      </c>
      <c r="G11" s="10">
        <f>IF(D11="","",IF(SUMPRODUCT(--(設定!$B$11:$B$60="OS（Linux/Windows）")*XLOOKUP(設定!$B$11:$B$60,設定!$A$5:$A$7,設定!$B$5:$B$7)*XLOOKUP(設定!$C$11:$C$60,設定!$D$5:$D$7,設定!$E$5:$E$7))=0,"",SUMPRODUCT(--(設定!$B$11:$B$60="OS（Linux/Windows）")*--(整形回答!F11:BC11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" s="10">
        <f>IF(D11="","",IF(SUMPRODUCT(--(設定!$B$11:$B$60="AWS")*XLOOKUP(設定!$B$11:$B$60,設定!$A$5:$A$7,設定!$B$5:$B$7)*XLOOKUP(設定!$C$11:$C$60,設定!$D$5:$D$7,設定!$E$5:$E$7))=0,"",SUMPRODUCT(--(設定!$B$11:$B$60="AWS")*--(整形回答!F11:BC11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" s="10">
        <f>IF(D11="","",IF(SUMPRODUCT(--(設定!$B$11:$B$60="NW/Security")*XLOOKUP(設定!$B$11:$B$60,設定!$A$5:$A$7,設定!$B$5:$B$7)*XLOOKUP(設定!$C$11:$C$60,設定!$D$5:$D$7,設定!$E$5:$E$7))=0,"",SUMPRODUCT(--(設定!$B$11:$B$60="NW/Security")*--(整形回答!F11:BC11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" s="8">
        <f>IF(F11="","",IF(F11&gt;=85,"即戦力",IF(F11&gt;=70,"主担当",IF(F11&gt;=55,"サポート","育成"))))</f>
        <v/>
      </c>
      <c r="K11" s="8">
        <f>整形回答!E11</f>
        <v/>
      </c>
    </row>
    <row r="12">
      <c r="A12" s="8">
        <f>整形回答!A12</f>
        <v/>
      </c>
      <c r="B12" s="9">
        <f>整形回答!B12</f>
        <v/>
      </c>
      <c r="C12" s="9">
        <f>整形回答!C12</f>
        <v/>
      </c>
      <c r="D12" s="8">
        <f>IF(B12="","",SUMPRODUCT(--(整形回答!F12:BC12=正解キー!$B$2:$B$51)*XLOOKUP(設定!$B$11:$B$60,設定!$A$5:$A$7,設定!$B$5:$B$7)*XLOOKUP(設定!$C$11:$C$60,設定!$D$5:$D$7,設定!$E$5:$E$7)))</f>
        <v/>
      </c>
      <c r="E12" s="8">
        <f>SUMPRODUCT(XLOOKUP(設定!$B$11:$B$60,設定!$A$5:$A$7,設定!$B$5:$B$7)*XLOOKUP(設定!$C$11:$C$60,設定!$D$5:$D$7,設定!$E$5:$E$7))</f>
        <v/>
      </c>
      <c r="F12" s="10">
        <f>IF(D12="","",D12/E12*100)</f>
        <v/>
      </c>
      <c r="G12" s="10">
        <f>IF(D12="","",IF(SUMPRODUCT(--(設定!$B$11:$B$60="OS（Linux/Windows）")*XLOOKUP(設定!$B$11:$B$60,設定!$A$5:$A$7,設定!$B$5:$B$7)*XLOOKUP(設定!$C$11:$C$60,設定!$D$5:$D$7,設定!$E$5:$E$7))=0,"",SUMPRODUCT(--(設定!$B$11:$B$60="OS（Linux/Windows）")*--(整形回答!F12:BC12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" s="10">
        <f>IF(D12="","",IF(SUMPRODUCT(--(設定!$B$11:$B$60="AWS")*XLOOKUP(設定!$B$11:$B$60,設定!$A$5:$A$7,設定!$B$5:$B$7)*XLOOKUP(設定!$C$11:$C$60,設定!$D$5:$D$7,設定!$E$5:$E$7))=0,"",SUMPRODUCT(--(設定!$B$11:$B$60="AWS")*--(整形回答!F12:BC12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" s="10">
        <f>IF(D12="","",IF(SUMPRODUCT(--(設定!$B$11:$B$60="NW/Security")*XLOOKUP(設定!$B$11:$B$60,設定!$A$5:$A$7,設定!$B$5:$B$7)*XLOOKUP(設定!$C$11:$C$60,設定!$D$5:$D$7,設定!$E$5:$E$7))=0,"",SUMPRODUCT(--(設定!$B$11:$B$60="NW/Security")*--(整形回答!F12:BC12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" s="8">
        <f>IF(F12="","",IF(F12&gt;=85,"即戦力",IF(F12&gt;=70,"主担当",IF(F12&gt;=55,"サポート","育成"))))</f>
        <v/>
      </c>
      <c r="K12" s="8">
        <f>整形回答!E12</f>
        <v/>
      </c>
    </row>
    <row r="13">
      <c r="A13" s="8">
        <f>整形回答!A13</f>
        <v/>
      </c>
      <c r="B13" s="9">
        <f>整形回答!B13</f>
        <v/>
      </c>
      <c r="C13" s="9">
        <f>整形回答!C13</f>
        <v/>
      </c>
      <c r="D13" s="8">
        <f>IF(B13="","",SUMPRODUCT(--(整形回答!F13:BC13=正解キー!$B$2:$B$51)*XLOOKUP(設定!$B$11:$B$60,設定!$A$5:$A$7,設定!$B$5:$B$7)*XLOOKUP(設定!$C$11:$C$60,設定!$D$5:$D$7,設定!$E$5:$E$7)))</f>
        <v/>
      </c>
      <c r="E13" s="8">
        <f>SUMPRODUCT(XLOOKUP(設定!$B$11:$B$60,設定!$A$5:$A$7,設定!$B$5:$B$7)*XLOOKUP(設定!$C$11:$C$60,設定!$D$5:$D$7,設定!$E$5:$E$7))</f>
        <v/>
      </c>
      <c r="F13" s="10">
        <f>IF(D13="","",D13/E13*100)</f>
        <v/>
      </c>
      <c r="G13" s="10">
        <f>IF(D13="","",IF(SUMPRODUCT(--(設定!$B$11:$B$60="OS（Linux/Windows）")*XLOOKUP(設定!$B$11:$B$60,設定!$A$5:$A$7,設定!$B$5:$B$7)*XLOOKUP(設定!$C$11:$C$60,設定!$D$5:$D$7,設定!$E$5:$E$7))=0,"",SUMPRODUCT(--(設定!$B$11:$B$60="OS（Linux/Windows）")*--(整形回答!F13:BC13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" s="10">
        <f>IF(D13="","",IF(SUMPRODUCT(--(設定!$B$11:$B$60="AWS")*XLOOKUP(設定!$B$11:$B$60,設定!$A$5:$A$7,設定!$B$5:$B$7)*XLOOKUP(設定!$C$11:$C$60,設定!$D$5:$D$7,設定!$E$5:$E$7))=0,"",SUMPRODUCT(--(設定!$B$11:$B$60="AWS")*--(整形回答!F13:BC13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" s="10">
        <f>IF(D13="","",IF(SUMPRODUCT(--(設定!$B$11:$B$60="NW/Security")*XLOOKUP(設定!$B$11:$B$60,設定!$A$5:$A$7,設定!$B$5:$B$7)*XLOOKUP(設定!$C$11:$C$60,設定!$D$5:$D$7,設定!$E$5:$E$7))=0,"",SUMPRODUCT(--(設定!$B$11:$B$60="NW/Security")*--(整形回答!F13:BC13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" s="8">
        <f>IF(F13="","",IF(F13&gt;=85,"即戦力",IF(F13&gt;=70,"主担当",IF(F13&gt;=55,"サポート","育成"))))</f>
        <v/>
      </c>
      <c r="K13" s="8">
        <f>整形回答!E13</f>
        <v/>
      </c>
    </row>
    <row r="14">
      <c r="A14" s="8">
        <f>整形回答!A14</f>
        <v/>
      </c>
      <c r="B14" s="9">
        <f>整形回答!B14</f>
        <v/>
      </c>
      <c r="C14" s="9">
        <f>整形回答!C14</f>
        <v/>
      </c>
      <c r="D14" s="8">
        <f>IF(B14="","",SUMPRODUCT(--(整形回答!F14:BC14=正解キー!$B$2:$B$51)*XLOOKUP(設定!$B$11:$B$60,設定!$A$5:$A$7,設定!$B$5:$B$7)*XLOOKUP(設定!$C$11:$C$60,設定!$D$5:$D$7,設定!$E$5:$E$7)))</f>
        <v/>
      </c>
      <c r="E14" s="8">
        <f>SUMPRODUCT(XLOOKUP(設定!$B$11:$B$60,設定!$A$5:$A$7,設定!$B$5:$B$7)*XLOOKUP(設定!$C$11:$C$60,設定!$D$5:$D$7,設定!$E$5:$E$7))</f>
        <v/>
      </c>
      <c r="F14" s="10">
        <f>IF(D14="","",D14/E14*100)</f>
        <v/>
      </c>
      <c r="G14" s="10">
        <f>IF(D14="","",IF(SUMPRODUCT(--(設定!$B$11:$B$60="OS（Linux/Windows）")*XLOOKUP(設定!$B$11:$B$60,設定!$A$5:$A$7,設定!$B$5:$B$7)*XLOOKUP(設定!$C$11:$C$60,設定!$D$5:$D$7,設定!$E$5:$E$7))=0,"",SUMPRODUCT(--(設定!$B$11:$B$60="OS（Linux/Windows）")*--(整形回答!F14:BC14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" s="10">
        <f>IF(D14="","",IF(SUMPRODUCT(--(設定!$B$11:$B$60="AWS")*XLOOKUP(設定!$B$11:$B$60,設定!$A$5:$A$7,設定!$B$5:$B$7)*XLOOKUP(設定!$C$11:$C$60,設定!$D$5:$D$7,設定!$E$5:$E$7))=0,"",SUMPRODUCT(--(設定!$B$11:$B$60="AWS")*--(整形回答!F14:BC14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" s="10">
        <f>IF(D14="","",IF(SUMPRODUCT(--(設定!$B$11:$B$60="NW/Security")*XLOOKUP(設定!$B$11:$B$60,設定!$A$5:$A$7,設定!$B$5:$B$7)*XLOOKUP(設定!$C$11:$C$60,設定!$D$5:$D$7,設定!$E$5:$E$7))=0,"",SUMPRODUCT(--(設定!$B$11:$B$60="NW/Security")*--(整形回答!F14:BC14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" s="8">
        <f>IF(F14="","",IF(F14&gt;=85,"即戦力",IF(F14&gt;=70,"主担当",IF(F14&gt;=55,"サポート","育成"))))</f>
        <v/>
      </c>
      <c r="K14" s="8">
        <f>整形回答!E14</f>
        <v/>
      </c>
    </row>
    <row r="15">
      <c r="A15" s="8">
        <f>整形回答!A15</f>
        <v/>
      </c>
      <c r="B15" s="9">
        <f>整形回答!B15</f>
        <v/>
      </c>
      <c r="C15" s="9">
        <f>整形回答!C15</f>
        <v/>
      </c>
      <c r="D15" s="8">
        <f>IF(B15="","",SUMPRODUCT(--(整形回答!F15:BC15=正解キー!$B$2:$B$51)*XLOOKUP(設定!$B$11:$B$60,設定!$A$5:$A$7,設定!$B$5:$B$7)*XLOOKUP(設定!$C$11:$C$60,設定!$D$5:$D$7,設定!$E$5:$E$7)))</f>
        <v/>
      </c>
      <c r="E15" s="8">
        <f>SUMPRODUCT(XLOOKUP(設定!$B$11:$B$60,設定!$A$5:$A$7,設定!$B$5:$B$7)*XLOOKUP(設定!$C$11:$C$60,設定!$D$5:$D$7,設定!$E$5:$E$7))</f>
        <v/>
      </c>
      <c r="F15" s="10">
        <f>IF(D15="","",D15/E15*100)</f>
        <v/>
      </c>
      <c r="G15" s="10">
        <f>IF(D15="","",IF(SUMPRODUCT(--(設定!$B$11:$B$60="OS（Linux/Windows）")*XLOOKUP(設定!$B$11:$B$60,設定!$A$5:$A$7,設定!$B$5:$B$7)*XLOOKUP(設定!$C$11:$C$60,設定!$D$5:$D$7,設定!$E$5:$E$7))=0,"",SUMPRODUCT(--(設定!$B$11:$B$60="OS（Linux/Windows）")*--(整形回答!F15:BC15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" s="10">
        <f>IF(D15="","",IF(SUMPRODUCT(--(設定!$B$11:$B$60="AWS")*XLOOKUP(設定!$B$11:$B$60,設定!$A$5:$A$7,設定!$B$5:$B$7)*XLOOKUP(設定!$C$11:$C$60,設定!$D$5:$D$7,設定!$E$5:$E$7))=0,"",SUMPRODUCT(--(設定!$B$11:$B$60="AWS")*--(整形回答!F15:BC15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" s="10">
        <f>IF(D15="","",IF(SUMPRODUCT(--(設定!$B$11:$B$60="NW/Security")*XLOOKUP(設定!$B$11:$B$60,設定!$A$5:$A$7,設定!$B$5:$B$7)*XLOOKUP(設定!$C$11:$C$60,設定!$D$5:$D$7,設定!$E$5:$E$7))=0,"",SUMPRODUCT(--(設定!$B$11:$B$60="NW/Security")*--(整形回答!F15:BC15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" s="8">
        <f>IF(F15="","",IF(F15&gt;=85,"即戦力",IF(F15&gt;=70,"主担当",IF(F15&gt;=55,"サポート","育成"))))</f>
        <v/>
      </c>
      <c r="K15" s="8">
        <f>整形回答!E15</f>
        <v/>
      </c>
    </row>
    <row r="16">
      <c r="A16" s="8">
        <f>整形回答!A16</f>
        <v/>
      </c>
      <c r="B16" s="9">
        <f>整形回答!B16</f>
        <v/>
      </c>
      <c r="C16" s="9">
        <f>整形回答!C16</f>
        <v/>
      </c>
      <c r="D16" s="8">
        <f>IF(B16="","",SUMPRODUCT(--(整形回答!F16:BC16=正解キー!$B$2:$B$51)*XLOOKUP(設定!$B$11:$B$60,設定!$A$5:$A$7,設定!$B$5:$B$7)*XLOOKUP(設定!$C$11:$C$60,設定!$D$5:$D$7,設定!$E$5:$E$7)))</f>
        <v/>
      </c>
      <c r="E16" s="8">
        <f>SUMPRODUCT(XLOOKUP(設定!$B$11:$B$60,設定!$A$5:$A$7,設定!$B$5:$B$7)*XLOOKUP(設定!$C$11:$C$60,設定!$D$5:$D$7,設定!$E$5:$E$7))</f>
        <v/>
      </c>
      <c r="F16" s="10">
        <f>IF(D16="","",D16/E16*100)</f>
        <v/>
      </c>
      <c r="G16" s="10">
        <f>IF(D16="","",IF(SUMPRODUCT(--(設定!$B$11:$B$60="OS（Linux/Windows）")*XLOOKUP(設定!$B$11:$B$60,設定!$A$5:$A$7,設定!$B$5:$B$7)*XLOOKUP(設定!$C$11:$C$60,設定!$D$5:$D$7,設定!$E$5:$E$7))=0,"",SUMPRODUCT(--(設定!$B$11:$B$60="OS（Linux/Windows）")*--(整形回答!F16:BC16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" s="10">
        <f>IF(D16="","",IF(SUMPRODUCT(--(設定!$B$11:$B$60="AWS")*XLOOKUP(設定!$B$11:$B$60,設定!$A$5:$A$7,設定!$B$5:$B$7)*XLOOKUP(設定!$C$11:$C$60,設定!$D$5:$D$7,設定!$E$5:$E$7))=0,"",SUMPRODUCT(--(設定!$B$11:$B$60="AWS")*--(整形回答!F16:BC16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" s="10">
        <f>IF(D16="","",IF(SUMPRODUCT(--(設定!$B$11:$B$60="NW/Security")*XLOOKUP(設定!$B$11:$B$60,設定!$A$5:$A$7,設定!$B$5:$B$7)*XLOOKUP(設定!$C$11:$C$60,設定!$D$5:$D$7,設定!$E$5:$E$7))=0,"",SUMPRODUCT(--(設定!$B$11:$B$60="NW/Security")*--(整形回答!F16:BC16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" s="8">
        <f>IF(F16="","",IF(F16&gt;=85,"即戦力",IF(F16&gt;=70,"主担当",IF(F16&gt;=55,"サポート","育成"))))</f>
        <v/>
      </c>
      <c r="K16" s="8">
        <f>整形回答!E16</f>
        <v/>
      </c>
    </row>
    <row r="17">
      <c r="A17" s="8">
        <f>整形回答!A17</f>
        <v/>
      </c>
      <c r="B17" s="9">
        <f>整形回答!B17</f>
        <v/>
      </c>
      <c r="C17" s="9">
        <f>整形回答!C17</f>
        <v/>
      </c>
      <c r="D17" s="8">
        <f>IF(B17="","",SUMPRODUCT(--(整形回答!F17:BC17=正解キー!$B$2:$B$51)*XLOOKUP(設定!$B$11:$B$60,設定!$A$5:$A$7,設定!$B$5:$B$7)*XLOOKUP(設定!$C$11:$C$60,設定!$D$5:$D$7,設定!$E$5:$E$7)))</f>
        <v/>
      </c>
      <c r="E17" s="8">
        <f>SUMPRODUCT(XLOOKUP(設定!$B$11:$B$60,設定!$A$5:$A$7,設定!$B$5:$B$7)*XLOOKUP(設定!$C$11:$C$60,設定!$D$5:$D$7,設定!$E$5:$E$7))</f>
        <v/>
      </c>
      <c r="F17" s="10">
        <f>IF(D17="","",D17/E17*100)</f>
        <v/>
      </c>
      <c r="G17" s="10">
        <f>IF(D17="","",IF(SUMPRODUCT(--(設定!$B$11:$B$60="OS（Linux/Windows）")*XLOOKUP(設定!$B$11:$B$60,設定!$A$5:$A$7,設定!$B$5:$B$7)*XLOOKUP(設定!$C$11:$C$60,設定!$D$5:$D$7,設定!$E$5:$E$7))=0,"",SUMPRODUCT(--(設定!$B$11:$B$60="OS（Linux/Windows）")*--(整形回答!F17:BC17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" s="10">
        <f>IF(D17="","",IF(SUMPRODUCT(--(設定!$B$11:$B$60="AWS")*XLOOKUP(設定!$B$11:$B$60,設定!$A$5:$A$7,設定!$B$5:$B$7)*XLOOKUP(設定!$C$11:$C$60,設定!$D$5:$D$7,設定!$E$5:$E$7))=0,"",SUMPRODUCT(--(設定!$B$11:$B$60="AWS")*--(整形回答!F17:BC17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" s="10">
        <f>IF(D17="","",IF(SUMPRODUCT(--(設定!$B$11:$B$60="NW/Security")*XLOOKUP(設定!$B$11:$B$60,設定!$A$5:$A$7,設定!$B$5:$B$7)*XLOOKUP(設定!$C$11:$C$60,設定!$D$5:$D$7,設定!$E$5:$E$7))=0,"",SUMPRODUCT(--(設定!$B$11:$B$60="NW/Security")*--(整形回答!F17:BC17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" s="8">
        <f>IF(F17="","",IF(F17&gt;=85,"即戦力",IF(F17&gt;=70,"主担当",IF(F17&gt;=55,"サポート","育成"))))</f>
        <v/>
      </c>
      <c r="K17" s="8">
        <f>整形回答!E17</f>
        <v/>
      </c>
    </row>
    <row r="18">
      <c r="A18" s="8">
        <f>整形回答!A18</f>
        <v/>
      </c>
      <c r="B18" s="9">
        <f>整形回答!B18</f>
        <v/>
      </c>
      <c r="C18" s="9">
        <f>整形回答!C18</f>
        <v/>
      </c>
      <c r="D18" s="8">
        <f>IF(B18="","",SUMPRODUCT(--(整形回答!F18:BC18=正解キー!$B$2:$B$51)*XLOOKUP(設定!$B$11:$B$60,設定!$A$5:$A$7,設定!$B$5:$B$7)*XLOOKUP(設定!$C$11:$C$60,設定!$D$5:$D$7,設定!$E$5:$E$7)))</f>
        <v/>
      </c>
      <c r="E18" s="8">
        <f>SUMPRODUCT(XLOOKUP(設定!$B$11:$B$60,設定!$A$5:$A$7,設定!$B$5:$B$7)*XLOOKUP(設定!$C$11:$C$60,設定!$D$5:$D$7,設定!$E$5:$E$7))</f>
        <v/>
      </c>
      <c r="F18" s="10">
        <f>IF(D18="","",D18/E18*100)</f>
        <v/>
      </c>
      <c r="G18" s="10">
        <f>IF(D18="","",IF(SUMPRODUCT(--(設定!$B$11:$B$60="OS（Linux/Windows）")*XLOOKUP(設定!$B$11:$B$60,設定!$A$5:$A$7,設定!$B$5:$B$7)*XLOOKUP(設定!$C$11:$C$60,設定!$D$5:$D$7,設定!$E$5:$E$7))=0,"",SUMPRODUCT(--(設定!$B$11:$B$60="OS（Linux/Windows）")*--(整形回答!F18:BC18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" s="10">
        <f>IF(D18="","",IF(SUMPRODUCT(--(設定!$B$11:$B$60="AWS")*XLOOKUP(設定!$B$11:$B$60,設定!$A$5:$A$7,設定!$B$5:$B$7)*XLOOKUP(設定!$C$11:$C$60,設定!$D$5:$D$7,設定!$E$5:$E$7))=0,"",SUMPRODUCT(--(設定!$B$11:$B$60="AWS")*--(整形回答!F18:BC18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" s="10">
        <f>IF(D18="","",IF(SUMPRODUCT(--(設定!$B$11:$B$60="NW/Security")*XLOOKUP(設定!$B$11:$B$60,設定!$A$5:$A$7,設定!$B$5:$B$7)*XLOOKUP(設定!$C$11:$C$60,設定!$D$5:$D$7,設定!$E$5:$E$7))=0,"",SUMPRODUCT(--(設定!$B$11:$B$60="NW/Security")*--(整形回答!F18:BC18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" s="8">
        <f>IF(F18="","",IF(F18&gt;=85,"即戦力",IF(F18&gt;=70,"主担当",IF(F18&gt;=55,"サポート","育成"))))</f>
        <v/>
      </c>
      <c r="K18" s="8">
        <f>整形回答!E18</f>
        <v/>
      </c>
    </row>
    <row r="19">
      <c r="A19" s="8">
        <f>整形回答!A19</f>
        <v/>
      </c>
      <c r="B19" s="9">
        <f>整形回答!B19</f>
        <v/>
      </c>
      <c r="C19" s="9">
        <f>整形回答!C19</f>
        <v/>
      </c>
      <c r="D19" s="8">
        <f>IF(B19="","",SUMPRODUCT(--(整形回答!F19:BC19=正解キー!$B$2:$B$51)*XLOOKUP(設定!$B$11:$B$60,設定!$A$5:$A$7,設定!$B$5:$B$7)*XLOOKUP(設定!$C$11:$C$60,設定!$D$5:$D$7,設定!$E$5:$E$7)))</f>
        <v/>
      </c>
      <c r="E19" s="8">
        <f>SUMPRODUCT(XLOOKUP(設定!$B$11:$B$60,設定!$A$5:$A$7,設定!$B$5:$B$7)*XLOOKUP(設定!$C$11:$C$60,設定!$D$5:$D$7,設定!$E$5:$E$7))</f>
        <v/>
      </c>
      <c r="F19" s="10">
        <f>IF(D19="","",D19/E19*100)</f>
        <v/>
      </c>
      <c r="G19" s="10">
        <f>IF(D19="","",IF(SUMPRODUCT(--(設定!$B$11:$B$60="OS（Linux/Windows）")*XLOOKUP(設定!$B$11:$B$60,設定!$A$5:$A$7,設定!$B$5:$B$7)*XLOOKUP(設定!$C$11:$C$60,設定!$D$5:$D$7,設定!$E$5:$E$7))=0,"",SUMPRODUCT(--(設定!$B$11:$B$60="OS（Linux/Windows）")*--(整形回答!F19:BC19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" s="10">
        <f>IF(D19="","",IF(SUMPRODUCT(--(設定!$B$11:$B$60="AWS")*XLOOKUP(設定!$B$11:$B$60,設定!$A$5:$A$7,設定!$B$5:$B$7)*XLOOKUP(設定!$C$11:$C$60,設定!$D$5:$D$7,設定!$E$5:$E$7))=0,"",SUMPRODUCT(--(設定!$B$11:$B$60="AWS")*--(整形回答!F19:BC19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" s="10">
        <f>IF(D19="","",IF(SUMPRODUCT(--(設定!$B$11:$B$60="NW/Security")*XLOOKUP(設定!$B$11:$B$60,設定!$A$5:$A$7,設定!$B$5:$B$7)*XLOOKUP(設定!$C$11:$C$60,設定!$D$5:$D$7,設定!$E$5:$E$7))=0,"",SUMPRODUCT(--(設定!$B$11:$B$60="NW/Security")*--(整形回答!F19:BC19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" s="8">
        <f>IF(F19="","",IF(F19&gt;=85,"即戦力",IF(F19&gt;=70,"主担当",IF(F19&gt;=55,"サポート","育成"))))</f>
        <v/>
      </c>
      <c r="K19" s="8">
        <f>整形回答!E19</f>
        <v/>
      </c>
    </row>
    <row r="20">
      <c r="A20" s="8">
        <f>整形回答!A20</f>
        <v/>
      </c>
      <c r="B20" s="9">
        <f>整形回答!B20</f>
        <v/>
      </c>
      <c r="C20" s="9">
        <f>整形回答!C20</f>
        <v/>
      </c>
      <c r="D20" s="8">
        <f>IF(B20="","",SUMPRODUCT(--(整形回答!F20:BC20=正解キー!$B$2:$B$51)*XLOOKUP(設定!$B$11:$B$60,設定!$A$5:$A$7,設定!$B$5:$B$7)*XLOOKUP(設定!$C$11:$C$60,設定!$D$5:$D$7,設定!$E$5:$E$7)))</f>
        <v/>
      </c>
      <c r="E20" s="8">
        <f>SUMPRODUCT(XLOOKUP(設定!$B$11:$B$60,設定!$A$5:$A$7,設定!$B$5:$B$7)*XLOOKUP(設定!$C$11:$C$60,設定!$D$5:$D$7,設定!$E$5:$E$7))</f>
        <v/>
      </c>
      <c r="F20" s="10">
        <f>IF(D20="","",D20/E20*100)</f>
        <v/>
      </c>
      <c r="G20" s="10">
        <f>IF(D20="","",IF(SUMPRODUCT(--(設定!$B$11:$B$60="OS（Linux/Windows）")*XLOOKUP(設定!$B$11:$B$60,設定!$A$5:$A$7,設定!$B$5:$B$7)*XLOOKUP(設定!$C$11:$C$60,設定!$D$5:$D$7,設定!$E$5:$E$7))=0,"",SUMPRODUCT(--(設定!$B$11:$B$60="OS（Linux/Windows）")*--(整形回答!F20:BC20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0" s="10">
        <f>IF(D20="","",IF(SUMPRODUCT(--(設定!$B$11:$B$60="AWS")*XLOOKUP(設定!$B$11:$B$60,設定!$A$5:$A$7,設定!$B$5:$B$7)*XLOOKUP(設定!$C$11:$C$60,設定!$D$5:$D$7,設定!$E$5:$E$7))=0,"",SUMPRODUCT(--(設定!$B$11:$B$60="AWS")*--(整形回答!F20:BC20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0" s="10">
        <f>IF(D20="","",IF(SUMPRODUCT(--(設定!$B$11:$B$60="NW/Security")*XLOOKUP(設定!$B$11:$B$60,設定!$A$5:$A$7,設定!$B$5:$B$7)*XLOOKUP(設定!$C$11:$C$60,設定!$D$5:$D$7,設定!$E$5:$E$7))=0,"",SUMPRODUCT(--(設定!$B$11:$B$60="NW/Security")*--(整形回答!F20:BC20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0" s="8">
        <f>IF(F20="","",IF(F20&gt;=85,"即戦力",IF(F20&gt;=70,"主担当",IF(F20&gt;=55,"サポート","育成"))))</f>
        <v/>
      </c>
      <c r="K20" s="8">
        <f>整形回答!E20</f>
        <v/>
      </c>
    </row>
    <row r="21">
      <c r="A21" s="8">
        <f>整形回答!A21</f>
        <v/>
      </c>
      <c r="B21" s="9">
        <f>整形回答!B21</f>
        <v/>
      </c>
      <c r="C21" s="9">
        <f>整形回答!C21</f>
        <v/>
      </c>
      <c r="D21" s="8">
        <f>IF(B21="","",SUMPRODUCT(--(整形回答!F21:BC21=正解キー!$B$2:$B$51)*XLOOKUP(設定!$B$11:$B$60,設定!$A$5:$A$7,設定!$B$5:$B$7)*XLOOKUP(設定!$C$11:$C$60,設定!$D$5:$D$7,設定!$E$5:$E$7)))</f>
        <v/>
      </c>
      <c r="E21" s="8">
        <f>SUMPRODUCT(XLOOKUP(設定!$B$11:$B$60,設定!$A$5:$A$7,設定!$B$5:$B$7)*XLOOKUP(設定!$C$11:$C$60,設定!$D$5:$D$7,設定!$E$5:$E$7))</f>
        <v/>
      </c>
      <c r="F21" s="10">
        <f>IF(D21="","",D21/E21*100)</f>
        <v/>
      </c>
      <c r="G21" s="10">
        <f>IF(D21="","",IF(SUMPRODUCT(--(設定!$B$11:$B$60="OS（Linux/Windows）")*XLOOKUP(設定!$B$11:$B$60,設定!$A$5:$A$7,設定!$B$5:$B$7)*XLOOKUP(設定!$C$11:$C$60,設定!$D$5:$D$7,設定!$E$5:$E$7))=0,"",SUMPRODUCT(--(設定!$B$11:$B$60="OS（Linux/Windows）")*--(整形回答!F21:BC21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1" s="10">
        <f>IF(D21="","",IF(SUMPRODUCT(--(設定!$B$11:$B$60="AWS")*XLOOKUP(設定!$B$11:$B$60,設定!$A$5:$A$7,設定!$B$5:$B$7)*XLOOKUP(設定!$C$11:$C$60,設定!$D$5:$D$7,設定!$E$5:$E$7))=0,"",SUMPRODUCT(--(設定!$B$11:$B$60="AWS")*--(整形回答!F21:BC21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1" s="10">
        <f>IF(D21="","",IF(SUMPRODUCT(--(設定!$B$11:$B$60="NW/Security")*XLOOKUP(設定!$B$11:$B$60,設定!$A$5:$A$7,設定!$B$5:$B$7)*XLOOKUP(設定!$C$11:$C$60,設定!$D$5:$D$7,設定!$E$5:$E$7))=0,"",SUMPRODUCT(--(設定!$B$11:$B$60="NW/Security")*--(整形回答!F21:BC21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1" s="8">
        <f>IF(F21="","",IF(F21&gt;=85,"即戦力",IF(F21&gt;=70,"主担当",IF(F21&gt;=55,"サポート","育成"))))</f>
        <v/>
      </c>
      <c r="K21" s="8">
        <f>整形回答!E21</f>
        <v/>
      </c>
    </row>
    <row r="22">
      <c r="A22" s="8">
        <f>整形回答!A22</f>
        <v/>
      </c>
      <c r="B22" s="9">
        <f>整形回答!B22</f>
        <v/>
      </c>
      <c r="C22" s="9">
        <f>整形回答!C22</f>
        <v/>
      </c>
      <c r="D22" s="8">
        <f>IF(B22="","",SUMPRODUCT(--(整形回答!F22:BC22=正解キー!$B$2:$B$51)*XLOOKUP(設定!$B$11:$B$60,設定!$A$5:$A$7,設定!$B$5:$B$7)*XLOOKUP(設定!$C$11:$C$60,設定!$D$5:$D$7,設定!$E$5:$E$7)))</f>
        <v/>
      </c>
      <c r="E22" s="8">
        <f>SUMPRODUCT(XLOOKUP(設定!$B$11:$B$60,設定!$A$5:$A$7,設定!$B$5:$B$7)*XLOOKUP(設定!$C$11:$C$60,設定!$D$5:$D$7,設定!$E$5:$E$7))</f>
        <v/>
      </c>
      <c r="F22" s="10">
        <f>IF(D22="","",D22/E22*100)</f>
        <v/>
      </c>
      <c r="G22" s="10">
        <f>IF(D22="","",IF(SUMPRODUCT(--(設定!$B$11:$B$60="OS（Linux/Windows）")*XLOOKUP(設定!$B$11:$B$60,設定!$A$5:$A$7,設定!$B$5:$B$7)*XLOOKUP(設定!$C$11:$C$60,設定!$D$5:$D$7,設定!$E$5:$E$7))=0,"",SUMPRODUCT(--(設定!$B$11:$B$60="OS（Linux/Windows）")*--(整形回答!F22:BC22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2" s="10">
        <f>IF(D22="","",IF(SUMPRODUCT(--(設定!$B$11:$B$60="AWS")*XLOOKUP(設定!$B$11:$B$60,設定!$A$5:$A$7,設定!$B$5:$B$7)*XLOOKUP(設定!$C$11:$C$60,設定!$D$5:$D$7,設定!$E$5:$E$7))=0,"",SUMPRODUCT(--(設定!$B$11:$B$60="AWS")*--(整形回答!F22:BC22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2" s="10">
        <f>IF(D22="","",IF(SUMPRODUCT(--(設定!$B$11:$B$60="NW/Security")*XLOOKUP(設定!$B$11:$B$60,設定!$A$5:$A$7,設定!$B$5:$B$7)*XLOOKUP(設定!$C$11:$C$60,設定!$D$5:$D$7,設定!$E$5:$E$7))=0,"",SUMPRODUCT(--(設定!$B$11:$B$60="NW/Security")*--(整形回答!F22:BC22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2" s="8">
        <f>IF(F22="","",IF(F22&gt;=85,"即戦力",IF(F22&gt;=70,"主担当",IF(F22&gt;=55,"サポート","育成"))))</f>
        <v/>
      </c>
      <c r="K22" s="8">
        <f>整形回答!E22</f>
        <v/>
      </c>
    </row>
    <row r="23">
      <c r="A23" s="8">
        <f>整形回答!A23</f>
        <v/>
      </c>
      <c r="B23" s="9">
        <f>整形回答!B23</f>
        <v/>
      </c>
      <c r="C23" s="9">
        <f>整形回答!C23</f>
        <v/>
      </c>
      <c r="D23" s="8">
        <f>IF(B23="","",SUMPRODUCT(--(整形回答!F23:BC23=正解キー!$B$2:$B$51)*XLOOKUP(設定!$B$11:$B$60,設定!$A$5:$A$7,設定!$B$5:$B$7)*XLOOKUP(設定!$C$11:$C$60,設定!$D$5:$D$7,設定!$E$5:$E$7)))</f>
        <v/>
      </c>
      <c r="E23" s="8">
        <f>SUMPRODUCT(XLOOKUP(設定!$B$11:$B$60,設定!$A$5:$A$7,設定!$B$5:$B$7)*XLOOKUP(設定!$C$11:$C$60,設定!$D$5:$D$7,設定!$E$5:$E$7))</f>
        <v/>
      </c>
      <c r="F23" s="10">
        <f>IF(D23="","",D23/E23*100)</f>
        <v/>
      </c>
      <c r="G23" s="10">
        <f>IF(D23="","",IF(SUMPRODUCT(--(設定!$B$11:$B$60="OS（Linux/Windows）")*XLOOKUP(設定!$B$11:$B$60,設定!$A$5:$A$7,設定!$B$5:$B$7)*XLOOKUP(設定!$C$11:$C$60,設定!$D$5:$D$7,設定!$E$5:$E$7))=0,"",SUMPRODUCT(--(設定!$B$11:$B$60="OS（Linux/Windows）")*--(整形回答!F23:BC23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3" s="10">
        <f>IF(D23="","",IF(SUMPRODUCT(--(設定!$B$11:$B$60="AWS")*XLOOKUP(設定!$B$11:$B$60,設定!$A$5:$A$7,設定!$B$5:$B$7)*XLOOKUP(設定!$C$11:$C$60,設定!$D$5:$D$7,設定!$E$5:$E$7))=0,"",SUMPRODUCT(--(設定!$B$11:$B$60="AWS")*--(整形回答!F23:BC23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3" s="10">
        <f>IF(D23="","",IF(SUMPRODUCT(--(設定!$B$11:$B$60="NW/Security")*XLOOKUP(設定!$B$11:$B$60,設定!$A$5:$A$7,設定!$B$5:$B$7)*XLOOKUP(設定!$C$11:$C$60,設定!$D$5:$D$7,設定!$E$5:$E$7))=0,"",SUMPRODUCT(--(設定!$B$11:$B$60="NW/Security")*--(整形回答!F23:BC23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3" s="8">
        <f>IF(F23="","",IF(F23&gt;=85,"即戦力",IF(F23&gt;=70,"主担当",IF(F23&gt;=55,"サポート","育成"))))</f>
        <v/>
      </c>
      <c r="K23" s="8">
        <f>整形回答!E23</f>
        <v/>
      </c>
    </row>
    <row r="24">
      <c r="A24" s="8">
        <f>整形回答!A24</f>
        <v/>
      </c>
      <c r="B24" s="9">
        <f>整形回答!B24</f>
        <v/>
      </c>
      <c r="C24" s="9">
        <f>整形回答!C24</f>
        <v/>
      </c>
      <c r="D24" s="8">
        <f>IF(B24="","",SUMPRODUCT(--(整形回答!F24:BC24=正解キー!$B$2:$B$51)*XLOOKUP(設定!$B$11:$B$60,設定!$A$5:$A$7,設定!$B$5:$B$7)*XLOOKUP(設定!$C$11:$C$60,設定!$D$5:$D$7,設定!$E$5:$E$7)))</f>
        <v/>
      </c>
      <c r="E24" s="8">
        <f>SUMPRODUCT(XLOOKUP(設定!$B$11:$B$60,設定!$A$5:$A$7,設定!$B$5:$B$7)*XLOOKUP(設定!$C$11:$C$60,設定!$D$5:$D$7,設定!$E$5:$E$7))</f>
        <v/>
      </c>
      <c r="F24" s="10">
        <f>IF(D24="","",D24/E24*100)</f>
        <v/>
      </c>
      <c r="G24" s="10">
        <f>IF(D24="","",IF(SUMPRODUCT(--(設定!$B$11:$B$60="OS（Linux/Windows）")*XLOOKUP(設定!$B$11:$B$60,設定!$A$5:$A$7,設定!$B$5:$B$7)*XLOOKUP(設定!$C$11:$C$60,設定!$D$5:$D$7,設定!$E$5:$E$7))=0,"",SUMPRODUCT(--(設定!$B$11:$B$60="OS（Linux/Windows）")*--(整形回答!F24:BC24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4" s="10">
        <f>IF(D24="","",IF(SUMPRODUCT(--(設定!$B$11:$B$60="AWS")*XLOOKUP(設定!$B$11:$B$60,設定!$A$5:$A$7,設定!$B$5:$B$7)*XLOOKUP(設定!$C$11:$C$60,設定!$D$5:$D$7,設定!$E$5:$E$7))=0,"",SUMPRODUCT(--(設定!$B$11:$B$60="AWS")*--(整形回答!F24:BC24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4" s="10">
        <f>IF(D24="","",IF(SUMPRODUCT(--(設定!$B$11:$B$60="NW/Security")*XLOOKUP(設定!$B$11:$B$60,設定!$A$5:$A$7,設定!$B$5:$B$7)*XLOOKUP(設定!$C$11:$C$60,設定!$D$5:$D$7,設定!$E$5:$E$7))=0,"",SUMPRODUCT(--(設定!$B$11:$B$60="NW/Security")*--(整形回答!F24:BC24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4" s="8">
        <f>IF(F24="","",IF(F24&gt;=85,"即戦力",IF(F24&gt;=70,"主担当",IF(F24&gt;=55,"サポート","育成"))))</f>
        <v/>
      </c>
      <c r="K24" s="8">
        <f>整形回答!E24</f>
        <v/>
      </c>
    </row>
    <row r="25">
      <c r="A25" s="8">
        <f>整形回答!A25</f>
        <v/>
      </c>
      <c r="B25" s="9">
        <f>整形回答!B25</f>
        <v/>
      </c>
      <c r="C25" s="9">
        <f>整形回答!C25</f>
        <v/>
      </c>
      <c r="D25" s="8">
        <f>IF(B25="","",SUMPRODUCT(--(整形回答!F25:BC25=正解キー!$B$2:$B$51)*XLOOKUP(設定!$B$11:$B$60,設定!$A$5:$A$7,設定!$B$5:$B$7)*XLOOKUP(設定!$C$11:$C$60,設定!$D$5:$D$7,設定!$E$5:$E$7)))</f>
        <v/>
      </c>
      <c r="E25" s="8">
        <f>SUMPRODUCT(XLOOKUP(設定!$B$11:$B$60,設定!$A$5:$A$7,設定!$B$5:$B$7)*XLOOKUP(設定!$C$11:$C$60,設定!$D$5:$D$7,設定!$E$5:$E$7))</f>
        <v/>
      </c>
      <c r="F25" s="10">
        <f>IF(D25="","",D25/E25*100)</f>
        <v/>
      </c>
      <c r="G25" s="10">
        <f>IF(D25="","",IF(SUMPRODUCT(--(設定!$B$11:$B$60="OS（Linux/Windows）")*XLOOKUP(設定!$B$11:$B$60,設定!$A$5:$A$7,設定!$B$5:$B$7)*XLOOKUP(設定!$C$11:$C$60,設定!$D$5:$D$7,設定!$E$5:$E$7))=0,"",SUMPRODUCT(--(設定!$B$11:$B$60="OS（Linux/Windows）")*--(整形回答!F25:BC25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5" s="10">
        <f>IF(D25="","",IF(SUMPRODUCT(--(設定!$B$11:$B$60="AWS")*XLOOKUP(設定!$B$11:$B$60,設定!$A$5:$A$7,設定!$B$5:$B$7)*XLOOKUP(設定!$C$11:$C$60,設定!$D$5:$D$7,設定!$E$5:$E$7))=0,"",SUMPRODUCT(--(設定!$B$11:$B$60="AWS")*--(整形回答!F25:BC25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5" s="10">
        <f>IF(D25="","",IF(SUMPRODUCT(--(設定!$B$11:$B$60="NW/Security")*XLOOKUP(設定!$B$11:$B$60,設定!$A$5:$A$7,設定!$B$5:$B$7)*XLOOKUP(設定!$C$11:$C$60,設定!$D$5:$D$7,設定!$E$5:$E$7))=0,"",SUMPRODUCT(--(設定!$B$11:$B$60="NW/Security")*--(整形回答!F25:BC25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5" s="8">
        <f>IF(F25="","",IF(F25&gt;=85,"即戦力",IF(F25&gt;=70,"主担当",IF(F25&gt;=55,"サポート","育成"))))</f>
        <v/>
      </c>
      <c r="K25" s="8">
        <f>整形回答!E25</f>
        <v/>
      </c>
    </row>
    <row r="26">
      <c r="A26" s="8">
        <f>整形回答!A26</f>
        <v/>
      </c>
      <c r="B26" s="9">
        <f>整形回答!B26</f>
        <v/>
      </c>
      <c r="C26" s="9">
        <f>整形回答!C26</f>
        <v/>
      </c>
      <c r="D26" s="8">
        <f>IF(B26="","",SUMPRODUCT(--(整形回答!F26:BC26=正解キー!$B$2:$B$51)*XLOOKUP(設定!$B$11:$B$60,設定!$A$5:$A$7,設定!$B$5:$B$7)*XLOOKUP(設定!$C$11:$C$60,設定!$D$5:$D$7,設定!$E$5:$E$7)))</f>
        <v/>
      </c>
      <c r="E26" s="8">
        <f>SUMPRODUCT(XLOOKUP(設定!$B$11:$B$60,設定!$A$5:$A$7,設定!$B$5:$B$7)*XLOOKUP(設定!$C$11:$C$60,設定!$D$5:$D$7,設定!$E$5:$E$7))</f>
        <v/>
      </c>
      <c r="F26" s="10">
        <f>IF(D26="","",D26/E26*100)</f>
        <v/>
      </c>
      <c r="G26" s="10">
        <f>IF(D26="","",IF(SUMPRODUCT(--(設定!$B$11:$B$60="OS（Linux/Windows）")*XLOOKUP(設定!$B$11:$B$60,設定!$A$5:$A$7,設定!$B$5:$B$7)*XLOOKUP(設定!$C$11:$C$60,設定!$D$5:$D$7,設定!$E$5:$E$7))=0,"",SUMPRODUCT(--(設定!$B$11:$B$60="OS（Linux/Windows）")*--(整形回答!F26:BC26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6" s="10">
        <f>IF(D26="","",IF(SUMPRODUCT(--(設定!$B$11:$B$60="AWS")*XLOOKUP(設定!$B$11:$B$60,設定!$A$5:$A$7,設定!$B$5:$B$7)*XLOOKUP(設定!$C$11:$C$60,設定!$D$5:$D$7,設定!$E$5:$E$7))=0,"",SUMPRODUCT(--(設定!$B$11:$B$60="AWS")*--(整形回答!F26:BC26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6" s="10">
        <f>IF(D26="","",IF(SUMPRODUCT(--(設定!$B$11:$B$60="NW/Security")*XLOOKUP(設定!$B$11:$B$60,設定!$A$5:$A$7,設定!$B$5:$B$7)*XLOOKUP(設定!$C$11:$C$60,設定!$D$5:$D$7,設定!$E$5:$E$7))=0,"",SUMPRODUCT(--(設定!$B$11:$B$60="NW/Security")*--(整形回答!F26:BC26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6" s="8">
        <f>IF(F26="","",IF(F26&gt;=85,"即戦力",IF(F26&gt;=70,"主担当",IF(F26&gt;=55,"サポート","育成"))))</f>
        <v/>
      </c>
      <c r="K26" s="8">
        <f>整形回答!E26</f>
        <v/>
      </c>
    </row>
    <row r="27">
      <c r="A27" s="8">
        <f>整形回答!A27</f>
        <v/>
      </c>
      <c r="B27" s="9">
        <f>整形回答!B27</f>
        <v/>
      </c>
      <c r="C27" s="9">
        <f>整形回答!C27</f>
        <v/>
      </c>
      <c r="D27" s="8">
        <f>IF(B27="","",SUMPRODUCT(--(整形回答!F27:BC27=正解キー!$B$2:$B$51)*XLOOKUP(設定!$B$11:$B$60,設定!$A$5:$A$7,設定!$B$5:$B$7)*XLOOKUP(設定!$C$11:$C$60,設定!$D$5:$D$7,設定!$E$5:$E$7)))</f>
        <v/>
      </c>
      <c r="E27" s="8">
        <f>SUMPRODUCT(XLOOKUP(設定!$B$11:$B$60,設定!$A$5:$A$7,設定!$B$5:$B$7)*XLOOKUP(設定!$C$11:$C$60,設定!$D$5:$D$7,設定!$E$5:$E$7))</f>
        <v/>
      </c>
      <c r="F27" s="10">
        <f>IF(D27="","",D27/E27*100)</f>
        <v/>
      </c>
      <c r="G27" s="10">
        <f>IF(D27="","",IF(SUMPRODUCT(--(設定!$B$11:$B$60="OS（Linux/Windows）")*XLOOKUP(設定!$B$11:$B$60,設定!$A$5:$A$7,設定!$B$5:$B$7)*XLOOKUP(設定!$C$11:$C$60,設定!$D$5:$D$7,設定!$E$5:$E$7))=0,"",SUMPRODUCT(--(設定!$B$11:$B$60="OS（Linux/Windows）")*--(整形回答!F27:BC27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7" s="10">
        <f>IF(D27="","",IF(SUMPRODUCT(--(設定!$B$11:$B$60="AWS")*XLOOKUP(設定!$B$11:$B$60,設定!$A$5:$A$7,設定!$B$5:$B$7)*XLOOKUP(設定!$C$11:$C$60,設定!$D$5:$D$7,設定!$E$5:$E$7))=0,"",SUMPRODUCT(--(設定!$B$11:$B$60="AWS")*--(整形回答!F27:BC27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7" s="10">
        <f>IF(D27="","",IF(SUMPRODUCT(--(設定!$B$11:$B$60="NW/Security")*XLOOKUP(設定!$B$11:$B$60,設定!$A$5:$A$7,設定!$B$5:$B$7)*XLOOKUP(設定!$C$11:$C$60,設定!$D$5:$D$7,設定!$E$5:$E$7))=0,"",SUMPRODUCT(--(設定!$B$11:$B$60="NW/Security")*--(整形回答!F27:BC27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7" s="8">
        <f>IF(F27="","",IF(F27&gt;=85,"即戦力",IF(F27&gt;=70,"主担当",IF(F27&gt;=55,"サポート","育成"))))</f>
        <v/>
      </c>
      <c r="K27" s="8">
        <f>整形回答!E27</f>
        <v/>
      </c>
    </row>
    <row r="28">
      <c r="A28" s="8">
        <f>整形回答!A28</f>
        <v/>
      </c>
      <c r="B28" s="9">
        <f>整形回答!B28</f>
        <v/>
      </c>
      <c r="C28" s="9">
        <f>整形回答!C28</f>
        <v/>
      </c>
      <c r="D28" s="8">
        <f>IF(B28="","",SUMPRODUCT(--(整形回答!F28:BC28=正解キー!$B$2:$B$51)*XLOOKUP(設定!$B$11:$B$60,設定!$A$5:$A$7,設定!$B$5:$B$7)*XLOOKUP(設定!$C$11:$C$60,設定!$D$5:$D$7,設定!$E$5:$E$7)))</f>
        <v/>
      </c>
      <c r="E28" s="8">
        <f>SUMPRODUCT(XLOOKUP(設定!$B$11:$B$60,設定!$A$5:$A$7,設定!$B$5:$B$7)*XLOOKUP(設定!$C$11:$C$60,設定!$D$5:$D$7,設定!$E$5:$E$7))</f>
        <v/>
      </c>
      <c r="F28" s="10">
        <f>IF(D28="","",D28/E28*100)</f>
        <v/>
      </c>
      <c r="G28" s="10">
        <f>IF(D28="","",IF(SUMPRODUCT(--(設定!$B$11:$B$60="OS（Linux/Windows）")*XLOOKUP(設定!$B$11:$B$60,設定!$A$5:$A$7,設定!$B$5:$B$7)*XLOOKUP(設定!$C$11:$C$60,設定!$D$5:$D$7,設定!$E$5:$E$7))=0,"",SUMPRODUCT(--(設定!$B$11:$B$60="OS（Linux/Windows）")*--(整形回答!F28:BC28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8" s="10">
        <f>IF(D28="","",IF(SUMPRODUCT(--(設定!$B$11:$B$60="AWS")*XLOOKUP(設定!$B$11:$B$60,設定!$A$5:$A$7,設定!$B$5:$B$7)*XLOOKUP(設定!$C$11:$C$60,設定!$D$5:$D$7,設定!$E$5:$E$7))=0,"",SUMPRODUCT(--(設定!$B$11:$B$60="AWS")*--(整形回答!F28:BC28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8" s="10">
        <f>IF(D28="","",IF(SUMPRODUCT(--(設定!$B$11:$B$60="NW/Security")*XLOOKUP(設定!$B$11:$B$60,設定!$A$5:$A$7,設定!$B$5:$B$7)*XLOOKUP(設定!$C$11:$C$60,設定!$D$5:$D$7,設定!$E$5:$E$7))=0,"",SUMPRODUCT(--(設定!$B$11:$B$60="NW/Security")*--(整形回答!F28:BC28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8" s="8">
        <f>IF(F28="","",IF(F28&gt;=85,"即戦力",IF(F28&gt;=70,"主担当",IF(F28&gt;=55,"サポート","育成"))))</f>
        <v/>
      </c>
      <c r="K28" s="8">
        <f>整形回答!E28</f>
        <v/>
      </c>
    </row>
    <row r="29">
      <c r="A29" s="8">
        <f>整形回答!A29</f>
        <v/>
      </c>
      <c r="B29" s="9">
        <f>整形回答!B29</f>
        <v/>
      </c>
      <c r="C29" s="9">
        <f>整形回答!C29</f>
        <v/>
      </c>
      <c r="D29" s="8">
        <f>IF(B29="","",SUMPRODUCT(--(整形回答!F29:BC29=正解キー!$B$2:$B$51)*XLOOKUP(設定!$B$11:$B$60,設定!$A$5:$A$7,設定!$B$5:$B$7)*XLOOKUP(設定!$C$11:$C$60,設定!$D$5:$D$7,設定!$E$5:$E$7)))</f>
        <v/>
      </c>
      <c r="E29" s="8">
        <f>SUMPRODUCT(XLOOKUP(設定!$B$11:$B$60,設定!$A$5:$A$7,設定!$B$5:$B$7)*XLOOKUP(設定!$C$11:$C$60,設定!$D$5:$D$7,設定!$E$5:$E$7))</f>
        <v/>
      </c>
      <c r="F29" s="10">
        <f>IF(D29="","",D29/E29*100)</f>
        <v/>
      </c>
      <c r="G29" s="10">
        <f>IF(D29="","",IF(SUMPRODUCT(--(設定!$B$11:$B$60="OS（Linux/Windows）")*XLOOKUP(設定!$B$11:$B$60,設定!$A$5:$A$7,設定!$B$5:$B$7)*XLOOKUP(設定!$C$11:$C$60,設定!$D$5:$D$7,設定!$E$5:$E$7))=0,"",SUMPRODUCT(--(設定!$B$11:$B$60="OS（Linux/Windows）")*--(整形回答!F29:BC29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9" s="10">
        <f>IF(D29="","",IF(SUMPRODUCT(--(設定!$B$11:$B$60="AWS")*XLOOKUP(設定!$B$11:$B$60,設定!$A$5:$A$7,設定!$B$5:$B$7)*XLOOKUP(設定!$C$11:$C$60,設定!$D$5:$D$7,設定!$E$5:$E$7))=0,"",SUMPRODUCT(--(設定!$B$11:$B$60="AWS")*--(整形回答!F29:BC29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9" s="10">
        <f>IF(D29="","",IF(SUMPRODUCT(--(設定!$B$11:$B$60="NW/Security")*XLOOKUP(設定!$B$11:$B$60,設定!$A$5:$A$7,設定!$B$5:$B$7)*XLOOKUP(設定!$C$11:$C$60,設定!$D$5:$D$7,設定!$E$5:$E$7))=0,"",SUMPRODUCT(--(設定!$B$11:$B$60="NW/Security")*--(整形回答!F29:BC29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9" s="8">
        <f>IF(F29="","",IF(F29&gt;=85,"即戦力",IF(F29&gt;=70,"主担当",IF(F29&gt;=55,"サポート","育成"))))</f>
        <v/>
      </c>
      <c r="K29" s="8">
        <f>整形回答!E29</f>
        <v/>
      </c>
    </row>
    <row r="30">
      <c r="A30" s="8">
        <f>整形回答!A30</f>
        <v/>
      </c>
      <c r="B30" s="9">
        <f>整形回答!B30</f>
        <v/>
      </c>
      <c r="C30" s="9">
        <f>整形回答!C30</f>
        <v/>
      </c>
      <c r="D30" s="8">
        <f>IF(B30="","",SUMPRODUCT(--(整形回答!F30:BC30=正解キー!$B$2:$B$51)*XLOOKUP(設定!$B$11:$B$60,設定!$A$5:$A$7,設定!$B$5:$B$7)*XLOOKUP(設定!$C$11:$C$60,設定!$D$5:$D$7,設定!$E$5:$E$7)))</f>
        <v/>
      </c>
      <c r="E30" s="8">
        <f>SUMPRODUCT(XLOOKUP(設定!$B$11:$B$60,設定!$A$5:$A$7,設定!$B$5:$B$7)*XLOOKUP(設定!$C$11:$C$60,設定!$D$5:$D$7,設定!$E$5:$E$7))</f>
        <v/>
      </c>
      <c r="F30" s="10">
        <f>IF(D30="","",D30/E30*100)</f>
        <v/>
      </c>
      <c r="G30" s="10">
        <f>IF(D30="","",IF(SUMPRODUCT(--(設定!$B$11:$B$60="OS（Linux/Windows）")*XLOOKUP(設定!$B$11:$B$60,設定!$A$5:$A$7,設定!$B$5:$B$7)*XLOOKUP(設定!$C$11:$C$60,設定!$D$5:$D$7,設定!$E$5:$E$7))=0,"",SUMPRODUCT(--(設定!$B$11:$B$60="OS（Linux/Windows）")*--(整形回答!F30:BC30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0" s="10">
        <f>IF(D30="","",IF(SUMPRODUCT(--(設定!$B$11:$B$60="AWS")*XLOOKUP(設定!$B$11:$B$60,設定!$A$5:$A$7,設定!$B$5:$B$7)*XLOOKUP(設定!$C$11:$C$60,設定!$D$5:$D$7,設定!$E$5:$E$7))=0,"",SUMPRODUCT(--(設定!$B$11:$B$60="AWS")*--(整形回答!F30:BC30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0" s="10">
        <f>IF(D30="","",IF(SUMPRODUCT(--(設定!$B$11:$B$60="NW/Security")*XLOOKUP(設定!$B$11:$B$60,設定!$A$5:$A$7,設定!$B$5:$B$7)*XLOOKUP(設定!$C$11:$C$60,設定!$D$5:$D$7,設定!$E$5:$E$7))=0,"",SUMPRODUCT(--(設定!$B$11:$B$60="NW/Security")*--(整形回答!F30:BC30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0" s="8">
        <f>IF(F30="","",IF(F30&gt;=85,"即戦力",IF(F30&gt;=70,"主担当",IF(F30&gt;=55,"サポート","育成"))))</f>
        <v/>
      </c>
      <c r="K30" s="8">
        <f>整形回答!E30</f>
        <v/>
      </c>
    </row>
    <row r="31">
      <c r="A31" s="8">
        <f>整形回答!A31</f>
        <v/>
      </c>
      <c r="B31" s="9">
        <f>整形回答!B31</f>
        <v/>
      </c>
      <c r="C31" s="9">
        <f>整形回答!C31</f>
        <v/>
      </c>
      <c r="D31" s="8">
        <f>IF(B31="","",SUMPRODUCT(--(整形回答!F31:BC31=正解キー!$B$2:$B$51)*XLOOKUP(設定!$B$11:$B$60,設定!$A$5:$A$7,設定!$B$5:$B$7)*XLOOKUP(設定!$C$11:$C$60,設定!$D$5:$D$7,設定!$E$5:$E$7)))</f>
        <v/>
      </c>
      <c r="E31" s="8">
        <f>SUMPRODUCT(XLOOKUP(設定!$B$11:$B$60,設定!$A$5:$A$7,設定!$B$5:$B$7)*XLOOKUP(設定!$C$11:$C$60,設定!$D$5:$D$7,設定!$E$5:$E$7))</f>
        <v/>
      </c>
      <c r="F31" s="10">
        <f>IF(D31="","",D31/E31*100)</f>
        <v/>
      </c>
      <c r="G31" s="10">
        <f>IF(D31="","",IF(SUMPRODUCT(--(設定!$B$11:$B$60="OS（Linux/Windows）")*XLOOKUP(設定!$B$11:$B$60,設定!$A$5:$A$7,設定!$B$5:$B$7)*XLOOKUP(設定!$C$11:$C$60,設定!$D$5:$D$7,設定!$E$5:$E$7))=0,"",SUMPRODUCT(--(設定!$B$11:$B$60="OS（Linux/Windows）")*--(整形回答!F31:BC31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1" s="10">
        <f>IF(D31="","",IF(SUMPRODUCT(--(設定!$B$11:$B$60="AWS")*XLOOKUP(設定!$B$11:$B$60,設定!$A$5:$A$7,設定!$B$5:$B$7)*XLOOKUP(設定!$C$11:$C$60,設定!$D$5:$D$7,設定!$E$5:$E$7))=0,"",SUMPRODUCT(--(設定!$B$11:$B$60="AWS")*--(整形回答!F31:BC31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1" s="10">
        <f>IF(D31="","",IF(SUMPRODUCT(--(設定!$B$11:$B$60="NW/Security")*XLOOKUP(設定!$B$11:$B$60,設定!$A$5:$A$7,設定!$B$5:$B$7)*XLOOKUP(設定!$C$11:$C$60,設定!$D$5:$D$7,設定!$E$5:$E$7))=0,"",SUMPRODUCT(--(設定!$B$11:$B$60="NW/Security")*--(整形回答!F31:BC31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1" s="8">
        <f>IF(F31="","",IF(F31&gt;=85,"即戦力",IF(F31&gt;=70,"主担当",IF(F31&gt;=55,"サポート","育成"))))</f>
        <v/>
      </c>
      <c r="K31" s="8">
        <f>整形回答!E31</f>
        <v/>
      </c>
    </row>
    <row r="32">
      <c r="A32" s="8">
        <f>整形回答!A32</f>
        <v/>
      </c>
      <c r="B32" s="9">
        <f>整形回答!B32</f>
        <v/>
      </c>
      <c r="C32" s="9">
        <f>整形回答!C32</f>
        <v/>
      </c>
      <c r="D32" s="8">
        <f>IF(B32="","",SUMPRODUCT(--(整形回答!F32:BC32=正解キー!$B$2:$B$51)*XLOOKUP(設定!$B$11:$B$60,設定!$A$5:$A$7,設定!$B$5:$B$7)*XLOOKUP(設定!$C$11:$C$60,設定!$D$5:$D$7,設定!$E$5:$E$7)))</f>
        <v/>
      </c>
      <c r="E32" s="8">
        <f>SUMPRODUCT(XLOOKUP(設定!$B$11:$B$60,設定!$A$5:$A$7,設定!$B$5:$B$7)*XLOOKUP(設定!$C$11:$C$60,設定!$D$5:$D$7,設定!$E$5:$E$7))</f>
        <v/>
      </c>
      <c r="F32" s="10">
        <f>IF(D32="","",D32/E32*100)</f>
        <v/>
      </c>
      <c r="G32" s="10">
        <f>IF(D32="","",IF(SUMPRODUCT(--(設定!$B$11:$B$60="OS（Linux/Windows）")*XLOOKUP(設定!$B$11:$B$60,設定!$A$5:$A$7,設定!$B$5:$B$7)*XLOOKUP(設定!$C$11:$C$60,設定!$D$5:$D$7,設定!$E$5:$E$7))=0,"",SUMPRODUCT(--(設定!$B$11:$B$60="OS（Linux/Windows）")*--(整形回答!F32:BC32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2" s="10">
        <f>IF(D32="","",IF(SUMPRODUCT(--(設定!$B$11:$B$60="AWS")*XLOOKUP(設定!$B$11:$B$60,設定!$A$5:$A$7,設定!$B$5:$B$7)*XLOOKUP(設定!$C$11:$C$60,設定!$D$5:$D$7,設定!$E$5:$E$7))=0,"",SUMPRODUCT(--(設定!$B$11:$B$60="AWS")*--(整形回答!F32:BC32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2" s="10">
        <f>IF(D32="","",IF(SUMPRODUCT(--(設定!$B$11:$B$60="NW/Security")*XLOOKUP(設定!$B$11:$B$60,設定!$A$5:$A$7,設定!$B$5:$B$7)*XLOOKUP(設定!$C$11:$C$60,設定!$D$5:$D$7,設定!$E$5:$E$7))=0,"",SUMPRODUCT(--(設定!$B$11:$B$60="NW/Security")*--(整形回答!F32:BC32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2" s="8">
        <f>IF(F32="","",IF(F32&gt;=85,"即戦力",IF(F32&gt;=70,"主担当",IF(F32&gt;=55,"サポート","育成"))))</f>
        <v/>
      </c>
      <c r="K32" s="8">
        <f>整形回答!E32</f>
        <v/>
      </c>
    </row>
    <row r="33">
      <c r="A33" s="8">
        <f>整形回答!A33</f>
        <v/>
      </c>
      <c r="B33" s="9">
        <f>整形回答!B33</f>
        <v/>
      </c>
      <c r="C33" s="9">
        <f>整形回答!C33</f>
        <v/>
      </c>
      <c r="D33" s="8">
        <f>IF(B33="","",SUMPRODUCT(--(整形回答!F33:BC33=正解キー!$B$2:$B$51)*XLOOKUP(設定!$B$11:$B$60,設定!$A$5:$A$7,設定!$B$5:$B$7)*XLOOKUP(設定!$C$11:$C$60,設定!$D$5:$D$7,設定!$E$5:$E$7)))</f>
        <v/>
      </c>
      <c r="E33" s="8">
        <f>SUMPRODUCT(XLOOKUP(設定!$B$11:$B$60,設定!$A$5:$A$7,設定!$B$5:$B$7)*XLOOKUP(設定!$C$11:$C$60,設定!$D$5:$D$7,設定!$E$5:$E$7))</f>
        <v/>
      </c>
      <c r="F33" s="10">
        <f>IF(D33="","",D33/E33*100)</f>
        <v/>
      </c>
      <c r="G33" s="10">
        <f>IF(D33="","",IF(SUMPRODUCT(--(設定!$B$11:$B$60="OS（Linux/Windows）")*XLOOKUP(設定!$B$11:$B$60,設定!$A$5:$A$7,設定!$B$5:$B$7)*XLOOKUP(設定!$C$11:$C$60,設定!$D$5:$D$7,設定!$E$5:$E$7))=0,"",SUMPRODUCT(--(設定!$B$11:$B$60="OS（Linux/Windows）")*--(整形回答!F33:BC33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3" s="10">
        <f>IF(D33="","",IF(SUMPRODUCT(--(設定!$B$11:$B$60="AWS")*XLOOKUP(設定!$B$11:$B$60,設定!$A$5:$A$7,設定!$B$5:$B$7)*XLOOKUP(設定!$C$11:$C$60,設定!$D$5:$D$7,設定!$E$5:$E$7))=0,"",SUMPRODUCT(--(設定!$B$11:$B$60="AWS")*--(整形回答!F33:BC33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3" s="10">
        <f>IF(D33="","",IF(SUMPRODUCT(--(設定!$B$11:$B$60="NW/Security")*XLOOKUP(設定!$B$11:$B$60,設定!$A$5:$A$7,設定!$B$5:$B$7)*XLOOKUP(設定!$C$11:$C$60,設定!$D$5:$D$7,設定!$E$5:$E$7))=0,"",SUMPRODUCT(--(設定!$B$11:$B$60="NW/Security")*--(整形回答!F33:BC33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3" s="8">
        <f>IF(F33="","",IF(F33&gt;=85,"即戦力",IF(F33&gt;=70,"主担当",IF(F33&gt;=55,"サポート","育成"))))</f>
        <v/>
      </c>
      <c r="K33" s="8">
        <f>整形回答!E33</f>
        <v/>
      </c>
    </row>
    <row r="34">
      <c r="A34" s="8">
        <f>整形回答!A34</f>
        <v/>
      </c>
      <c r="B34" s="9">
        <f>整形回答!B34</f>
        <v/>
      </c>
      <c r="C34" s="9">
        <f>整形回答!C34</f>
        <v/>
      </c>
      <c r="D34" s="8">
        <f>IF(B34="","",SUMPRODUCT(--(整形回答!F34:BC34=正解キー!$B$2:$B$51)*XLOOKUP(設定!$B$11:$B$60,設定!$A$5:$A$7,設定!$B$5:$B$7)*XLOOKUP(設定!$C$11:$C$60,設定!$D$5:$D$7,設定!$E$5:$E$7)))</f>
        <v/>
      </c>
      <c r="E34" s="8">
        <f>SUMPRODUCT(XLOOKUP(設定!$B$11:$B$60,設定!$A$5:$A$7,設定!$B$5:$B$7)*XLOOKUP(設定!$C$11:$C$60,設定!$D$5:$D$7,設定!$E$5:$E$7))</f>
        <v/>
      </c>
      <c r="F34" s="10">
        <f>IF(D34="","",D34/E34*100)</f>
        <v/>
      </c>
      <c r="G34" s="10">
        <f>IF(D34="","",IF(SUMPRODUCT(--(設定!$B$11:$B$60="OS（Linux/Windows）")*XLOOKUP(設定!$B$11:$B$60,設定!$A$5:$A$7,設定!$B$5:$B$7)*XLOOKUP(設定!$C$11:$C$60,設定!$D$5:$D$7,設定!$E$5:$E$7))=0,"",SUMPRODUCT(--(設定!$B$11:$B$60="OS（Linux/Windows）")*--(整形回答!F34:BC34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4" s="10">
        <f>IF(D34="","",IF(SUMPRODUCT(--(設定!$B$11:$B$60="AWS")*XLOOKUP(設定!$B$11:$B$60,設定!$A$5:$A$7,設定!$B$5:$B$7)*XLOOKUP(設定!$C$11:$C$60,設定!$D$5:$D$7,設定!$E$5:$E$7))=0,"",SUMPRODUCT(--(設定!$B$11:$B$60="AWS")*--(整形回答!F34:BC34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4" s="10">
        <f>IF(D34="","",IF(SUMPRODUCT(--(設定!$B$11:$B$60="NW/Security")*XLOOKUP(設定!$B$11:$B$60,設定!$A$5:$A$7,設定!$B$5:$B$7)*XLOOKUP(設定!$C$11:$C$60,設定!$D$5:$D$7,設定!$E$5:$E$7))=0,"",SUMPRODUCT(--(設定!$B$11:$B$60="NW/Security")*--(整形回答!F34:BC34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4" s="8">
        <f>IF(F34="","",IF(F34&gt;=85,"即戦力",IF(F34&gt;=70,"主担当",IF(F34&gt;=55,"サポート","育成"))))</f>
        <v/>
      </c>
      <c r="K34" s="8">
        <f>整形回答!E34</f>
        <v/>
      </c>
    </row>
    <row r="35">
      <c r="A35" s="8">
        <f>整形回答!A35</f>
        <v/>
      </c>
      <c r="B35" s="9">
        <f>整形回答!B35</f>
        <v/>
      </c>
      <c r="C35" s="9">
        <f>整形回答!C35</f>
        <v/>
      </c>
      <c r="D35" s="8">
        <f>IF(B35="","",SUMPRODUCT(--(整形回答!F35:BC35=正解キー!$B$2:$B$51)*XLOOKUP(設定!$B$11:$B$60,設定!$A$5:$A$7,設定!$B$5:$B$7)*XLOOKUP(設定!$C$11:$C$60,設定!$D$5:$D$7,設定!$E$5:$E$7)))</f>
        <v/>
      </c>
      <c r="E35" s="8">
        <f>SUMPRODUCT(XLOOKUP(設定!$B$11:$B$60,設定!$A$5:$A$7,設定!$B$5:$B$7)*XLOOKUP(設定!$C$11:$C$60,設定!$D$5:$D$7,設定!$E$5:$E$7))</f>
        <v/>
      </c>
      <c r="F35" s="10">
        <f>IF(D35="","",D35/E35*100)</f>
        <v/>
      </c>
      <c r="G35" s="10">
        <f>IF(D35="","",IF(SUMPRODUCT(--(設定!$B$11:$B$60="OS（Linux/Windows）")*XLOOKUP(設定!$B$11:$B$60,設定!$A$5:$A$7,設定!$B$5:$B$7)*XLOOKUP(設定!$C$11:$C$60,設定!$D$5:$D$7,設定!$E$5:$E$7))=0,"",SUMPRODUCT(--(設定!$B$11:$B$60="OS（Linux/Windows）")*--(整形回答!F35:BC35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5" s="10">
        <f>IF(D35="","",IF(SUMPRODUCT(--(設定!$B$11:$B$60="AWS")*XLOOKUP(設定!$B$11:$B$60,設定!$A$5:$A$7,設定!$B$5:$B$7)*XLOOKUP(設定!$C$11:$C$60,設定!$D$5:$D$7,設定!$E$5:$E$7))=0,"",SUMPRODUCT(--(設定!$B$11:$B$60="AWS")*--(整形回答!F35:BC35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5" s="10">
        <f>IF(D35="","",IF(SUMPRODUCT(--(設定!$B$11:$B$60="NW/Security")*XLOOKUP(設定!$B$11:$B$60,設定!$A$5:$A$7,設定!$B$5:$B$7)*XLOOKUP(設定!$C$11:$C$60,設定!$D$5:$D$7,設定!$E$5:$E$7))=0,"",SUMPRODUCT(--(設定!$B$11:$B$60="NW/Security")*--(整形回答!F35:BC35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5" s="8">
        <f>IF(F35="","",IF(F35&gt;=85,"即戦力",IF(F35&gt;=70,"主担当",IF(F35&gt;=55,"サポート","育成"))))</f>
        <v/>
      </c>
      <c r="K35" s="8">
        <f>整形回答!E35</f>
        <v/>
      </c>
    </row>
    <row r="36">
      <c r="A36" s="8">
        <f>整形回答!A36</f>
        <v/>
      </c>
      <c r="B36" s="9">
        <f>整形回答!B36</f>
        <v/>
      </c>
      <c r="C36" s="9">
        <f>整形回答!C36</f>
        <v/>
      </c>
      <c r="D36" s="8">
        <f>IF(B36="","",SUMPRODUCT(--(整形回答!F36:BC36=正解キー!$B$2:$B$51)*XLOOKUP(設定!$B$11:$B$60,設定!$A$5:$A$7,設定!$B$5:$B$7)*XLOOKUP(設定!$C$11:$C$60,設定!$D$5:$D$7,設定!$E$5:$E$7)))</f>
        <v/>
      </c>
      <c r="E36" s="8">
        <f>SUMPRODUCT(XLOOKUP(設定!$B$11:$B$60,設定!$A$5:$A$7,設定!$B$5:$B$7)*XLOOKUP(設定!$C$11:$C$60,設定!$D$5:$D$7,設定!$E$5:$E$7))</f>
        <v/>
      </c>
      <c r="F36" s="10">
        <f>IF(D36="","",D36/E36*100)</f>
        <v/>
      </c>
      <c r="G36" s="10">
        <f>IF(D36="","",IF(SUMPRODUCT(--(設定!$B$11:$B$60="OS（Linux/Windows）")*XLOOKUP(設定!$B$11:$B$60,設定!$A$5:$A$7,設定!$B$5:$B$7)*XLOOKUP(設定!$C$11:$C$60,設定!$D$5:$D$7,設定!$E$5:$E$7))=0,"",SUMPRODUCT(--(設定!$B$11:$B$60="OS（Linux/Windows）")*--(整形回答!F36:BC36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6" s="10">
        <f>IF(D36="","",IF(SUMPRODUCT(--(設定!$B$11:$B$60="AWS")*XLOOKUP(設定!$B$11:$B$60,設定!$A$5:$A$7,設定!$B$5:$B$7)*XLOOKUP(設定!$C$11:$C$60,設定!$D$5:$D$7,設定!$E$5:$E$7))=0,"",SUMPRODUCT(--(設定!$B$11:$B$60="AWS")*--(整形回答!F36:BC36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6" s="10">
        <f>IF(D36="","",IF(SUMPRODUCT(--(設定!$B$11:$B$60="NW/Security")*XLOOKUP(設定!$B$11:$B$60,設定!$A$5:$A$7,設定!$B$5:$B$7)*XLOOKUP(設定!$C$11:$C$60,設定!$D$5:$D$7,設定!$E$5:$E$7))=0,"",SUMPRODUCT(--(設定!$B$11:$B$60="NW/Security")*--(整形回答!F36:BC36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6" s="8">
        <f>IF(F36="","",IF(F36&gt;=85,"即戦力",IF(F36&gt;=70,"主担当",IF(F36&gt;=55,"サポート","育成"))))</f>
        <v/>
      </c>
      <c r="K36" s="8">
        <f>整形回答!E36</f>
        <v/>
      </c>
    </row>
    <row r="37">
      <c r="A37" s="8">
        <f>整形回答!A37</f>
        <v/>
      </c>
      <c r="B37" s="9">
        <f>整形回答!B37</f>
        <v/>
      </c>
      <c r="C37" s="9">
        <f>整形回答!C37</f>
        <v/>
      </c>
      <c r="D37" s="8">
        <f>IF(B37="","",SUMPRODUCT(--(整形回答!F37:BC37=正解キー!$B$2:$B$51)*XLOOKUP(設定!$B$11:$B$60,設定!$A$5:$A$7,設定!$B$5:$B$7)*XLOOKUP(設定!$C$11:$C$60,設定!$D$5:$D$7,設定!$E$5:$E$7)))</f>
        <v/>
      </c>
      <c r="E37" s="8">
        <f>SUMPRODUCT(XLOOKUP(設定!$B$11:$B$60,設定!$A$5:$A$7,設定!$B$5:$B$7)*XLOOKUP(設定!$C$11:$C$60,設定!$D$5:$D$7,設定!$E$5:$E$7))</f>
        <v/>
      </c>
      <c r="F37" s="10">
        <f>IF(D37="","",D37/E37*100)</f>
        <v/>
      </c>
      <c r="G37" s="10">
        <f>IF(D37="","",IF(SUMPRODUCT(--(設定!$B$11:$B$60="OS（Linux/Windows）")*XLOOKUP(設定!$B$11:$B$60,設定!$A$5:$A$7,設定!$B$5:$B$7)*XLOOKUP(設定!$C$11:$C$60,設定!$D$5:$D$7,設定!$E$5:$E$7))=0,"",SUMPRODUCT(--(設定!$B$11:$B$60="OS（Linux/Windows）")*--(整形回答!F37:BC37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7" s="10">
        <f>IF(D37="","",IF(SUMPRODUCT(--(設定!$B$11:$B$60="AWS")*XLOOKUP(設定!$B$11:$B$60,設定!$A$5:$A$7,設定!$B$5:$B$7)*XLOOKUP(設定!$C$11:$C$60,設定!$D$5:$D$7,設定!$E$5:$E$7))=0,"",SUMPRODUCT(--(設定!$B$11:$B$60="AWS")*--(整形回答!F37:BC37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7" s="10">
        <f>IF(D37="","",IF(SUMPRODUCT(--(設定!$B$11:$B$60="NW/Security")*XLOOKUP(設定!$B$11:$B$60,設定!$A$5:$A$7,設定!$B$5:$B$7)*XLOOKUP(設定!$C$11:$C$60,設定!$D$5:$D$7,設定!$E$5:$E$7))=0,"",SUMPRODUCT(--(設定!$B$11:$B$60="NW/Security")*--(整形回答!F37:BC37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7" s="8">
        <f>IF(F37="","",IF(F37&gt;=85,"即戦力",IF(F37&gt;=70,"主担当",IF(F37&gt;=55,"サポート","育成"))))</f>
        <v/>
      </c>
      <c r="K37" s="8">
        <f>整形回答!E37</f>
        <v/>
      </c>
    </row>
    <row r="38">
      <c r="A38" s="8">
        <f>整形回答!A38</f>
        <v/>
      </c>
      <c r="B38" s="9">
        <f>整形回答!B38</f>
        <v/>
      </c>
      <c r="C38" s="9">
        <f>整形回答!C38</f>
        <v/>
      </c>
      <c r="D38" s="8">
        <f>IF(B38="","",SUMPRODUCT(--(整形回答!F38:BC38=正解キー!$B$2:$B$51)*XLOOKUP(設定!$B$11:$B$60,設定!$A$5:$A$7,設定!$B$5:$B$7)*XLOOKUP(設定!$C$11:$C$60,設定!$D$5:$D$7,設定!$E$5:$E$7)))</f>
        <v/>
      </c>
      <c r="E38" s="8">
        <f>SUMPRODUCT(XLOOKUP(設定!$B$11:$B$60,設定!$A$5:$A$7,設定!$B$5:$B$7)*XLOOKUP(設定!$C$11:$C$60,設定!$D$5:$D$7,設定!$E$5:$E$7))</f>
        <v/>
      </c>
      <c r="F38" s="10">
        <f>IF(D38="","",D38/E38*100)</f>
        <v/>
      </c>
      <c r="G38" s="10">
        <f>IF(D38="","",IF(SUMPRODUCT(--(設定!$B$11:$B$60="OS（Linux/Windows）")*XLOOKUP(設定!$B$11:$B$60,設定!$A$5:$A$7,設定!$B$5:$B$7)*XLOOKUP(設定!$C$11:$C$60,設定!$D$5:$D$7,設定!$E$5:$E$7))=0,"",SUMPRODUCT(--(設定!$B$11:$B$60="OS（Linux/Windows）")*--(整形回答!F38:BC38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8" s="10">
        <f>IF(D38="","",IF(SUMPRODUCT(--(設定!$B$11:$B$60="AWS")*XLOOKUP(設定!$B$11:$B$60,設定!$A$5:$A$7,設定!$B$5:$B$7)*XLOOKUP(設定!$C$11:$C$60,設定!$D$5:$D$7,設定!$E$5:$E$7))=0,"",SUMPRODUCT(--(設定!$B$11:$B$60="AWS")*--(整形回答!F38:BC38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8" s="10">
        <f>IF(D38="","",IF(SUMPRODUCT(--(設定!$B$11:$B$60="NW/Security")*XLOOKUP(設定!$B$11:$B$60,設定!$A$5:$A$7,設定!$B$5:$B$7)*XLOOKUP(設定!$C$11:$C$60,設定!$D$5:$D$7,設定!$E$5:$E$7))=0,"",SUMPRODUCT(--(設定!$B$11:$B$60="NW/Security")*--(整形回答!F38:BC38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8" s="8">
        <f>IF(F38="","",IF(F38&gt;=85,"即戦力",IF(F38&gt;=70,"主担当",IF(F38&gt;=55,"サポート","育成"))))</f>
        <v/>
      </c>
      <c r="K38" s="8">
        <f>整形回答!E38</f>
        <v/>
      </c>
    </row>
    <row r="39">
      <c r="A39" s="8">
        <f>整形回答!A39</f>
        <v/>
      </c>
      <c r="B39" s="9">
        <f>整形回答!B39</f>
        <v/>
      </c>
      <c r="C39" s="9">
        <f>整形回答!C39</f>
        <v/>
      </c>
      <c r="D39" s="8">
        <f>IF(B39="","",SUMPRODUCT(--(整形回答!F39:BC39=正解キー!$B$2:$B$51)*XLOOKUP(設定!$B$11:$B$60,設定!$A$5:$A$7,設定!$B$5:$B$7)*XLOOKUP(設定!$C$11:$C$60,設定!$D$5:$D$7,設定!$E$5:$E$7)))</f>
        <v/>
      </c>
      <c r="E39" s="8">
        <f>SUMPRODUCT(XLOOKUP(設定!$B$11:$B$60,設定!$A$5:$A$7,設定!$B$5:$B$7)*XLOOKUP(設定!$C$11:$C$60,設定!$D$5:$D$7,設定!$E$5:$E$7))</f>
        <v/>
      </c>
      <c r="F39" s="10">
        <f>IF(D39="","",D39/E39*100)</f>
        <v/>
      </c>
      <c r="G39" s="10">
        <f>IF(D39="","",IF(SUMPRODUCT(--(設定!$B$11:$B$60="OS（Linux/Windows）")*XLOOKUP(設定!$B$11:$B$60,設定!$A$5:$A$7,設定!$B$5:$B$7)*XLOOKUP(設定!$C$11:$C$60,設定!$D$5:$D$7,設定!$E$5:$E$7))=0,"",SUMPRODUCT(--(設定!$B$11:$B$60="OS（Linux/Windows）")*--(整形回答!F39:BC39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39" s="10">
        <f>IF(D39="","",IF(SUMPRODUCT(--(設定!$B$11:$B$60="AWS")*XLOOKUP(設定!$B$11:$B$60,設定!$A$5:$A$7,設定!$B$5:$B$7)*XLOOKUP(設定!$C$11:$C$60,設定!$D$5:$D$7,設定!$E$5:$E$7))=0,"",SUMPRODUCT(--(設定!$B$11:$B$60="AWS")*--(整形回答!F39:BC39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39" s="10">
        <f>IF(D39="","",IF(SUMPRODUCT(--(設定!$B$11:$B$60="NW/Security")*XLOOKUP(設定!$B$11:$B$60,設定!$A$5:$A$7,設定!$B$5:$B$7)*XLOOKUP(設定!$C$11:$C$60,設定!$D$5:$D$7,設定!$E$5:$E$7))=0,"",SUMPRODUCT(--(設定!$B$11:$B$60="NW/Security")*--(整形回答!F39:BC39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39" s="8">
        <f>IF(F39="","",IF(F39&gt;=85,"即戦力",IF(F39&gt;=70,"主担当",IF(F39&gt;=55,"サポート","育成"))))</f>
        <v/>
      </c>
      <c r="K39" s="8">
        <f>整形回答!E39</f>
        <v/>
      </c>
    </row>
    <row r="40">
      <c r="A40" s="8">
        <f>整形回答!A40</f>
        <v/>
      </c>
      <c r="B40" s="9">
        <f>整形回答!B40</f>
        <v/>
      </c>
      <c r="C40" s="9">
        <f>整形回答!C40</f>
        <v/>
      </c>
      <c r="D40" s="8">
        <f>IF(B40="","",SUMPRODUCT(--(整形回答!F40:BC40=正解キー!$B$2:$B$51)*XLOOKUP(設定!$B$11:$B$60,設定!$A$5:$A$7,設定!$B$5:$B$7)*XLOOKUP(設定!$C$11:$C$60,設定!$D$5:$D$7,設定!$E$5:$E$7)))</f>
        <v/>
      </c>
      <c r="E40" s="8">
        <f>SUMPRODUCT(XLOOKUP(設定!$B$11:$B$60,設定!$A$5:$A$7,設定!$B$5:$B$7)*XLOOKUP(設定!$C$11:$C$60,設定!$D$5:$D$7,設定!$E$5:$E$7))</f>
        <v/>
      </c>
      <c r="F40" s="10">
        <f>IF(D40="","",D40/E40*100)</f>
        <v/>
      </c>
      <c r="G40" s="10">
        <f>IF(D40="","",IF(SUMPRODUCT(--(設定!$B$11:$B$60="OS（Linux/Windows）")*XLOOKUP(設定!$B$11:$B$60,設定!$A$5:$A$7,設定!$B$5:$B$7)*XLOOKUP(設定!$C$11:$C$60,設定!$D$5:$D$7,設定!$E$5:$E$7))=0,"",SUMPRODUCT(--(設定!$B$11:$B$60="OS（Linux/Windows）")*--(整形回答!F40:BC40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0" s="10">
        <f>IF(D40="","",IF(SUMPRODUCT(--(設定!$B$11:$B$60="AWS")*XLOOKUP(設定!$B$11:$B$60,設定!$A$5:$A$7,設定!$B$5:$B$7)*XLOOKUP(設定!$C$11:$C$60,設定!$D$5:$D$7,設定!$E$5:$E$7))=0,"",SUMPRODUCT(--(設定!$B$11:$B$60="AWS")*--(整形回答!F40:BC40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0" s="10">
        <f>IF(D40="","",IF(SUMPRODUCT(--(設定!$B$11:$B$60="NW/Security")*XLOOKUP(設定!$B$11:$B$60,設定!$A$5:$A$7,設定!$B$5:$B$7)*XLOOKUP(設定!$C$11:$C$60,設定!$D$5:$D$7,設定!$E$5:$E$7))=0,"",SUMPRODUCT(--(設定!$B$11:$B$60="NW/Security")*--(整形回答!F40:BC40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0" s="8">
        <f>IF(F40="","",IF(F40&gt;=85,"即戦力",IF(F40&gt;=70,"主担当",IF(F40&gt;=55,"サポート","育成"))))</f>
        <v/>
      </c>
      <c r="K40" s="8">
        <f>整形回答!E40</f>
        <v/>
      </c>
    </row>
    <row r="41">
      <c r="A41" s="8">
        <f>整形回答!A41</f>
        <v/>
      </c>
      <c r="B41" s="9">
        <f>整形回答!B41</f>
        <v/>
      </c>
      <c r="C41" s="9">
        <f>整形回答!C41</f>
        <v/>
      </c>
      <c r="D41" s="8">
        <f>IF(B41="","",SUMPRODUCT(--(整形回答!F41:BC41=正解キー!$B$2:$B$51)*XLOOKUP(設定!$B$11:$B$60,設定!$A$5:$A$7,設定!$B$5:$B$7)*XLOOKUP(設定!$C$11:$C$60,設定!$D$5:$D$7,設定!$E$5:$E$7)))</f>
        <v/>
      </c>
      <c r="E41" s="8">
        <f>SUMPRODUCT(XLOOKUP(設定!$B$11:$B$60,設定!$A$5:$A$7,設定!$B$5:$B$7)*XLOOKUP(設定!$C$11:$C$60,設定!$D$5:$D$7,設定!$E$5:$E$7))</f>
        <v/>
      </c>
      <c r="F41" s="10">
        <f>IF(D41="","",D41/E41*100)</f>
        <v/>
      </c>
      <c r="G41" s="10">
        <f>IF(D41="","",IF(SUMPRODUCT(--(設定!$B$11:$B$60="OS（Linux/Windows）")*XLOOKUP(設定!$B$11:$B$60,設定!$A$5:$A$7,設定!$B$5:$B$7)*XLOOKUP(設定!$C$11:$C$60,設定!$D$5:$D$7,設定!$E$5:$E$7))=0,"",SUMPRODUCT(--(設定!$B$11:$B$60="OS（Linux/Windows）")*--(整形回答!F41:BC41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1" s="10">
        <f>IF(D41="","",IF(SUMPRODUCT(--(設定!$B$11:$B$60="AWS")*XLOOKUP(設定!$B$11:$B$60,設定!$A$5:$A$7,設定!$B$5:$B$7)*XLOOKUP(設定!$C$11:$C$60,設定!$D$5:$D$7,設定!$E$5:$E$7))=0,"",SUMPRODUCT(--(設定!$B$11:$B$60="AWS")*--(整形回答!F41:BC41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1" s="10">
        <f>IF(D41="","",IF(SUMPRODUCT(--(設定!$B$11:$B$60="NW/Security")*XLOOKUP(設定!$B$11:$B$60,設定!$A$5:$A$7,設定!$B$5:$B$7)*XLOOKUP(設定!$C$11:$C$60,設定!$D$5:$D$7,設定!$E$5:$E$7))=0,"",SUMPRODUCT(--(設定!$B$11:$B$60="NW/Security")*--(整形回答!F41:BC41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1" s="8">
        <f>IF(F41="","",IF(F41&gt;=85,"即戦力",IF(F41&gt;=70,"主担当",IF(F41&gt;=55,"サポート","育成"))))</f>
        <v/>
      </c>
      <c r="K41" s="8">
        <f>整形回答!E41</f>
        <v/>
      </c>
    </row>
    <row r="42">
      <c r="A42" s="8">
        <f>整形回答!A42</f>
        <v/>
      </c>
      <c r="B42" s="9">
        <f>整形回答!B42</f>
        <v/>
      </c>
      <c r="C42" s="9">
        <f>整形回答!C42</f>
        <v/>
      </c>
      <c r="D42" s="8">
        <f>IF(B42="","",SUMPRODUCT(--(整形回答!F42:BC42=正解キー!$B$2:$B$51)*XLOOKUP(設定!$B$11:$B$60,設定!$A$5:$A$7,設定!$B$5:$B$7)*XLOOKUP(設定!$C$11:$C$60,設定!$D$5:$D$7,設定!$E$5:$E$7)))</f>
        <v/>
      </c>
      <c r="E42" s="8">
        <f>SUMPRODUCT(XLOOKUP(設定!$B$11:$B$60,設定!$A$5:$A$7,設定!$B$5:$B$7)*XLOOKUP(設定!$C$11:$C$60,設定!$D$5:$D$7,設定!$E$5:$E$7))</f>
        <v/>
      </c>
      <c r="F42" s="10">
        <f>IF(D42="","",D42/E42*100)</f>
        <v/>
      </c>
      <c r="G42" s="10">
        <f>IF(D42="","",IF(SUMPRODUCT(--(設定!$B$11:$B$60="OS（Linux/Windows）")*XLOOKUP(設定!$B$11:$B$60,設定!$A$5:$A$7,設定!$B$5:$B$7)*XLOOKUP(設定!$C$11:$C$60,設定!$D$5:$D$7,設定!$E$5:$E$7))=0,"",SUMPRODUCT(--(設定!$B$11:$B$60="OS（Linux/Windows）")*--(整形回答!F42:BC42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2" s="10">
        <f>IF(D42="","",IF(SUMPRODUCT(--(設定!$B$11:$B$60="AWS")*XLOOKUP(設定!$B$11:$B$60,設定!$A$5:$A$7,設定!$B$5:$B$7)*XLOOKUP(設定!$C$11:$C$60,設定!$D$5:$D$7,設定!$E$5:$E$7))=0,"",SUMPRODUCT(--(設定!$B$11:$B$60="AWS")*--(整形回答!F42:BC42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2" s="10">
        <f>IF(D42="","",IF(SUMPRODUCT(--(設定!$B$11:$B$60="NW/Security")*XLOOKUP(設定!$B$11:$B$60,設定!$A$5:$A$7,設定!$B$5:$B$7)*XLOOKUP(設定!$C$11:$C$60,設定!$D$5:$D$7,設定!$E$5:$E$7))=0,"",SUMPRODUCT(--(設定!$B$11:$B$60="NW/Security")*--(整形回答!F42:BC42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2" s="8">
        <f>IF(F42="","",IF(F42&gt;=85,"即戦力",IF(F42&gt;=70,"主担当",IF(F42&gt;=55,"サポート","育成"))))</f>
        <v/>
      </c>
      <c r="K42" s="8">
        <f>整形回答!E42</f>
        <v/>
      </c>
    </row>
    <row r="43">
      <c r="A43" s="8">
        <f>整形回答!A43</f>
        <v/>
      </c>
      <c r="B43" s="9">
        <f>整形回答!B43</f>
        <v/>
      </c>
      <c r="C43" s="9">
        <f>整形回答!C43</f>
        <v/>
      </c>
      <c r="D43" s="8">
        <f>IF(B43="","",SUMPRODUCT(--(整形回答!F43:BC43=正解キー!$B$2:$B$51)*XLOOKUP(設定!$B$11:$B$60,設定!$A$5:$A$7,設定!$B$5:$B$7)*XLOOKUP(設定!$C$11:$C$60,設定!$D$5:$D$7,設定!$E$5:$E$7)))</f>
        <v/>
      </c>
      <c r="E43" s="8">
        <f>SUMPRODUCT(XLOOKUP(設定!$B$11:$B$60,設定!$A$5:$A$7,設定!$B$5:$B$7)*XLOOKUP(設定!$C$11:$C$60,設定!$D$5:$D$7,設定!$E$5:$E$7))</f>
        <v/>
      </c>
      <c r="F43" s="10">
        <f>IF(D43="","",D43/E43*100)</f>
        <v/>
      </c>
      <c r="G43" s="10">
        <f>IF(D43="","",IF(SUMPRODUCT(--(設定!$B$11:$B$60="OS（Linux/Windows）")*XLOOKUP(設定!$B$11:$B$60,設定!$A$5:$A$7,設定!$B$5:$B$7)*XLOOKUP(設定!$C$11:$C$60,設定!$D$5:$D$7,設定!$E$5:$E$7))=0,"",SUMPRODUCT(--(設定!$B$11:$B$60="OS（Linux/Windows）")*--(整形回答!F43:BC43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3" s="10">
        <f>IF(D43="","",IF(SUMPRODUCT(--(設定!$B$11:$B$60="AWS")*XLOOKUP(設定!$B$11:$B$60,設定!$A$5:$A$7,設定!$B$5:$B$7)*XLOOKUP(設定!$C$11:$C$60,設定!$D$5:$D$7,設定!$E$5:$E$7))=0,"",SUMPRODUCT(--(設定!$B$11:$B$60="AWS")*--(整形回答!F43:BC43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3" s="10">
        <f>IF(D43="","",IF(SUMPRODUCT(--(設定!$B$11:$B$60="NW/Security")*XLOOKUP(設定!$B$11:$B$60,設定!$A$5:$A$7,設定!$B$5:$B$7)*XLOOKUP(設定!$C$11:$C$60,設定!$D$5:$D$7,設定!$E$5:$E$7))=0,"",SUMPRODUCT(--(設定!$B$11:$B$60="NW/Security")*--(整形回答!F43:BC43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3" s="8">
        <f>IF(F43="","",IF(F43&gt;=85,"即戦力",IF(F43&gt;=70,"主担当",IF(F43&gt;=55,"サポート","育成"))))</f>
        <v/>
      </c>
      <c r="K43" s="8">
        <f>整形回答!E43</f>
        <v/>
      </c>
    </row>
    <row r="44">
      <c r="A44" s="8">
        <f>整形回答!A44</f>
        <v/>
      </c>
      <c r="B44" s="9">
        <f>整形回答!B44</f>
        <v/>
      </c>
      <c r="C44" s="9">
        <f>整形回答!C44</f>
        <v/>
      </c>
      <c r="D44" s="8">
        <f>IF(B44="","",SUMPRODUCT(--(整形回答!F44:BC44=正解キー!$B$2:$B$51)*XLOOKUP(設定!$B$11:$B$60,設定!$A$5:$A$7,設定!$B$5:$B$7)*XLOOKUP(設定!$C$11:$C$60,設定!$D$5:$D$7,設定!$E$5:$E$7)))</f>
        <v/>
      </c>
      <c r="E44" s="8">
        <f>SUMPRODUCT(XLOOKUP(設定!$B$11:$B$60,設定!$A$5:$A$7,設定!$B$5:$B$7)*XLOOKUP(設定!$C$11:$C$60,設定!$D$5:$D$7,設定!$E$5:$E$7))</f>
        <v/>
      </c>
      <c r="F44" s="10">
        <f>IF(D44="","",D44/E44*100)</f>
        <v/>
      </c>
      <c r="G44" s="10">
        <f>IF(D44="","",IF(SUMPRODUCT(--(設定!$B$11:$B$60="OS（Linux/Windows）")*XLOOKUP(設定!$B$11:$B$60,設定!$A$5:$A$7,設定!$B$5:$B$7)*XLOOKUP(設定!$C$11:$C$60,設定!$D$5:$D$7,設定!$E$5:$E$7))=0,"",SUMPRODUCT(--(設定!$B$11:$B$60="OS（Linux/Windows）")*--(整形回答!F44:BC44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4" s="10">
        <f>IF(D44="","",IF(SUMPRODUCT(--(設定!$B$11:$B$60="AWS")*XLOOKUP(設定!$B$11:$B$60,設定!$A$5:$A$7,設定!$B$5:$B$7)*XLOOKUP(設定!$C$11:$C$60,設定!$D$5:$D$7,設定!$E$5:$E$7))=0,"",SUMPRODUCT(--(設定!$B$11:$B$60="AWS")*--(整形回答!F44:BC44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4" s="10">
        <f>IF(D44="","",IF(SUMPRODUCT(--(設定!$B$11:$B$60="NW/Security")*XLOOKUP(設定!$B$11:$B$60,設定!$A$5:$A$7,設定!$B$5:$B$7)*XLOOKUP(設定!$C$11:$C$60,設定!$D$5:$D$7,設定!$E$5:$E$7))=0,"",SUMPRODUCT(--(設定!$B$11:$B$60="NW/Security")*--(整形回答!F44:BC44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4" s="8">
        <f>IF(F44="","",IF(F44&gt;=85,"即戦力",IF(F44&gt;=70,"主担当",IF(F44&gt;=55,"サポート","育成"))))</f>
        <v/>
      </c>
      <c r="K44" s="8">
        <f>整形回答!E44</f>
        <v/>
      </c>
    </row>
    <row r="45">
      <c r="A45" s="8">
        <f>整形回答!A45</f>
        <v/>
      </c>
      <c r="B45" s="9">
        <f>整形回答!B45</f>
        <v/>
      </c>
      <c r="C45" s="9">
        <f>整形回答!C45</f>
        <v/>
      </c>
      <c r="D45" s="8">
        <f>IF(B45="","",SUMPRODUCT(--(整形回答!F45:BC45=正解キー!$B$2:$B$51)*XLOOKUP(設定!$B$11:$B$60,設定!$A$5:$A$7,設定!$B$5:$B$7)*XLOOKUP(設定!$C$11:$C$60,設定!$D$5:$D$7,設定!$E$5:$E$7)))</f>
        <v/>
      </c>
      <c r="E45" s="8">
        <f>SUMPRODUCT(XLOOKUP(設定!$B$11:$B$60,設定!$A$5:$A$7,設定!$B$5:$B$7)*XLOOKUP(設定!$C$11:$C$60,設定!$D$5:$D$7,設定!$E$5:$E$7))</f>
        <v/>
      </c>
      <c r="F45" s="10">
        <f>IF(D45="","",D45/E45*100)</f>
        <v/>
      </c>
      <c r="G45" s="10">
        <f>IF(D45="","",IF(SUMPRODUCT(--(設定!$B$11:$B$60="OS（Linux/Windows）")*XLOOKUP(設定!$B$11:$B$60,設定!$A$5:$A$7,設定!$B$5:$B$7)*XLOOKUP(設定!$C$11:$C$60,設定!$D$5:$D$7,設定!$E$5:$E$7))=0,"",SUMPRODUCT(--(設定!$B$11:$B$60="OS（Linux/Windows）")*--(整形回答!F45:BC45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5" s="10">
        <f>IF(D45="","",IF(SUMPRODUCT(--(設定!$B$11:$B$60="AWS")*XLOOKUP(設定!$B$11:$B$60,設定!$A$5:$A$7,設定!$B$5:$B$7)*XLOOKUP(設定!$C$11:$C$60,設定!$D$5:$D$7,設定!$E$5:$E$7))=0,"",SUMPRODUCT(--(設定!$B$11:$B$60="AWS")*--(整形回答!F45:BC45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5" s="10">
        <f>IF(D45="","",IF(SUMPRODUCT(--(設定!$B$11:$B$60="NW/Security")*XLOOKUP(設定!$B$11:$B$60,設定!$A$5:$A$7,設定!$B$5:$B$7)*XLOOKUP(設定!$C$11:$C$60,設定!$D$5:$D$7,設定!$E$5:$E$7))=0,"",SUMPRODUCT(--(設定!$B$11:$B$60="NW/Security")*--(整形回答!F45:BC45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5" s="8">
        <f>IF(F45="","",IF(F45&gt;=85,"即戦力",IF(F45&gt;=70,"主担当",IF(F45&gt;=55,"サポート","育成"))))</f>
        <v/>
      </c>
      <c r="K45" s="8">
        <f>整形回答!E45</f>
        <v/>
      </c>
    </row>
    <row r="46">
      <c r="A46" s="8">
        <f>整形回答!A46</f>
        <v/>
      </c>
      <c r="B46" s="9">
        <f>整形回答!B46</f>
        <v/>
      </c>
      <c r="C46" s="9">
        <f>整形回答!C46</f>
        <v/>
      </c>
      <c r="D46" s="8">
        <f>IF(B46="","",SUMPRODUCT(--(整形回答!F46:BC46=正解キー!$B$2:$B$51)*XLOOKUP(設定!$B$11:$B$60,設定!$A$5:$A$7,設定!$B$5:$B$7)*XLOOKUP(設定!$C$11:$C$60,設定!$D$5:$D$7,設定!$E$5:$E$7)))</f>
        <v/>
      </c>
      <c r="E46" s="8">
        <f>SUMPRODUCT(XLOOKUP(設定!$B$11:$B$60,設定!$A$5:$A$7,設定!$B$5:$B$7)*XLOOKUP(設定!$C$11:$C$60,設定!$D$5:$D$7,設定!$E$5:$E$7))</f>
        <v/>
      </c>
      <c r="F46" s="10">
        <f>IF(D46="","",D46/E46*100)</f>
        <v/>
      </c>
      <c r="G46" s="10">
        <f>IF(D46="","",IF(SUMPRODUCT(--(設定!$B$11:$B$60="OS（Linux/Windows）")*XLOOKUP(設定!$B$11:$B$60,設定!$A$5:$A$7,設定!$B$5:$B$7)*XLOOKUP(設定!$C$11:$C$60,設定!$D$5:$D$7,設定!$E$5:$E$7))=0,"",SUMPRODUCT(--(設定!$B$11:$B$60="OS（Linux/Windows）")*--(整形回答!F46:BC46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6" s="10">
        <f>IF(D46="","",IF(SUMPRODUCT(--(設定!$B$11:$B$60="AWS")*XLOOKUP(設定!$B$11:$B$60,設定!$A$5:$A$7,設定!$B$5:$B$7)*XLOOKUP(設定!$C$11:$C$60,設定!$D$5:$D$7,設定!$E$5:$E$7))=0,"",SUMPRODUCT(--(設定!$B$11:$B$60="AWS")*--(整形回答!F46:BC46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6" s="10">
        <f>IF(D46="","",IF(SUMPRODUCT(--(設定!$B$11:$B$60="NW/Security")*XLOOKUP(設定!$B$11:$B$60,設定!$A$5:$A$7,設定!$B$5:$B$7)*XLOOKUP(設定!$C$11:$C$60,設定!$D$5:$D$7,設定!$E$5:$E$7))=0,"",SUMPRODUCT(--(設定!$B$11:$B$60="NW/Security")*--(整形回答!F46:BC46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6" s="8">
        <f>IF(F46="","",IF(F46&gt;=85,"即戦力",IF(F46&gt;=70,"主担当",IF(F46&gt;=55,"サポート","育成"))))</f>
        <v/>
      </c>
      <c r="K46" s="8">
        <f>整形回答!E46</f>
        <v/>
      </c>
    </row>
    <row r="47">
      <c r="A47" s="8">
        <f>整形回答!A47</f>
        <v/>
      </c>
      <c r="B47" s="9">
        <f>整形回答!B47</f>
        <v/>
      </c>
      <c r="C47" s="9">
        <f>整形回答!C47</f>
        <v/>
      </c>
      <c r="D47" s="8">
        <f>IF(B47="","",SUMPRODUCT(--(整形回答!F47:BC47=正解キー!$B$2:$B$51)*XLOOKUP(設定!$B$11:$B$60,設定!$A$5:$A$7,設定!$B$5:$B$7)*XLOOKUP(設定!$C$11:$C$60,設定!$D$5:$D$7,設定!$E$5:$E$7)))</f>
        <v/>
      </c>
      <c r="E47" s="8">
        <f>SUMPRODUCT(XLOOKUP(設定!$B$11:$B$60,設定!$A$5:$A$7,設定!$B$5:$B$7)*XLOOKUP(設定!$C$11:$C$60,設定!$D$5:$D$7,設定!$E$5:$E$7))</f>
        <v/>
      </c>
      <c r="F47" s="10">
        <f>IF(D47="","",D47/E47*100)</f>
        <v/>
      </c>
      <c r="G47" s="10">
        <f>IF(D47="","",IF(SUMPRODUCT(--(設定!$B$11:$B$60="OS（Linux/Windows）")*XLOOKUP(設定!$B$11:$B$60,設定!$A$5:$A$7,設定!$B$5:$B$7)*XLOOKUP(設定!$C$11:$C$60,設定!$D$5:$D$7,設定!$E$5:$E$7))=0,"",SUMPRODUCT(--(設定!$B$11:$B$60="OS（Linux/Windows）")*--(整形回答!F47:BC47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7" s="10">
        <f>IF(D47="","",IF(SUMPRODUCT(--(設定!$B$11:$B$60="AWS")*XLOOKUP(設定!$B$11:$B$60,設定!$A$5:$A$7,設定!$B$5:$B$7)*XLOOKUP(設定!$C$11:$C$60,設定!$D$5:$D$7,設定!$E$5:$E$7))=0,"",SUMPRODUCT(--(設定!$B$11:$B$60="AWS")*--(整形回答!F47:BC47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7" s="10">
        <f>IF(D47="","",IF(SUMPRODUCT(--(設定!$B$11:$B$60="NW/Security")*XLOOKUP(設定!$B$11:$B$60,設定!$A$5:$A$7,設定!$B$5:$B$7)*XLOOKUP(設定!$C$11:$C$60,設定!$D$5:$D$7,設定!$E$5:$E$7))=0,"",SUMPRODUCT(--(設定!$B$11:$B$60="NW/Security")*--(整形回答!F47:BC47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7" s="8">
        <f>IF(F47="","",IF(F47&gt;=85,"即戦力",IF(F47&gt;=70,"主担当",IF(F47&gt;=55,"サポート","育成"))))</f>
        <v/>
      </c>
      <c r="K47" s="8">
        <f>整形回答!E47</f>
        <v/>
      </c>
    </row>
    <row r="48">
      <c r="A48" s="8">
        <f>整形回答!A48</f>
        <v/>
      </c>
      <c r="B48" s="9">
        <f>整形回答!B48</f>
        <v/>
      </c>
      <c r="C48" s="9">
        <f>整形回答!C48</f>
        <v/>
      </c>
      <c r="D48" s="8">
        <f>IF(B48="","",SUMPRODUCT(--(整形回答!F48:BC48=正解キー!$B$2:$B$51)*XLOOKUP(設定!$B$11:$B$60,設定!$A$5:$A$7,設定!$B$5:$B$7)*XLOOKUP(設定!$C$11:$C$60,設定!$D$5:$D$7,設定!$E$5:$E$7)))</f>
        <v/>
      </c>
      <c r="E48" s="8">
        <f>SUMPRODUCT(XLOOKUP(設定!$B$11:$B$60,設定!$A$5:$A$7,設定!$B$5:$B$7)*XLOOKUP(設定!$C$11:$C$60,設定!$D$5:$D$7,設定!$E$5:$E$7))</f>
        <v/>
      </c>
      <c r="F48" s="10">
        <f>IF(D48="","",D48/E48*100)</f>
        <v/>
      </c>
      <c r="G48" s="10">
        <f>IF(D48="","",IF(SUMPRODUCT(--(設定!$B$11:$B$60="OS（Linux/Windows）")*XLOOKUP(設定!$B$11:$B$60,設定!$A$5:$A$7,設定!$B$5:$B$7)*XLOOKUP(設定!$C$11:$C$60,設定!$D$5:$D$7,設定!$E$5:$E$7))=0,"",SUMPRODUCT(--(設定!$B$11:$B$60="OS（Linux/Windows）")*--(整形回答!F48:BC48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8" s="10">
        <f>IF(D48="","",IF(SUMPRODUCT(--(設定!$B$11:$B$60="AWS")*XLOOKUP(設定!$B$11:$B$60,設定!$A$5:$A$7,設定!$B$5:$B$7)*XLOOKUP(設定!$C$11:$C$60,設定!$D$5:$D$7,設定!$E$5:$E$7))=0,"",SUMPRODUCT(--(設定!$B$11:$B$60="AWS")*--(整形回答!F48:BC48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8" s="10">
        <f>IF(D48="","",IF(SUMPRODUCT(--(設定!$B$11:$B$60="NW/Security")*XLOOKUP(設定!$B$11:$B$60,設定!$A$5:$A$7,設定!$B$5:$B$7)*XLOOKUP(設定!$C$11:$C$60,設定!$D$5:$D$7,設定!$E$5:$E$7))=0,"",SUMPRODUCT(--(設定!$B$11:$B$60="NW/Security")*--(整形回答!F48:BC48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8" s="8">
        <f>IF(F48="","",IF(F48&gt;=85,"即戦力",IF(F48&gt;=70,"主担当",IF(F48&gt;=55,"サポート","育成"))))</f>
        <v/>
      </c>
      <c r="K48" s="8">
        <f>整形回答!E48</f>
        <v/>
      </c>
    </row>
    <row r="49">
      <c r="A49" s="8">
        <f>整形回答!A49</f>
        <v/>
      </c>
      <c r="B49" s="9">
        <f>整形回答!B49</f>
        <v/>
      </c>
      <c r="C49" s="9">
        <f>整形回答!C49</f>
        <v/>
      </c>
      <c r="D49" s="8">
        <f>IF(B49="","",SUMPRODUCT(--(整形回答!F49:BC49=正解キー!$B$2:$B$51)*XLOOKUP(設定!$B$11:$B$60,設定!$A$5:$A$7,設定!$B$5:$B$7)*XLOOKUP(設定!$C$11:$C$60,設定!$D$5:$D$7,設定!$E$5:$E$7)))</f>
        <v/>
      </c>
      <c r="E49" s="8">
        <f>SUMPRODUCT(XLOOKUP(設定!$B$11:$B$60,設定!$A$5:$A$7,設定!$B$5:$B$7)*XLOOKUP(設定!$C$11:$C$60,設定!$D$5:$D$7,設定!$E$5:$E$7))</f>
        <v/>
      </c>
      <c r="F49" s="10">
        <f>IF(D49="","",D49/E49*100)</f>
        <v/>
      </c>
      <c r="G49" s="10">
        <f>IF(D49="","",IF(SUMPRODUCT(--(設定!$B$11:$B$60="OS（Linux/Windows）")*XLOOKUP(設定!$B$11:$B$60,設定!$A$5:$A$7,設定!$B$5:$B$7)*XLOOKUP(設定!$C$11:$C$60,設定!$D$5:$D$7,設定!$E$5:$E$7))=0,"",SUMPRODUCT(--(設定!$B$11:$B$60="OS（Linux/Windows）")*--(整形回答!F49:BC49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49" s="10">
        <f>IF(D49="","",IF(SUMPRODUCT(--(設定!$B$11:$B$60="AWS")*XLOOKUP(設定!$B$11:$B$60,設定!$A$5:$A$7,設定!$B$5:$B$7)*XLOOKUP(設定!$C$11:$C$60,設定!$D$5:$D$7,設定!$E$5:$E$7))=0,"",SUMPRODUCT(--(設定!$B$11:$B$60="AWS")*--(整形回答!F49:BC49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49" s="10">
        <f>IF(D49="","",IF(SUMPRODUCT(--(設定!$B$11:$B$60="NW/Security")*XLOOKUP(設定!$B$11:$B$60,設定!$A$5:$A$7,設定!$B$5:$B$7)*XLOOKUP(設定!$C$11:$C$60,設定!$D$5:$D$7,設定!$E$5:$E$7))=0,"",SUMPRODUCT(--(設定!$B$11:$B$60="NW/Security")*--(整形回答!F49:BC49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49" s="8">
        <f>IF(F49="","",IF(F49&gt;=85,"即戦力",IF(F49&gt;=70,"主担当",IF(F49&gt;=55,"サポート","育成"))))</f>
        <v/>
      </c>
      <c r="K49" s="8">
        <f>整形回答!E49</f>
        <v/>
      </c>
    </row>
    <row r="50">
      <c r="A50" s="8">
        <f>整形回答!A50</f>
        <v/>
      </c>
      <c r="B50" s="9">
        <f>整形回答!B50</f>
        <v/>
      </c>
      <c r="C50" s="9">
        <f>整形回答!C50</f>
        <v/>
      </c>
      <c r="D50" s="8">
        <f>IF(B50="","",SUMPRODUCT(--(整形回答!F50:BC50=正解キー!$B$2:$B$51)*XLOOKUP(設定!$B$11:$B$60,設定!$A$5:$A$7,設定!$B$5:$B$7)*XLOOKUP(設定!$C$11:$C$60,設定!$D$5:$D$7,設定!$E$5:$E$7)))</f>
        <v/>
      </c>
      <c r="E50" s="8">
        <f>SUMPRODUCT(XLOOKUP(設定!$B$11:$B$60,設定!$A$5:$A$7,設定!$B$5:$B$7)*XLOOKUP(設定!$C$11:$C$60,設定!$D$5:$D$7,設定!$E$5:$E$7))</f>
        <v/>
      </c>
      <c r="F50" s="10">
        <f>IF(D50="","",D50/E50*100)</f>
        <v/>
      </c>
      <c r="G50" s="10">
        <f>IF(D50="","",IF(SUMPRODUCT(--(設定!$B$11:$B$60="OS（Linux/Windows）")*XLOOKUP(設定!$B$11:$B$60,設定!$A$5:$A$7,設定!$B$5:$B$7)*XLOOKUP(設定!$C$11:$C$60,設定!$D$5:$D$7,設定!$E$5:$E$7))=0,"",SUMPRODUCT(--(設定!$B$11:$B$60="OS（Linux/Windows）")*--(整形回答!F50:BC50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0" s="10">
        <f>IF(D50="","",IF(SUMPRODUCT(--(設定!$B$11:$B$60="AWS")*XLOOKUP(設定!$B$11:$B$60,設定!$A$5:$A$7,設定!$B$5:$B$7)*XLOOKUP(設定!$C$11:$C$60,設定!$D$5:$D$7,設定!$E$5:$E$7))=0,"",SUMPRODUCT(--(設定!$B$11:$B$60="AWS")*--(整形回答!F50:BC50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0" s="10">
        <f>IF(D50="","",IF(SUMPRODUCT(--(設定!$B$11:$B$60="NW/Security")*XLOOKUP(設定!$B$11:$B$60,設定!$A$5:$A$7,設定!$B$5:$B$7)*XLOOKUP(設定!$C$11:$C$60,設定!$D$5:$D$7,設定!$E$5:$E$7))=0,"",SUMPRODUCT(--(設定!$B$11:$B$60="NW/Security")*--(整形回答!F50:BC50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0" s="8">
        <f>IF(F50="","",IF(F50&gt;=85,"即戦力",IF(F50&gt;=70,"主担当",IF(F50&gt;=55,"サポート","育成"))))</f>
        <v/>
      </c>
      <c r="K50" s="8">
        <f>整形回答!E50</f>
        <v/>
      </c>
    </row>
    <row r="51">
      <c r="A51" s="8">
        <f>整形回答!A51</f>
        <v/>
      </c>
      <c r="B51" s="9">
        <f>整形回答!B51</f>
        <v/>
      </c>
      <c r="C51" s="9">
        <f>整形回答!C51</f>
        <v/>
      </c>
      <c r="D51" s="8">
        <f>IF(B51="","",SUMPRODUCT(--(整形回答!F51:BC51=正解キー!$B$2:$B$51)*XLOOKUP(設定!$B$11:$B$60,設定!$A$5:$A$7,設定!$B$5:$B$7)*XLOOKUP(設定!$C$11:$C$60,設定!$D$5:$D$7,設定!$E$5:$E$7)))</f>
        <v/>
      </c>
      <c r="E51" s="8">
        <f>SUMPRODUCT(XLOOKUP(設定!$B$11:$B$60,設定!$A$5:$A$7,設定!$B$5:$B$7)*XLOOKUP(設定!$C$11:$C$60,設定!$D$5:$D$7,設定!$E$5:$E$7))</f>
        <v/>
      </c>
      <c r="F51" s="10">
        <f>IF(D51="","",D51/E51*100)</f>
        <v/>
      </c>
      <c r="G51" s="10">
        <f>IF(D51="","",IF(SUMPRODUCT(--(設定!$B$11:$B$60="OS（Linux/Windows）")*XLOOKUP(設定!$B$11:$B$60,設定!$A$5:$A$7,設定!$B$5:$B$7)*XLOOKUP(設定!$C$11:$C$60,設定!$D$5:$D$7,設定!$E$5:$E$7))=0,"",SUMPRODUCT(--(設定!$B$11:$B$60="OS（Linux/Windows）")*--(整形回答!F51:BC51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1" s="10">
        <f>IF(D51="","",IF(SUMPRODUCT(--(設定!$B$11:$B$60="AWS")*XLOOKUP(設定!$B$11:$B$60,設定!$A$5:$A$7,設定!$B$5:$B$7)*XLOOKUP(設定!$C$11:$C$60,設定!$D$5:$D$7,設定!$E$5:$E$7))=0,"",SUMPRODUCT(--(設定!$B$11:$B$60="AWS")*--(整形回答!F51:BC51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1" s="10">
        <f>IF(D51="","",IF(SUMPRODUCT(--(設定!$B$11:$B$60="NW/Security")*XLOOKUP(設定!$B$11:$B$60,設定!$A$5:$A$7,設定!$B$5:$B$7)*XLOOKUP(設定!$C$11:$C$60,設定!$D$5:$D$7,設定!$E$5:$E$7))=0,"",SUMPRODUCT(--(設定!$B$11:$B$60="NW/Security")*--(整形回答!F51:BC51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1" s="8">
        <f>IF(F51="","",IF(F51&gt;=85,"即戦力",IF(F51&gt;=70,"主担当",IF(F51&gt;=55,"サポート","育成"))))</f>
        <v/>
      </c>
      <c r="K51" s="8">
        <f>整形回答!E51</f>
        <v/>
      </c>
    </row>
    <row r="52">
      <c r="A52" s="8">
        <f>整形回答!A52</f>
        <v/>
      </c>
      <c r="B52" s="9">
        <f>整形回答!B52</f>
        <v/>
      </c>
      <c r="C52" s="9">
        <f>整形回答!C52</f>
        <v/>
      </c>
      <c r="D52" s="8">
        <f>IF(B52="","",SUMPRODUCT(--(整形回答!F52:BC52=正解キー!$B$2:$B$51)*XLOOKUP(設定!$B$11:$B$60,設定!$A$5:$A$7,設定!$B$5:$B$7)*XLOOKUP(設定!$C$11:$C$60,設定!$D$5:$D$7,設定!$E$5:$E$7)))</f>
        <v/>
      </c>
      <c r="E52" s="8">
        <f>SUMPRODUCT(XLOOKUP(設定!$B$11:$B$60,設定!$A$5:$A$7,設定!$B$5:$B$7)*XLOOKUP(設定!$C$11:$C$60,設定!$D$5:$D$7,設定!$E$5:$E$7))</f>
        <v/>
      </c>
      <c r="F52" s="10">
        <f>IF(D52="","",D52/E52*100)</f>
        <v/>
      </c>
      <c r="G52" s="10">
        <f>IF(D52="","",IF(SUMPRODUCT(--(設定!$B$11:$B$60="OS（Linux/Windows）")*XLOOKUP(設定!$B$11:$B$60,設定!$A$5:$A$7,設定!$B$5:$B$7)*XLOOKUP(設定!$C$11:$C$60,設定!$D$5:$D$7,設定!$E$5:$E$7))=0,"",SUMPRODUCT(--(設定!$B$11:$B$60="OS（Linux/Windows）")*--(整形回答!F52:BC52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2" s="10">
        <f>IF(D52="","",IF(SUMPRODUCT(--(設定!$B$11:$B$60="AWS")*XLOOKUP(設定!$B$11:$B$60,設定!$A$5:$A$7,設定!$B$5:$B$7)*XLOOKUP(設定!$C$11:$C$60,設定!$D$5:$D$7,設定!$E$5:$E$7))=0,"",SUMPRODUCT(--(設定!$B$11:$B$60="AWS")*--(整形回答!F52:BC52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2" s="10">
        <f>IF(D52="","",IF(SUMPRODUCT(--(設定!$B$11:$B$60="NW/Security")*XLOOKUP(設定!$B$11:$B$60,設定!$A$5:$A$7,設定!$B$5:$B$7)*XLOOKUP(設定!$C$11:$C$60,設定!$D$5:$D$7,設定!$E$5:$E$7))=0,"",SUMPRODUCT(--(設定!$B$11:$B$60="NW/Security")*--(整形回答!F52:BC52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2" s="8">
        <f>IF(F52="","",IF(F52&gt;=85,"即戦力",IF(F52&gt;=70,"主担当",IF(F52&gt;=55,"サポート","育成"))))</f>
        <v/>
      </c>
      <c r="K52" s="8">
        <f>整形回答!E52</f>
        <v/>
      </c>
    </row>
    <row r="53">
      <c r="A53" s="8">
        <f>整形回答!A53</f>
        <v/>
      </c>
      <c r="B53" s="9">
        <f>整形回答!B53</f>
        <v/>
      </c>
      <c r="C53" s="9">
        <f>整形回答!C53</f>
        <v/>
      </c>
      <c r="D53" s="8">
        <f>IF(B53="","",SUMPRODUCT(--(整形回答!F53:BC53=正解キー!$B$2:$B$51)*XLOOKUP(設定!$B$11:$B$60,設定!$A$5:$A$7,設定!$B$5:$B$7)*XLOOKUP(設定!$C$11:$C$60,設定!$D$5:$D$7,設定!$E$5:$E$7)))</f>
        <v/>
      </c>
      <c r="E53" s="8">
        <f>SUMPRODUCT(XLOOKUP(設定!$B$11:$B$60,設定!$A$5:$A$7,設定!$B$5:$B$7)*XLOOKUP(設定!$C$11:$C$60,設定!$D$5:$D$7,設定!$E$5:$E$7))</f>
        <v/>
      </c>
      <c r="F53" s="10">
        <f>IF(D53="","",D53/E53*100)</f>
        <v/>
      </c>
      <c r="G53" s="10">
        <f>IF(D53="","",IF(SUMPRODUCT(--(設定!$B$11:$B$60="OS（Linux/Windows）")*XLOOKUP(設定!$B$11:$B$60,設定!$A$5:$A$7,設定!$B$5:$B$7)*XLOOKUP(設定!$C$11:$C$60,設定!$D$5:$D$7,設定!$E$5:$E$7))=0,"",SUMPRODUCT(--(設定!$B$11:$B$60="OS（Linux/Windows）")*--(整形回答!F53:BC53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3" s="10">
        <f>IF(D53="","",IF(SUMPRODUCT(--(設定!$B$11:$B$60="AWS")*XLOOKUP(設定!$B$11:$B$60,設定!$A$5:$A$7,設定!$B$5:$B$7)*XLOOKUP(設定!$C$11:$C$60,設定!$D$5:$D$7,設定!$E$5:$E$7))=0,"",SUMPRODUCT(--(設定!$B$11:$B$60="AWS")*--(整形回答!F53:BC53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3" s="10">
        <f>IF(D53="","",IF(SUMPRODUCT(--(設定!$B$11:$B$60="NW/Security")*XLOOKUP(設定!$B$11:$B$60,設定!$A$5:$A$7,設定!$B$5:$B$7)*XLOOKUP(設定!$C$11:$C$60,設定!$D$5:$D$7,設定!$E$5:$E$7))=0,"",SUMPRODUCT(--(設定!$B$11:$B$60="NW/Security")*--(整形回答!F53:BC53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3" s="8">
        <f>IF(F53="","",IF(F53&gt;=85,"即戦力",IF(F53&gt;=70,"主担当",IF(F53&gt;=55,"サポート","育成"))))</f>
        <v/>
      </c>
      <c r="K53" s="8">
        <f>整形回答!E53</f>
        <v/>
      </c>
    </row>
    <row r="54">
      <c r="A54" s="8">
        <f>整形回答!A54</f>
        <v/>
      </c>
      <c r="B54" s="9">
        <f>整形回答!B54</f>
        <v/>
      </c>
      <c r="C54" s="9">
        <f>整形回答!C54</f>
        <v/>
      </c>
      <c r="D54" s="8">
        <f>IF(B54="","",SUMPRODUCT(--(整形回答!F54:BC54=正解キー!$B$2:$B$51)*XLOOKUP(設定!$B$11:$B$60,設定!$A$5:$A$7,設定!$B$5:$B$7)*XLOOKUP(設定!$C$11:$C$60,設定!$D$5:$D$7,設定!$E$5:$E$7)))</f>
        <v/>
      </c>
      <c r="E54" s="8">
        <f>SUMPRODUCT(XLOOKUP(設定!$B$11:$B$60,設定!$A$5:$A$7,設定!$B$5:$B$7)*XLOOKUP(設定!$C$11:$C$60,設定!$D$5:$D$7,設定!$E$5:$E$7))</f>
        <v/>
      </c>
      <c r="F54" s="10">
        <f>IF(D54="","",D54/E54*100)</f>
        <v/>
      </c>
      <c r="G54" s="10">
        <f>IF(D54="","",IF(SUMPRODUCT(--(設定!$B$11:$B$60="OS（Linux/Windows）")*XLOOKUP(設定!$B$11:$B$60,設定!$A$5:$A$7,設定!$B$5:$B$7)*XLOOKUP(設定!$C$11:$C$60,設定!$D$5:$D$7,設定!$E$5:$E$7))=0,"",SUMPRODUCT(--(設定!$B$11:$B$60="OS（Linux/Windows）")*--(整形回答!F54:BC54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4" s="10">
        <f>IF(D54="","",IF(SUMPRODUCT(--(設定!$B$11:$B$60="AWS")*XLOOKUP(設定!$B$11:$B$60,設定!$A$5:$A$7,設定!$B$5:$B$7)*XLOOKUP(設定!$C$11:$C$60,設定!$D$5:$D$7,設定!$E$5:$E$7))=0,"",SUMPRODUCT(--(設定!$B$11:$B$60="AWS")*--(整形回答!F54:BC54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4" s="10">
        <f>IF(D54="","",IF(SUMPRODUCT(--(設定!$B$11:$B$60="NW/Security")*XLOOKUP(設定!$B$11:$B$60,設定!$A$5:$A$7,設定!$B$5:$B$7)*XLOOKUP(設定!$C$11:$C$60,設定!$D$5:$D$7,設定!$E$5:$E$7))=0,"",SUMPRODUCT(--(設定!$B$11:$B$60="NW/Security")*--(整形回答!F54:BC54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4" s="8">
        <f>IF(F54="","",IF(F54&gt;=85,"即戦力",IF(F54&gt;=70,"主担当",IF(F54&gt;=55,"サポート","育成"))))</f>
        <v/>
      </c>
      <c r="K54" s="8">
        <f>整形回答!E54</f>
        <v/>
      </c>
    </row>
    <row r="55">
      <c r="A55" s="8">
        <f>整形回答!A55</f>
        <v/>
      </c>
      <c r="B55" s="9">
        <f>整形回答!B55</f>
        <v/>
      </c>
      <c r="C55" s="9">
        <f>整形回答!C55</f>
        <v/>
      </c>
      <c r="D55" s="8">
        <f>IF(B55="","",SUMPRODUCT(--(整形回答!F55:BC55=正解キー!$B$2:$B$51)*XLOOKUP(設定!$B$11:$B$60,設定!$A$5:$A$7,設定!$B$5:$B$7)*XLOOKUP(設定!$C$11:$C$60,設定!$D$5:$D$7,設定!$E$5:$E$7)))</f>
        <v/>
      </c>
      <c r="E55" s="8">
        <f>SUMPRODUCT(XLOOKUP(設定!$B$11:$B$60,設定!$A$5:$A$7,設定!$B$5:$B$7)*XLOOKUP(設定!$C$11:$C$60,設定!$D$5:$D$7,設定!$E$5:$E$7))</f>
        <v/>
      </c>
      <c r="F55" s="10">
        <f>IF(D55="","",D55/E55*100)</f>
        <v/>
      </c>
      <c r="G55" s="10">
        <f>IF(D55="","",IF(SUMPRODUCT(--(設定!$B$11:$B$60="OS（Linux/Windows）")*XLOOKUP(設定!$B$11:$B$60,設定!$A$5:$A$7,設定!$B$5:$B$7)*XLOOKUP(設定!$C$11:$C$60,設定!$D$5:$D$7,設定!$E$5:$E$7))=0,"",SUMPRODUCT(--(設定!$B$11:$B$60="OS（Linux/Windows）")*--(整形回答!F55:BC55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5" s="10">
        <f>IF(D55="","",IF(SUMPRODUCT(--(設定!$B$11:$B$60="AWS")*XLOOKUP(設定!$B$11:$B$60,設定!$A$5:$A$7,設定!$B$5:$B$7)*XLOOKUP(設定!$C$11:$C$60,設定!$D$5:$D$7,設定!$E$5:$E$7))=0,"",SUMPRODUCT(--(設定!$B$11:$B$60="AWS")*--(整形回答!F55:BC55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5" s="10">
        <f>IF(D55="","",IF(SUMPRODUCT(--(設定!$B$11:$B$60="NW/Security")*XLOOKUP(設定!$B$11:$B$60,設定!$A$5:$A$7,設定!$B$5:$B$7)*XLOOKUP(設定!$C$11:$C$60,設定!$D$5:$D$7,設定!$E$5:$E$7))=0,"",SUMPRODUCT(--(設定!$B$11:$B$60="NW/Security")*--(整形回答!F55:BC55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5" s="8">
        <f>IF(F55="","",IF(F55&gt;=85,"即戦力",IF(F55&gt;=70,"主担当",IF(F55&gt;=55,"サポート","育成"))))</f>
        <v/>
      </c>
      <c r="K55" s="8">
        <f>整形回答!E55</f>
        <v/>
      </c>
    </row>
    <row r="56">
      <c r="A56" s="8">
        <f>整形回答!A56</f>
        <v/>
      </c>
      <c r="B56" s="9">
        <f>整形回答!B56</f>
        <v/>
      </c>
      <c r="C56" s="9">
        <f>整形回答!C56</f>
        <v/>
      </c>
      <c r="D56" s="8">
        <f>IF(B56="","",SUMPRODUCT(--(整形回答!F56:BC56=正解キー!$B$2:$B$51)*XLOOKUP(設定!$B$11:$B$60,設定!$A$5:$A$7,設定!$B$5:$B$7)*XLOOKUP(設定!$C$11:$C$60,設定!$D$5:$D$7,設定!$E$5:$E$7)))</f>
        <v/>
      </c>
      <c r="E56" s="8">
        <f>SUMPRODUCT(XLOOKUP(設定!$B$11:$B$60,設定!$A$5:$A$7,設定!$B$5:$B$7)*XLOOKUP(設定!$C$11:$C$60,設定!$D$5:$D$7,設定!$E$5:$E$7))</f>
        <v/>
      </c>
      <c r="F56" s="10">
        <f>IF(D56="","",D56/E56*100)</f>
        <v/>
      </c>
      <c r="G56" s="10">
        <f>IF(D56="","",IF(SUMPRODUCT(--(設定!$B$11:$B$60="OS（Linux/Windows）")*XLOOKUP(設定!$B$11:$B$60,設定!$A$5:$A$7,設定!$B$5:$B$7)*XLOOKUP(設定!$C$11:$C$60,設定!$D$5:$D$7,設定!$E$5:$E$7))=0,"",SUMPRODUCT(--(設定!$B$11:$B$60="OS（Linux/Windows）")*--(整形回答!F56:BC56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6" s="10">
        <f>IF(D56="","",IF(SUMPRODUCT(--(設定!$B$11:$B$60="AWS")*XLOOKUP(設定!$B$11:$B$60,設定!$A$5:$A$7,設定!$B$5:$B$7)*XLOOKUP(設定!$C$11:$C$60,設定!$D$5:$D$7,設定!$E$5:$E$7))=0,"",SUMPRODUCT(--(設定!$B$11:$B$60="AWS")*--(整形回答!F56:BC56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6" s="10">
        <f>IF(D56="","",IF(SUMPRODUCT(--(設定!$B$11:$B$60="NW/Security")*XLOOKUP(設定!$B$11:$B$60,設定!$A$5:$A$7,設定!$B$5:$B$7)*XLOOKUP(設定!$C$11:$C$60,設定!$D$5:$D$7,設定!$E$5:$E$7))=0,"",SUMPRODUCT(--(設定!$B$11:$B$60="NW/Security")*--(整形回答!F56:BC56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6" s="8">
        <f>IF(F56="","",IF(F56&gt;=85,"即戦力",IF(F56&gt;=70,"主担当",IF(F56&gt;=55,"サポート","育成"))))</f>
        <v/>
      </c>
      <c r="K56" s="8">
        <f>整形回答!E56</f>
        <v/>
      </c>
    </row>
    <row r="57">
      <c r="A57" s="8">
        <f>整形回答!A57</f>
        <v/>
      </c>
      <c r="B57" s="9">
        <f>整形回答!B57</f>
        <v/>
      </c>
      <c r="C57" s="9">
        <f>整形回答!C57</f>
        <v/>
      </c>
      <c r="D57" s="8">
        <f>IF(B57="","",SUMPRODUCT(--(整形回答!F57:BC57=正解キー!$B$2:$B$51)*XLOOKUP(設定!$B$11:$B$60,設定!$A$5:$A$7,設定!$B$5:$B$7)*XLOOKUP(設定!$C$11:$C$60,設定!$D$5:$D$7,設定!$E$5:$E$7)))</f>
        <v/>
      </c>
      <c r="E57" s="8">
        <f>SUMPRODUCT(XLOOKUP(設定!$B$11:$B$60,設定!$A$5:$A$7,設定!$B$5:$B$7)*XLOOKUP(設定!$C$11:$C$60,設定!$D$5:$D$7,設定!$E$5:$E$7))</f>
        <v/>
      </c>
      <c r="F57" s="10">
        <f>IF(D57="","",D57/E57*100)</f>
        <v/>
      </c>
      <c r="G57" s="10">
        <f>IF(D57="","",IF(SUMPRODUCT(--(設定!$B$11:$B$60="OS（Linux/Windows）")*XLOOKUP(設定!$B$11:$B$60,設定!$A$5:$A$7,設定!$B$5:$B$7)*XLOOKUP(設定!$C$11:$C$60,設定!$D$5:$D$7,設定!$E$5:$E$7))=0,"",SUMPRODUCT(--(設定!$B$11:$B$60="OS（Linux/Windows）")*--(整形回答!F57:BC57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7" s="10">
        <f>IF(D57="","",IF(SUMPRODUCT(--(設定!$B$11:$B$60="AWS")*XLOOKUP(設定!$B$11:$B$60,設定!$A$5:$A$7,設定!$B$5:$B$7)*XLOOKUP(設定!$C$11:$C$60,設定!$D$5:$D$7,設定!$E$5:$E$7))=0,"",SUMPRODUCT(--(設定!$B$11:$B$60="AWS")*--(整形回答!F57:BC57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7" s="10">
        <f>IF(D57="","",IF(SUMPRODUCT(--(設定!$B$11:$B$60="NW/Security")*XLOOKUP(設定!$B$11:$B$60,設定!$A$5:$A$7,設定!$B$5:$B$7)*XLOOKUP(設定!$C$11:$C$60,設定!$D$5:$D$7,設定!$E$5:$E$7))=0,"",SUMPRODUCT(--(設定!$B$11:$B$60="NW/Security")*--(整形回答!F57:BC57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7" s="8">
        <f>IF(F57="","",IF(F57&gt;=85,"即戦力",IF(F57&gt;=70,"主担当",IF(F57&gt;=55,"サポート","育成"))))</f>
        <v/>
      </c>
      <c r="K57" s="8">
        <f>整形回答!E57</f>
        <v/>
      </c>
    </row>
    <row r="58">
      <c r="A58" s="8">
        <f>整形回答!A58</f>
        <v/>
      </c>
      <c r="B58" s="9">
        <f>整形回答!B58</f>
        <v/>
      </c>
      <c r="C58" s="9">
        <f>整形回答!C58</f>
        <v/>
      </c>
      <c r="D58" s="8">
        <f>IF(B58="","",SUMPRODUCT(--(整形回答!F58:BC58=正解キー!$B$2:$B$51)*XLOOKUP(設定!$B$11:$B$60,設定!$A$5:$A$7,設定!$B$5:$B$7)*XLOOKUP(設定!$C$11:$C$60,設定!$D$5:$D$7,設定!$E$5:$E$7)))</f>
        <v/>
      </c>
      <c r="E58" s="8">
        <f>SUMPRODUCT(XLOOKUP(設定!$B$11:$B$60,設定!$A$5:$A$7,設定!$B$5:$B$7)*XLOOKUP(設定!$C$11:$C$60,設定!$D$5:$D$7,設定!$E$5:$E$7))</f>
        <v/>
      </c>
      <c r="F58" s="10">
        <f>IF(D58="","",D58/E58*100)</f>
        <v/>
      </c>
      <c r="G58" s="10">
        <f>IF(D58="","",IF(SUMPRODUCT(--(設定!$B$11:$B$60="OS（Linux/Windows）")*XLOOKUP(設定!$B$11:$B$60,設定!$A$5:$A$7,設定!$B$5:$B$7)*XLOOKUP(設定!$C$11:$C$60,設定!$D$5:$D$7,設定!$E$5:$E$7))=0,"",SUMPRODUCT(--(設定!$B$11:$B$60="OS（Linux/Windows）")*--(整形回答!F58:BC58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8" s="10">
        <f>IF(D58="","",IF(SUMPRODUCT(--(設定!$B$11:$B$60="AWS")*XLOOKUP(設定!$B$11:$B$60,設定!$A$5:$A$7,設定!$B$5:$B$7)*XLOOKUP(設定!$C$11:$C$60,設定!$D$5:$D$7,設定!$E$5:$E$7))=0,"",SUMPRODUCT(--(設定!$B$11:$B$60="AWS")*--(整形回答!F58:BC58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8" s="10">
        <f>IF(D58="","",IF(SUMPRODUCT(--(設定!$B$11:$B$60="NW/Security")*XLOOKUP(設定!$B$11:$B$60,設定!$A$5:$A$7,設定!$B$5:$B$7)*XLOOKUP(設定!$C$11:$C$60,設定!$D$5:$D$7,設定!$E$5:$E$7))=0,"",SUMPRODUCT(--(設定!$B$11:$B$60="NW/Security")*--(整形回答!F58:BC58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8" s="8">
        <f>IF(F58="","",IF(F58&gt;=85,"即戦力",IF(F58&gt;=70,"主担当",IF(F58&gt;=55,"サポート","育成"))))</f>
        <v/>
      </c>
      <c r="K58" s="8">
        <f>整形回答!E58</f>
        <v/>
      </c>
    </row>
    <row r="59">
      <c r="A59" s="8">
        <f>整形回答!A59</f>
        <v/>
      </c>
      <c r="B59" s="9">
        <f>整形回答!B59</f>
        <v/>
      </c>
      <c r="C59" s="9">
        <f>整形回答!C59</f>
        <v/>
      </c>
      <c r="D59" s="8">
        <f>IF(B59="","",SUMPRODUCT(--(整形回答!F59:BC59=正解キー!$B$2:$B$51)*XLOOKUP(設定!$B$11:$B$60,設定!$A$5:$A$7,設定!$B$5:$B$7)*XLOOKUP(設定!$C$11:$C$60,設定!$D$5:$D$7,設定!$E$5:$E$7)))</f>
        <v/>
      </c>
      <c r="E59" s="8">
        <f>SUMPRODUCT(XLOOKUP(設定!$B$11:$B$60,設定!$A$5:$A$7,設定!$B$5:$B$7)*XLOOKUP(設定!$C$11:$C$60,設定!$D$5:$D$7,設定!$E$5:$E$7))</f>
        <v/>
      </c>
      <c r="F59" s="10">
        <f>IF(D59="","",D59/E59*100)</f>
        <v/>
      </c>
      <c r="G59" s="10">
        <f>IF(D59="","",IF(SUMPRODUCT(--(設定!$B$11:$B$60="OS（Linux/Windows）")*XLOOKUP(設定!$B$11:$B$60,設定!$A$5:$A$7,設定!$B$5:$B$7)*XLOOKUP(設定!$C$11:$C$60,設定!$D$5:$D$7,設定!$E$5:$E$7))=0,"",SUMPRODUCT(--(設定!$B$11:$B$60="OS（Linux/Windows）")*--(整形回答!F59:BC59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59" s="10">
        <f>IF(D59="","",IF(SUMPRODUCT(--(設定!$B$11:$B$60="AWS")*XLOOKUP(設定!$B$11:$B$60,設定!$A$5:$A$7,設定!$B$5:$B$7)*XLOOKUP(設定!$C$11:$C$60,設定!$D$5:$D$7,設定!$E$5:$E$7))=0,"",SUMPRODUCT(--(設定!$B$11:$B$60="AWS")*--(整形回答!F59:BC59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59" s="10">
        <f>IF(D59="","",IF(SUMPRODUCT(--(設定!$B$11:$B$60="NW/Security")*XLOOKUP(設定!$B$11:$B$60,設定!$A$5:$A$7,設定!$B$5:$B$7)*XLOOKUP(設定!$C$11:$C$60,設定!$D$5:$D$7,設定!$E$5:$E$7))=0,"",SUMPRODUCT(--(設定!$B$11:$B$60="NW/Security")*--(整形回答!F59:BC59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59" s="8">
        <f>IF(F59="","",IF(F59&gt;=85,"即戦力",IF(F59&gt;=70,"主担当",IF(F59&gt;=55,"サポート","育成"))))</f>
        <v/>
      </c>
      <c r="K59" s="8">
        <f>整形回答!E59</f>
        <v/>
      </c>
    </row>
    <row r="60">
      <c r="A60" s="8">
        <f>整形回答!A60</f>
        <v/>
      </c>
      <c r="B60" s="9">
        <f>整形回答!B60</f>
        <v/>
      </c>
      <c r="C60" s="9">
        <f>整形回答!C60</f>
        <v/>
      </c>
      <c r="D60" s="8">
        <f>IF(B60="","",SUMPRODUCT(--(整形回答!F60:BC60=正解キー!$B$2:$B$51)*XLOOKUP(設定!$B$11:$B$60,設定!$A$5:$A$7,設定!$B$5:$B$7)*XLOOKUP(設定!$C$11:$C$60,設定!$D$5:$D$7,設定!$E$5:$E$7)))</f>
        <v/>
      </c>
      <c r="E60" s="8">
        <f>SUMPRODUCT(XLOOKUP(設定!$B$11:$B$60,設定!$A$5:$A$7,設定!$B$5:$B$7)*XLOOKUP(設定!$C$11:$C$60,設定!$D$5:$D$7,設定!$E$5:$E$7))</f>
        <v/>
      </c>
      <c r="F60" s="10">
        <f>IF(D60="","",D60/E60*100)</f>
        <v/>
      </c>
      <c r="G60" s="10">
        <f>IF(D60="","",IF(SUMPRODUCT(--(設定!$B$11:$B$60="OS（Linux/Windows）")*XLOOKUP(設定!$B$11:$B$60,設定!$A$5:$A$7,設定!$B$5:$B$7)*XLOOKUP(設定!$C$11:$C$60,設定!$D$5:$D$7,設定!$E$5:$E$7))=0,"",SUMPRODUCT(--(設定!$B$11:$B$60="OS（Linux/Windows）")*--(整形回答!F60:BC60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0" s="10">
        <f>IF(D60="","",IF(SUMPRODUCT(--(設定!$B$11:$B$60="AWS")*XLOOKUP(設定!$B$11:$B$60,設定!$A$5:$A$7,設定!$B$5:$B$7)*XLOOKUP(設定!$C$11:$C$60,設定!$D$5:$D$7,設定!$E$5:$E$7))=0,"",SUMPRODUCT(--(設定!$B$11:$B$60="AWS")*--(整形回答!F60:BC60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0" s="10">
        <f>IF(D60="","",IF(SUMPRODUCT(--(設定!$B$11:$B$60="NW/Security")*XLOOKUP(設定!$B$11:$B$60,設定!$A$5:$A$7,設定!$B$5:$B$7)*XLOOKUP(設定!$C$11:$C$60,設定!$D$5:$D$7,設定!$E$5:$E$7))=0,"",SUMPRODUCT(--(設定!$B$11:$B$60="NW/Security")*--(整形回答!F60:BC60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0" s="8">
        <f>IF(F60="","",IF(F60&gt;=85,"即戦力",IF(F60&gt;=70,"主担当",IF(F60&gt;=55,"サポート","育成"))))</f>
        <v/>
      </c>
      <c r="K60" s="8">
        <f>整形回答!E60</f>
        <v/>
      </c>
    </row>
    <row r="61">
      <c r="A61" s="8">
        <f>整形回答!A61</f>
        <v/>
      </c>
      <c r="B61" s="9">
        <f>整形回答!B61</f>
        <v/>
      </c>
      <c r="C61" s="9">
        <f>整形回答!C61</f>
        <v/>
      </c>
      <c r="D61" s="8">
        <f>IF(B61="","",SUMPRODUCT(--(整形回答!F61:BC61=正解キー!$B$2:$B$51)*XLOOKUP(設定!$B$11:$B$60,設定!$A$5:$A$7,設定!$B$5:$B$7)*XLOOKUP(設定!$C$11:$C$60,設定!$D$5:$D$7,設定!$E$5:$E$7)))</f>
        <v/>
      </c>
      <c r="E61" s="8">
        <f>SUMPRODUCT(XLOOKUP(設定!$B$11:$B$60,設定!$A$5:$A$7,設定!$B$5:$B$7)*XLOOKUP(設定!$C$11:$C$60,設定!$D$5:$D$7,設定!$E$5:$E$7))</f>
        <v/>
      </c>
      <c r="F61" s="10">
        <f>IF(D61="","",D61/E61*100)</f>
        <v/>
      </c>
      <c r="G61" s="10">
        <f>IF(D61="","",IF(SUMPRODUCT(--(設定!$B$11:$B$60="OS（Linux/Windows）")*XLOOKUP(設定!$B$11:$B$60,設定!$A$5:$A$7,設定!$B$5:$B$7)*XLOOKUP(設定!$C$11:$C$60,設定!$D$5:$D$7,設定!$E$5:$E$7))=0,"",SUMPRODUCT(--(設定!$B$11:$B$60="OS（Linux/Windows）")*--(整形回答!F61:BC61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1" s="10">
        <f>IF(D61="","",IF(SUMPRODUCT(--(設定!$B$11:$B$60="AWS")*XLOOKUP(設定!$B$11:$B$60,設定!$A$5:$A$7,設定!$B$5:$B$7)*XLOOKUP(設定!$C$11:$C$60,設定!$D$5:$D$7,設定!$E$5:$E$7))=0,"",SUMPRODUCT(--(設定!$B$11:$B$60="AWS")*--(整形回答!F61:BC61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1" s="10">
        <f>IF(D61="","",IF(SUMPRODUCT(--(設定!$B$11:$B$60="NW/Security")*XLOOKUP(設定!$B$11:$B$60,設定!$A$5:$A$7,設定!$B$5:$B$7)*XLOOKUP(設定!$C$11:$C$60,設定!$D$5:$D$7,設定!$E$5:$E$7))=0,"",SUMPRODUCT(--(設定!$B$11:$B$60="NW/Security")*--(整形回答!F61:BC61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1" s="8">
        <f>IF(F61="","",IF(F61&gt;=85,"即戦力",IF(F61&gt;=70,"主担当",IF(F61&gt;=55,"サポート","育成"))))</f>
        <v/>
      </c>
      <c r="K61" s="8">
        <f>整形回答!E61</f>
        <v/>
      </c>
    </row>
    <row r="62">
      <c r="A62" s="8">
        <f>整形回答!A62</f>
        <v/>
      </c>
      <c r="B62" s="9">
        <f>整形回答!B62</f>
        <v/>
      </c>
      <c r="C62" s="9">
        <f>整形回答!C62</f>
        <v/>
      </c>
      <c r="D62" s="8">
        <f>IF(B62="","",SUMPRODUCT(--(整形回答!F62:BC62=正解キー!$B$2:$B$51)*XLOOKUP(設定!$B$11:$B$60,設定!$A$5:$A$7,設定!$B$5:$B$7)*XLOOKUP(設定!$C$11:$C$60,設定!$D$5:$D$7,設定!$E$5:$E$7)))</f>
        <v/>
      </c>
      <c r="E62" s="8">
        <f>SUMPRODUCT(XLOOKUP(設定!$B$11:$B$60,設定!$A$5:$A$7,設定!$B$5:$B$7)*XLOOKUP(設定!$C$11:$C$60,設定!$D$5:$D$7,設定!$E$5:$E$7))</f>
        <v/>
      </c>
      <c r="F62" s="10">
        <f>IF(D62="","",D62/E62*100)</f>
        <v/>
      </c>
      <c r="G62" s="10">
        <f>IF(D62="","",IF(SUMPRODUCT(--(設定!$B$11:$B$60="OS（Linux/Windows）")*XLOOKUP(設定!$B$11:$B$60,設定!$A$5:$A$7,設定!$B$5:$B$7)*XLOOKUP(設定!$C$11:$C$60,設定!$D$5:$D$7,設定!$E$5:$E$7))=0,"",SUMPRODUCT(--(設定!$B$11:$B$60="OS（Linux/Windows）")*--(整形回答!F62:BC62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2" s="10">
        <f>IF(D62="","",IF(SUMPRODUCT(--(設定!$B$11:$B$60="AWS")*XLOOKUP(設定!$B$11:$B$60,設定!$A$5:$A$7,設定!$B$5:$B$7)*XLOOKUP(設定!$C$11:$C$60,設定!$D$5:$D$7,設定!$E$5:$E$7))=0,"",SUMPRODUCT(--(設定!$B$11:$B$60="AWS")*--(整形回答!F62:BC62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2" s="10">
        <f>IF(D62="","",IF(SUMPRODUCT(--(設定!$B$11:$B$60="NW/Security")*XLOOKUP(設定!$B$11:$B$60,設定!$A$5:$A$7,設定!$B$5:$B$7)*XLOOKUP(設定!$C$11:$C$60,設定!$D$5:$D$7,設定!$E$5:$E$7))=0,"",SUMPRODUCT(--(設定!$B$11:$B$60="NW/Security")*--(整形回答!F62:BC62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2" s="8">
        <f>IF(F62="","",IF(F62&gt;=85,"即戦力",IF(F62&gt;=70,"主担当",IF(F62&gt;=55,"サポート","育成"))))</f>
        <v/>
      </c>
      <c r="K62" s="8">
        <f>整形回答!E62</f>
        <v/>
      </c>
    </row>
    <row r="63">
      <c r="A63" s="8">
        <f>整形回答!A63</f>
        <v/>
      </c>
      <c r="B63" s="9">
        <f>整形回答!B63</f>
        <v/>
      </c>
      <c r="C63" s="9">
        <f>整形回答!C63</f>
        <v/>
      </c>
      <c r="D63" s="8">
        <f>IF(B63="","",SUMPRODUCT(--(整形回答!F63:BC63=正解キー!$B$2:$B$51)*XLOOKUP(設定!$B$11:$B$60,設定!$A$5:$A$7,設定!$B$5:$B$7)*XLOOKUP(設定!$C$11:$C$60,設定!$D$5:$D$7,設定!$E$5:$E$7)))</f>
        <v/>
      </c>
      <c r="E63" s="8">
        <f>SUMPRODUCT(XLOOKUP(設定!$B$11:$B$60,設定!$A$5:$A$7,設定!$B$5:$B$7)*XLOOKUP(設定!$C$11:$C$60,設定!$D$5:$D$7,設定!$E$5:$E$7))</f>
        <v/>
      </c>
      <c r="F63" s="10">
        <f>IF(D63="","",D63/E63*100)</f>
        <v/>
      </c>
      <c r="G63" s="10">
        <f>IF(D63="","",IF(SUMPRODUCT(--(設定!$B$11:$B$60="OS（Linux/Windows）")*XLOOKUP(設定!$B$11:$B$60,設定!$A$5:$A$7,設定!$B$5:$B$7)*XLOOKUP(設定!$C$11:$C$60,設定!$D$5:$D$7,設定!$E$5:$E$7))=0,"",SUMPRODUCT(--(設定!$B$11:$B$60="OS（Linux/Windows）")*--(整形回答!F63:BC63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3" s="10">
        <f>IF(D63="","",IF(SUMPRODUCT(--(設定!$B$11:$B$60="AWS")*XLOOKUP(設定!$B$11:$B$60,設定!$A$5:$A$7,設定!$B$5:$B$7)*XLOOKUP(設定!$C$11:$C$60,設定!$D$5:$D$7,設定!$E$5:$E$7))=0,"",SUMPRODUCT(--(設定!$B$11:$B$60="AWS")*--(整形回答!F63:BC63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3" s="10">
        <f>IF(D63="","",IF(SUMPRODUCT(--(設定!$B$11:$B$60="NW/Security")*XLOOKUP(設定!$B$11:$B$60,設定!$A$5:$A$7,設定!$B$5:$B$7)*XLOOKUP(設定!$C$11:$C$60,設定!$D$5:$D$7,設定!$E$5:$E$7))=0,"",SUMPRODUCT(--(設定!$B$11:$B$60="NW/Security")*--(整形回答!F63:BC63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3" s="8">
        <f>IF(F63="","",IF(F63&gt;=85,"即戦力",IF(F63&gt;=70,"主担当",IF(F63&gt;=55,"サポート","育成"))))</f>
        <v/>
      </c>
      <c r="K63" s="8">
        <f>整形回答!E63</f>
        <v/>
      </c>
    </row>
    <row r="64">
      <c r="A64" s="8">
        <f>整形回答!A64</f>
        <v/>
      </c>
      <c r="B64" s="9">
        <f>整形回答!B64</f>
        <v/>
      </c>
      <c r="C64" s="9">
        <f>整形回答!C64</f>
        <v/>
      </c>
      <c r="D64" s="8">
        <f>IF(B64="","",SUMPRODUCT(--(整形回答!F64:BC64=正解キー!$B$2:$B$51)*XLOOKUP(設定!$B$11:$B$60,設定!$A$5:$A$7,設定!$B$5:$B$7)*XLOOKUP(設定!$C$11:$C$60,設定!$D$5:$D$7,設定!$E$5:$E$7)))</f>
        <v/>
      </c>
      <c r="E64" s="8">
        <f>SUMPRODUCT(XLOOKUP(設定!$B$11:$B$60,設定!$A$5:$A$7,設定!$B$5:$B$7)*XLOOKUP(設定!$C$11:$C$60,設定!$D$5:$D$7,設定!$E$5:$E$7))</f>
        <v/>
      </c>
      <c r="F64" s="10">
        <f>IF(D64="","",D64/E64*100)</f>
        <v/>
      </c>
      <c r="G64" s="10">
        <f>IF(D64="","",IF(SUMPRODUCT(--(設定!$B$11:$B$60="OS（Linux/Windows）")*XLOOKUP(設定!$B$11:$B$60,設定!$A$5:$A$7,設定!$B$5:$B$7)*XLOOKUP(設定!$C$11:$C$60,設定!$D$5:$D$7,設定!$E$5:$E$7))=0,"",SUMPRODUCT(--(設定!$B$11:$B$60="OS（Linux/Windows）")*--(整形回答!F64:BC64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4" s="10">
        <f>IF(D64="","",IF(SUMPRODUCT(--(設定!$B$11:$B$60="AWS")*XLOOKUP(設定!$B$11:$B$60,設定!$A$5:$A$7,設定!$B$5:$B$7)*XLOOKUP(設定!$C$11:$C$60,設定!$D$5:$D$7,設定!$E$5:$E$7))=0,"",SUMPRODUCT(--(設定!$B$11:$B$60="AWS")*--(整形回答!F64:BC64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4" s="10">
        <f>IF(D64="","",IF(SUMPRODUCT(--(設定!$B$11:$B$60="NW/Security")*XLOOKUP(設定!$B$11:$B$60,設定!$A$5:$A$7,設定!$B$5:$B$7)*XLOOKUP(設定!$C$11:$C$60,設定!$D$5:$D$7,設定!$E$5:$E$7))=0,"",SUMPRODUCT(--(設定!$B$11:$B$60="NW/Security")*--(整形回答!F64:BC64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4" s="8">
        <f>IF(F64="","",IF(F64&gt;=85,"即戦力",IF(F64&gt;=70,"主担当",IF(F64&gt;=55,"サポート","育成"))))</f>
        <v/>
      </c>
      <c r="K64" s="8">
        <f>整形回答!E64</f>
        <v/>
      </c>
    </row>
    <row r="65">
      <c r="A65" s="8">
        <f>整形回答!A65</f>
        <v/>
      </c>
      <c r="B65" s="9">
        <f>整形回答!B65</f>
        <v/>
      </c>
      <c r="C65" s="9">
        <f>整形回答!C65</f>
        <v/>
      </c>
      <c r="D65" s="8">
        <f>IF(B65="","",SUMPRODUCT(--(整形回答!F65:BC65=正解キー!$B$2:$B$51)*XLOOKUP(設定!$B$11:$B$60,設定!$A$5:$A$7,設定!$B$5:$B$7)*XLOOKUP(設定!$C$11:$C$60,設定!$D$5:$D$7,設定!$E$5:$E$7)))</f>
        <v/>
      </c>
      <c r="E65" s="8">
        <f>SUMPRODUCT(XLOOKUP(設定!$B$11:$B$60,設定!$A$5:$A$7,設定!$B$5:$B$7)*XLOOKUP(設定!$C$11:$C$60,設定!$D$5:$D$7,設定!$E$5:$E$7))</f>
        <v/>
      </c>
      <c r="F65" s="10">
        <f>IF(D65="","",D65/E65*100)</f>
        <v/>
      </c>
      <c r="G65" s="10">
        <f>IF(D65="","",IF(SUMPRODUCT(--(設定!$B$11:$B$60="OS（Linux/Windows）")*XLOOKUP(設定!$B$11:$B$60,設定!$A$5:$A$7,設定!$B$5:$B$7)*XLOOKUP(設定!$C$11:$C$60,設定!$D$5:$D$7,設定!$E$5:$E$7))=0,"",SUMPRODUCT(--(設定!$B$11:$B$60="OS（Linux/Windows）")*--(整形回答!F65:BC65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5" s="10">
        <f>IF(D65="","",IF(SUMPRODUCT(--(設定!$B$11:$B$60="AWS")*XLOOKUP(設定!$B$11:$B$60,設定!$A$5:$A$7,設定!$B$5:$B$7)*XLOOKUP(設定!$C$11:$C$60,設定!$D$5:$D$7,設定!$E$5:$E$7))=0,"",SUMPRODUCT(--(設定!$B$11:$B$60="AWS")*--(整形回答!F65:BC65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5" s="10">
        <f>IF(D65="","",IF(SUMPRODUCT(--(設定!$B$11:$B$60="NW/Security")*XLOOKUP(設定!$B$11:$B$60,設定!$A$5:$A$7,設定!$B$5:$B$7)*XLOOKUP(設定!$C$11:$C$60,設定!$D$5:$D$7,設定!$E$5:$E$7))=0,"",SUMPRODUCT(--(設定!$B$11:$B$60="NW/Security")*--(整形回答!F65:BC65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5" s="8">
        <f>IF(F65="","",IF(F65&gt;=85,"即戦力",IF(F65&gt;=70,"主担当",IF(F65&gt;=55,"サポート","育成"))))</f>
        <v/>
      </c>
      <c r="K65" s="8">
        <f>整形回答!E65</f>
        <v/>
      </c>
    </row>
    <row r="66">
      <c r="A66" s="8">
        <f>整形回答!A66</f>
        <v/>
      </c>
      <c r="B66" s="9">
        <f>整形回答!B66</f>
        <v/>
      </c>
      <c r="C66" s="9">
        <f>整形回答!C66</f>
        <v/>
      </c>
      <c r="D66" s="8">
        <f>IF(B66="","",SUMPRODUCT(--(整形回答!F66:BC66=正解キー!$B$2:$B$51)*XLOOKUP(設定!$B$11:$B$60,設定!$A$5:$A$7,設定!$B$5:$B$7)*XLOOKUP(設定!$C$11:$C$60,設定!$D$5:$D$7,設定!$E$5:$E$7)))</f>
        <v/>
      </c>
      <c r="E66" s="8">
        <f>SUMPRODUCT(XLOOKUP(設定!$B$11:$B$60,設定!$A$5:$A$7,設定!$B$5:$B$7)*XLOOKUP(設定!$C$11:$C$60,設定!$D$5:$D$7,設定!$E$5:$E$7))</f>
        <v/>
      </c>
      <c r="F66" s="10">
        <f>IF(D66="","",D66/E66*100)</f>
        <v/>
      </c>
      <c r="G66" s="10">
        <f>IF(D66="","",IF(SUMPRODUCT(--(設定!$B$11:$B$60="OS（Linux/Windows）")*XLOOKUP(設定!$B$11:$B$60,設定!$A$5:$A$7,設定!$B$5:$B$7)*XLOOKUP(設定!$C$11:$C$60,設定!$D$5:$D$7,設定!$E$5:$E$7))=0,"",SUMPRODUCT(--(設定!$B$11:$B$60="OS（Linux/Windows）")*--(整形回答!F66:BC66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6" s="10">
        <f>IF(D66="","",IF(SUMPRODUCT(--(設定!$B$11:$B$60="AWS")*XLOOKUP(設定!$B$11:$B$60,設定!$A$5:$A$7,設定!$B$5:$B$7)*XLOOKUP(設定!$C$11:$C$60,設定!$D$5:$D$7,設定!$E$5:$E$7))=0,"",SUMPRODUCT(--(設定!$B$11:$B$60="AWS")*--(整形回答!F66:BC66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6" s="10">
        <f>IF(D66="","",IF(SUMPRODUCT(--(設定!$B$11:$B$60="NW/Security")*XLOOKUP(設定!$B$11:$B$60,設定!$A$5:$A$7,設定!$B$5:$B$7)*XLOOKUP(設定!$C$11:$C$60,設定!$D$5:$D$7,設定!$E$5:$E$7))=0,"",SUMPRODUCT(--(設定!$B$11:$B$60="NW/Security")*--(整形回答!F66:BC66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6" s="8">
        <f>IF(F66="","",IF(F66&gt;=85,"即戦力",IF(F66&gt;=70,"主担当",IF(F66&gt;=55,"サポート","育成"))))</f>
        <v/>
      </c>
      <c r="K66" s="8">
        <f>整形回答!E66</f>
        <v/>
      </c>
    </row>
    <row r="67">
      <c r="A67" s="8">
        <f>整形回答!A67</f>
        <v/>
      </c>
      <c r="B67" s="9">
        <f>整形回答!B67</f>
        <v/>
      </c>
      <c r="C67" s="9">
        <f>整形回答!C67</f>
        <v/>
      </c>
      <c r="D67" s="8">
        <f>IF(B67="","",SUMPRODUCT(--(整形回答!F67:BC67=正解キー!$B$2:$B$51)*XLOOKUP(設定!$B$11:$B$60,設定!$A$5:$A$7,設定!$B$5:$B$7)*XLOOKUP(設定!$C$11:$C$60,設定!$D$5:$D$7,設定!$E$5:$E$7)))</f>
        <v/>
      </c>
      <c r="E67" s="8">
        <f>SUMPRODUCT(XLOOKUP(設定!$B$11:$B$60,設定!$A$5:$A$7,設定!$B$5:$B$7)*XLOOKUP(設定!$C$11:$C$60,設定!$D$5:$D$7,設定!$E$5:$E$7))</f>
        <v/>
      </c>
      <c r="F67" s="10">
        <f>IF(D67="","",D67/E67*100)</f>
        <v/>
      </c>
      <c r="G67" s="10">
        <f>IF(D67="","",IF(SUMPRODUCT(--(設定!$B$11:$B$60="OS（Linux/Windows）")*XLOOKUP(設定!$B$11:$B$60,設定!$A$5:$A$7,設定!$B$5:$B$7)*XLOOKUP(設定!$C$11:$C$60,設定!$D$5:$D$7,設定!$E$5:$E$7))=0,"",SUMPRODUCT(--(設定!$B$11:$B$60="OS（Linux/Windows）")*--(整形回答!F67:BC67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7" s="10">
        <f>IF(D67="","",IF(SUMPRODUCT(--(設定!$B$11:$B$60="AWS")*XLOOKUP(設定!$B$11:$B$60,設定!$A$5:$A$7,設定!$B$5:$B$7)*XLOOKUP(設定!$C$11:$C$60,設定!$D$5:$D$7,設定!$E$5:$E$7))=0,"",SUMPRODUCT(--(設定!$B$11:$B$60="AWS")*--(整形回答!F67:BC67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7" s="10">
        <f>IF(D67="","",IF(SUMPRODUCT(--(設定!$B$11:$B$60="NW/Security")*XLOOKUP(設定!$B$11:$B$60,設定!$A$5:$A$7,設定!$B$5:$B$7)*XLOOKUP(設定!$C$11:$C$60,設定!$D$5:$D$7,設定!$E$5:$E$7))=0,"",SUMPRODUCT(--(設定!$B$11:$B$60="NW/Security")*--(整形回答!F67:BC67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7" s="8">
        <f>IF(F67="","",IF(F67&gt;=85,"即戦力",IF(F67&gt;=70,"主担当",IF(F67&gt;=55,"サポート","育成"))))</f>
        <v/>
      </c>
      <c r="K67" s="8">
        <f>整形回答!E67</f>
        <v/>
      </c>
    </row>
    <row r="68">
      <c r="A68" s="8">
        <f>整形回答!A68</f>
        <v/>
      </c>
      <c r="B68" s="9">
        <f>整形回答!B68</f>
        <v/>
      </c>
      <c r="C68" s="9">
        <f>整形回答!C68</f>
        <v/>
      </c>
      <c r="D68" s="8">
        <f>IF(B68="","",SUMPRODUCT(--(整形回答!F68:BC68=正解キー!$B$2:$B$51)*XLOOKUP(設定!$B$11:$B$60,設定!$A$5:$A$7,設定!$B$5:$B$7)*XLOOKUP(設定!$C$11:$C$60,設定!$D$5:$D$7,設定!$E$5:$E$7)))</f>
        <v/>
      </c>
      <c r="E68" s="8">
        <f>SUMPRODUCT(XLOOKUP(設定!$B$11:$B$60,設定!$A$5:$A$7,設定!$B$5:$B$7)*XLOOKUP(設定!$C$11:$C$60,設定!$D$5:$D$7,設定!$E$5:$E$7))</f>
        <v/>
      </c>
      <c r="F68" s="10">
        <f>IF(D68="","",D68/E68*100)</f>
        <v/>
      </c>
      <c r="G68" s="10">
        <f>IF(D68="","",IF(SUMPRODUCT(--(設定!$B$11:$B$60="OS（Linux/Windows）")*XLOOKUP(設定!$B$11:$B$60,設定!$A$5:$A$7,設定!$B$5:$B$7)*XLOOKUP(設定!$C$11:$C$60,設定!$D$5:$D$7,設定!$E$5:$E$7))=0,"",SUMPRODUCT(--(設定!$B$11:$B$60="OS（Linux/Windows）")*--(整形回答!F68:BC68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8" s="10">
        <f>IF(D68="","",IF(SUMPRODUCT(--(設定!$B$11:$B$60="AWS")*XLOOKUP(設定!$B$11:$B$60,設定!$A$5:$A$7,設定!$B$5:$B$7)*XLOOKUP(設定!$C$11:$C$60,設定!$D$5:$D$7,設定!$E$5:$E$7))=0,"",SUMPRODUCT(--(設定!$B$11:$B$60="AWS")*--(整形回答!F68:BC68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8" s="10">
        <f>IF(D68="","",IF(SUMPRODUCT(--(設定!$B$11:$B$60="NW/Security")*XLOOKUP(設定!$B$11:$B$60,設定!$A$5:$A$7,設定!$B$5:$B$7)*XLOOKUP(設定!$C$11:$C$60,設定!$D$5:$D$7,設定!$E$5:$E$7))=0,"",SUMPRODUCT(--(設定!$B$11:$B$60="NW/Security")*--(整形回答!F68:BC68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8" s="8">
        <f>IF(F68="","",IF(F68&gt;=85,"即戦力",IF(F68&gt;=70,"主担当",IF(F68&gt;=55,"サポート","育成"))))</f>
        <v/>
      </c>
      <c r="K68" s="8">
        <f>整形回答!E68</f>
        <v/>
      </c>
    </row>
    <row r="69">
      <c r="A69" s="8">
        <f>整形回答!A69</f>
        <v/>
      </c>
      <c r="B69" s="9">
        <f>整形回答!B69</f>
        <v/>
      </c>
      <c r="C69" s="9">
        <f>整形回答!C69</f>
        <v/>
      </c>
      <c r="D69" s="8">
        <f>IF(B69="","",SUMPRODUCT(--(整形回答!F69:BC69=正解キー!$B$2:$B$51)*XLOOKUP(設定!$B$11:$B$60,設定!$A$5:$A$7,設定!$B$5:$B$7)*XLOOKUP(設定!$C$11:$C$60,設定!$D$5:$D$7,設定!$E$5:$E$7)))</f>
        <v/>
      </c>
      <c r="E69" s="8">
        <f>SUMPRODUCT(XLOOKUP(設定!$B$11:$B$60,設定!$A$5:$A$7,設定!$B$5:$B$7)*XLOOKUP(設定!$C$11:$C$60,設定!$D$5:$D$7,設定!$E$5:$E$7))</f>
        <v/>
      </c>
      <c r="F69" s="10">
        <f>IF(D69="","",D69/E69*100)</f>
        <v/>
      </c>
      <c r="G69" s="10">
        <f>IF(D69="","",IF(SUMPRODUCT(--(設定!$B$11:$B$60="OS（Linux/Windows）")*XLOOKUP(設定!$B$11:$B$60,設定!$A$5:$A$7,設定!$B$5:$B$7)*XLOOKUP(設定!$C$11:$C$60,設定!$D$5:$D$7,設定!$E$5:$E$7))=0,"",SUMPRODUCT(--(設定!$B$11:$B$60="OS（Linux/Windows）")*--(整形回答!F69:BC69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69" s="10">
        <f>IF(D69="","",IF(SUMPRODUCT(--(設定!$B$11:$B$60="AWS")*XLOOKUP(設定!$B$11:$B$60,設定!$A$5:$A$7,設定!$B$5:$B$7)*XLOOKUP(設定!$C$11:$C$60,設定!$D$5:$D$7,設定!$E$5:$E$7))=0,"",SUMPRODUCT(--(設定!$B$11:$B$60="AWS")*--(整形回答!F69:BC69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69" s="10">
        <f>IF(D69="","",IF(SUMPRODUCT(--(設定!$B$11:$B$60="NW/Security")*XLOOKUP(設定!$B$11:$B$60,設定!$A$5:$A$7,設定!$B$5:$B$7)*XLOOKUP(設定!$C$11:$C$60,設定!$D$5:$D$7,設定!$E$5:$E$7))=0,"",SUMPRODUCT(--(設定!$B$11:$B$60="NW/Security")*--(整形回答!F69:BC69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69" s="8">
        <f>IF(F69="","",IF(F69&gt;=85,"即戦力",IF(F69&gt;=70,"主担当",IF(F69&gt;=55,"サポート","育成"))))</f>
        <v/>
      </c>
      <c r="K69" s="8">
        <f>整形回答!E69</f>
        <v/>
      </c>
    </row>
    <row r="70">
      <c r="A70" s="8">
        <f>整形回答!A70</f>
        <v/>
      </c>
      <c r="B70" s="9">
        <f>整形回答!B70</f>
        <v/>
      </c>
      <c r="C70" s="9">
        <f>整形回答!C70</f>
        <v/>
      </c>
      <c r="D70" s="8">
        <f>IF(B70="","",SUMPRODUCT(--(整形回答!F70:BC70=正解キー!$B$2:$B$51)*XLOOKUP(設定!$B$11:$B$60,設定!$A$5:$A$7,設定!$B$5:$B$7)*XLOOKUP(設定!$C$11:$C$60,設定!$D$5:$D$7,設定!$E$5:$E$7)))</f>
        <v/>
      </c>
      <c r="E70" s="8">
        <f>SUMPRODUCT(XLOOKUP(設定!$B$11:$B$60,設定!$A$5:$A$7,設定!$B$5:$B$7)*XLOOKUP(設定!$C$11:$C$60,設定!$D$5:$D$7,設定!$E$5:$E$7))</f>
        <v/>
      </c>
      <c r="F70" s="10">
        <f>IF(D70="","",D70/E70*100)</f>
        <v/>
      </c>
      <c r="G70" s="10">
        <f>IF(D70="","",IF(SUMPRODUCT(--(設定!$B$11:$B$60="OS（Linux/Windows）")*XLOOKUP(設定!$B$11:$B$60,設定!$A$5:$A$7,設定!$B$5:$B$7)*XLOOKUP(設定!$C$11:$C$60,設定!$D$5:$D$7,設定!$E$5:$E$7))=0,"",SUMPRODUCT(--(設定!$B$11:$B$60="OS（Linux/Windows）")*--(整形回答!F70:BC70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0" s="10">
        <f>IF(D70="","",IF(SUMPRODUCT(--(設定!$B$11:$B$60="AWS")*XLOOKUP(設定!$B$11:$B$60,設定!$A$5:$A$7,設定!$B$5:$B$7)*XLOOKUP(設定!$C$11:$C$60,設定!$D$5:$D$7,設定!$E$5:$E$7))=0,"",SUMPRODUCT(--(設定!$B$11:$B$60="AWS")*--(整形回答!F70:BC70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0" s="10">
        <f>IF(D70="","",IF(SUMPRODUCT(--(設定!$B$11:$B$60="NW/Security")*XLOOKUP(設定!$B$11:$B$60,設定!$A$5:$A$7,設定!$B$5:$B$7)*XLOOKUP(設定!$C$11:$C$60,設定!$D$5:$D$7,設定!$E$5:$E$7))=0,"",SUMPRODUCT(--(設定!$B$11:$B$60="NW/Security")*--(整形回答!F70:BC70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0" s="8">
        <f>IF(F70="","",IF(F70&gt;=85,"即戦力",IF(F70&gt;=70,"主担当",IF(F70&gt;=55,"サポート","育成"))))</f>
        <v/>
      </c>
      <c r="K70" s="8">
        <f>整形回答!E70</f>
        <v/>
      </c>
    </row>
    <row r="71">
      <c r="A71" s="8">
        <f>整形回答!A71</f>
        <v/>
      </c>
      <c r="B71" s="9">
        <f>整形回答!B71</f>
        <v/>
      </c>
      <c r="C71" s="9">
        <f>整形回答!C71</f>
        <v/>
      </c>
      <c r="D71" s="8">
        <f>IF(B71="","",SUMPRODUCT(--(整形回答!F71:BC71=正解キー!$B$2:$B$51)*XLOOKUP(設定!$B$11:$B$60,設定!$A$5:$A$7,設定!$B$5:$B$7)*XLOOKUP(設定!$C$11:$C$60,設定!$D$5:$D$7,設定!$E$5:$E$7)))</f>
        <v/>
      </c>
      <c r="E71" s="8">
        <f>SUMPRODUCT(XLOOKUP(設定!$B$11:$B$60,設定!$A$5:$A$7,設定!$B$5:$B$7)*XLOOKUP(設定!$C$11:$C$60,設定!$D$5:$D$7,設定!$E$5:$E$7))</f>
        <v/>
      </c>
      <c r="F71" s="10">
        <f>IF(D71="","",D71/E71*100)</f>
        <v/>
      </c>
      <c r="G71" s="10">
        <f>IF(D71="","",IF(SUMPRODUCT(--(設定!$B$11:$B$60="OS（Linux/Windows）")*XLOOKUP(設定!$B$11:$B$60,設定!$A$5:$A$7,設定!$B$5:$B$7)*XLOOKUP(設定!$C$11:$C$60,設定!$D$5:$D$7,設定!$E$5:$E$7))=0,"",SUMPRODUCT(--(設定!$B$11:$B$60="OS（Linux/Windows）")*--(整形回答!F71:BC71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1" s="10">
        <f>IF(D71="","",IF(SUMPRODUCT(--(設定!$B$11:$B$60="AWS")*XLOOKUP(設定!$B$11:$B$60,設定!$A$5:$A$7,設定!$B$5:$B$7)*XLOOKUP(設定!$C$11:$C$60,設定!$D$5:$D$7,設定!$E$5:$E$7))=0,"",SUMPRODUCT(--(設定!$B$11:$B$60="AWS")*--(整形回答!F71:BC71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1" s="10">
        <f>IF(D71="","",IF(SUMPRODUCT(--(設定!$B$11:$B$60="NW/Security")*XLOOKUP(設定!$B$11:$B$60,設定!$A$5:$A$7,設定!$B$5:$B$7)*XLOOKUP(設定!$C$11:$C$60,設定!$D$5:$D$7,設定!$E$5:$E$7))=0,"",SUMPRODUCT(--(設定!$B$11:$B$60="NW/Security")*--(整形回答!F71:BC71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1" s="8">
        <f>IF(F71="","",IF(F71&gt;=85,"即戦力",IF(F71&gt;=70,"主担当",IF(F71&gt;=55,"サポート","育成"))))</f>
        <v/>
      </c>
      <c r="K71" s="8">
        <f>整形回答!E71</f>
        <v/>
      </c>
    </row>
    <row r="72">
      <c r="A72" s="8">
        <f>整形回答!A72</f>
        <v/>
      </c>
      <c r="B72" s="9">
        <f>整形回答!B72</f>
        <v/>
      </c>
      <c r="C72" s="9">
        <f>整形回答!C72</f>
        <v/>
      </c>
      <c r="D72" s="8">
        <f>IF(B72="","",SUMPRODUCT(--(整形回答!F72:BC72=正解キー!$B$2:$B$51)*XLOOKUP(設定!$B$11:$B$60,設定!$A$5:$A$7,設定!$B$5:$B$7)*XLOOKUP(設定!$C$11:$C$60,設定!$D$5:$D$7,設定!$E$5:$E$7)))</f>
        <v/>
      </c>
      <c r="E72" s="8">
        <f>SUMPRODUCT(XLOOKUP(設定!$B$11:$B$60,設定!$A$5:$A$7,設定!$B$5:$B$7)*XLOOKUP(設定!$C$11:$C$60,設定!$D$5:$D$7,設定!$E$5:$E$7))</f>
        <v/>
      </c>
      <c r="F72" s="10">
        <f>IF(D72="","",D72/E72*100)</f>
        <v/>
      </c>
      <c r="G72" s="10">
        <f>IF(D72="","",IF(SUMPRODUCT(--(設定!$B$11:$B$60="OS（Linux/Windows）")*XLOOKUP(設定!$B$11:$B$60,設定!$A$5:$A$7,設定!$B$5:$B$7)*XLOOKUP(設定!$C$11:$C$60,設定!$D$5:$D$7,設定!$E$5:$E$7))=0,"",SUMPRODUCT(--(設定!$B$11:$B$60="OS（Linux/Windows）")*--(整形回答!F72:BC72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2" s="10">
        <f>IF(D72="","",IF(SUMPRODUCT(--(設定!$B$11:$B$60="AWS")*XLOOKUP(設定!$B$11:$B$60,設定!$A$5:$A$7,設定!$B$5:$B$7)*XLOOKUP(設定!$C$11:$C$60,設定!$D$5:$D$7,設定!$E$5:$E$7))=0,"",SUMPRODUCT(--(設定!$B$11:$B$60="AWS")*--(整形回答!F72:BC72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2" s="10">
        <f>IF(D72="","",IF(SUMPRODUCT(--(設定!$B$11:$B$60="NW/Security")*XLOOKUP(設定!$B$11:$B$60,設定!$A$5:$A$7,設定!$B$5:$B$7)*XLOOKUP(設定!$C$11:$C$60,設定!$D$5:$D$7,設定!$E$5:$E$7))=0,"",SUMPRODUCT(--(設定!$B$11:$B$60="NW/Security")*--(整形回答!F72:BC72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2" s="8">
        <f>IF(F72="","",IF(F72&gt;=85,"即戦力",IF(F72&gt;=70,"主担当",IF(F72&gt;=55,"サポート","育成"))))</f>
        <v/>
      </c>
      <c r="K72" s="8">
        <f>整形回答!E72</f>
        <v/>
      </c>
    </row>
    <row r="73">
      <c r="A73" s="8">
        <f>整形回答!A73</f>
        <v/>
      </c>
      <c r="B73" s="9">
        <f>整形回答!B73</f>
        <v/>
      </c>
      <c r="C73" s="9">
        <f>整形回答!C73</f>
        <v/>
      </c>
      <c r="D73" s="8">
        <f>IF(B73="","",SUMPRODUCT(--(整形回答!F73:BC73=正解キー!$B$2:$B$51)*XLOOKUP(設定!$B$11:$B$60,設定!$A$5:$A$7,設定!$B$5:$B$7)*XLOOKUP(設定!$C$11:$C$60,設定!$D$5:$D$7,設定!$E$5:$E$7)))</f>
        <v/>
      </c>
      <c r="E73" s="8">
        <f>SUMPRODUCT(XLOOKUP(設定!$B$11:$B$60,設定!$A$5:$A$7,設定!$B$5:$B$7)*XLOOKUP(設定!$C$11:$C$60,設定!$D$5:$D$7,設定!$E$5:$E$7))</f>
        <v/>
      </c>
      <c r="F73" s="10">
        <f>IF(D73="","",D73/E73*100)</f>
        <v/>
      </c>
      <c r="G73" s="10">
        <f>IF(D73="","",IF(SUMPRODUCT(--(設定!$B$11:$B$60="OS（Linux/Windows）")*XLOOKUP(設定!$B$11:$B$60,設定!$A$5:$A$7,設定!$B$5:$B$7)*XLOOKUP(設定!$C$11:$C$60,設定!$D$5:$D$7,設定!$E$5:$E$7))=0,"",SUMPRODUCT(--(設定!$B$11:$B$60="OS（Linux/Windows）")*--(整形回答!F73:BC73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3" s="10">
        <f>IF(D73="","",IF(SUMPRODUCT(--(設定!$B$11:$B$60="AWS")*XLOOKUP(設定!$B$11:$B$60,設定!$A$5:$A$7,設定!$B$5:$B$7)*XLOOKUP(設定!$C$11:$C$60,設定!$D$5:$D$7,設定!$E$5:$E$7))=0,"",SUMPRODUCT(--(設定!$B$11:$B$60="AWS")*--(整形回答!F73:BC73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3" s="10">
        <f>IF(D73="","",IF(SUMPRODUCT(--(設定!$B$11:$B$60="NW/Security")*XLOOKUP(設定!$B$11:$B$60,設定!$A$5:$A$7,設定!$B$5:$B$7)*XLOOKUP(設定!$C$11:$C$60,設定!$D$5:$D$7,設定!$E$5:$E$7))=0,"",SUMPRODUCT(--(設定!$B$11:$B$60="NW/Security")*--(整形回答!F73:BC73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3" s="8">
        <f>IF(F73="","",IF(F73&gt;=85,"即戦力",IF(F73&gt;=70,"主担当",IF(F73&gt;=55,"サポート","育成"))))</f>
        <v/>
      </c>
      <c r="K73" s="8">
        <f>整形回答!E73</f>
        <v/>
      </c>
    </row>
    <row r="74">
      <c r="A74" s="8">
        <f>整形回答!A74</f>
        <v/>
      </c>
      <c r="B74" s="9">
        <f>整形回答!B74</f>
        <v/>
      </c>
      <c r="C74" s="9">
        <f>整形回答!C74</f>
        <v/>
      </c>
      <c r="D74" s="8">
        <f>IF(B74="","",SUMPRODUCT(--(整形回答!F74:BC74=正解キー!$B$2:$B$51)*XLOOKUP(設定!$B$11:$B$60,設定!$A$5:$A$7,設定!$B$5:$B$7)*XLOOKUP(設定!$C$11:$C$60,設定!$D$5:$D$7,設定!$E$5:$E$7)))</f>
        <v/>
      </c>
      <c r="E74" s="8">
        <f>SUMPRODUCT(XLOOKUP(設定!$B$11:$B$60,設定!$A$5:$A$7,設定!$B$5:$B$7)*XLOOKUP(設定!$C$11:$C$60,設定!$D$5:$D$7,設定!$E$5:$E$7))</f>
        <v/>
      </c>
      <c r="F74" s="10">
        <f>IF(D74="","",D74/E74*100)</f>
        <v/>
      </c>
      <c r="G74" s="10">
        <f>IF(D74="","",IF(SUMPRODUCT(--(設定!$B$11:$B$60="OS（Linux/Windows）")*XLOOKUP(設定!$B$11:$B$60,設定!$A$5:$A$7,設定!$B$5:$B$7)*XLOOKUP(設定!$C$11:$C$60,設定!$D$5:$D$7,設定!$E$5:$E$7))=0,"",SUMPRODUCT(--(設定!$B$11:$B$60="OS（Linux/Windows）")*--(整形回答!F74:BC74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4" s="10">
        <f>IF(D74="","",IF(SUMPRODUCT(--(設定!$B$11:$B$60="AWS")*XLOOKUP(設定!$B$11:$B$60,設定!$A$5:$A$7,設定!$B$5:$B$7)*XLOOKUP(設定!$C$11:$C$60,設定!$D$5:$D$7,設定!$E$5:$E$7))=0,"",SUMPRODUCT(--(設定!$B$11:$B$60="AWS")*--(整形回答!F74:BC74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4" s="10">
        <f>IF(D74="","",IF(SUMPRODUCT(--(設定!$B$11:$B$60="NW/Security")*XLOOKUP(設定!$B$11:$B$60,設定!$A$5:$A$7,設定!$B$5:$B$7)*XLOOKUP(設定!$C$11:$C$60,設定!$D$5:$D$7,設定!$E$5:$E$7))=0,"",SUMPRODUCT(--(設定!$B$11:$B$60="NW/Security")*--(整形回答!F74:BC74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4" s="8">
        <f>IF(F74="","",IF(F74&gt;=85,"即戦力",IF(F74&gt;=70,"主担当",IF(F74&gt;=55,"サポート","育成"))))</f>
        <v/>
      </c>
      <c r="K74" s="8">
        <f>整形回答!E74</f>
        <v/>
      </c>
    </row>
    <row r="75">
      <c r="A75" s="8">
        <f>整形回答!A75</f>
        <v/>
      </c>
      <c r="B75" s="9">
        <f>整形回答!B75</f>
        <v/>
      </c>
      <c r="C75" s="9">
        <f>整形回答!C75</f>
        <v/>
      </c>
      <c r="D75" s="8">
        <f>IF(B75="","",SUMPRODUCT(--(整形回答!F75:BC75=正解キー!$B$2:$B$51)*XLOOKUP(設定!$B$11:$B$60,設定!$A$5:$A$7,設定!$B$5:$B$7)*XLOOKUP(設定!$C$11:$C$60,設定!$D$5:$D$7,設定!$E$5:$E$7)))</f>
        <v/>
      </c>
      <c r="E75" s="8">
        <f>SUMPRODUCT(XLOOKUP(設定!$B$11:$B$60,設定!$A$5:$A$7,設定!$B$5:$B$7)*XLOOKUP(設定!$C$11:$C$60,設定!$D$5:$D$7,設定!$E$5:$E$7))</f>
        <v/>
      </c>
      <c r="F75" s="10">
        <f>IF(D75="","",D75/E75*100)</f>
        <v/>
      </c>
      <c r="G75" s="10">
        <f>IF(D75="","",IF(SUMPRODUCT(--(設定!$B$11:$B$60="OS（Linux/Windows）")*XLOOKUP(設定!$B$11:$B$60,設定!$A$5:$A$7,設定!$B$5:$B$7)*XLOOKUP(設定!$C$11:$C$60,設定!$D$5:$D$7,設定!$E$5:$E$7))=0,"",SUMPRODUCT(--(設定!$B$11:$B$60="OS（Linux/Windows）")*--(整形回答!F75:BC75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5" s="10">
        <f>IF(D75="","",IF(SUMPRODUCT(--(設定!$B$11:$B$60="AWS")*XLOOKUP(設定!$B$11:$B$60,設定!$A$5:$A$7,設定!$B$5:$B$7)*XLOOKUP(設定!$C$11:$C$60,設定!$D$5:$D$7,設定!$E$5:$E$7))=0,"",SUMPRODUCT(--(設定!$B$11:$B$60="AWS")*--(整形回答!F75:BC75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5" s="10">
        <f>IF(D75="","",IF(SUMPRODUCT(--(設定!$B$11:$B$60="NW/Security")*XLOOKUP(設定!$B$11:$B$60,設定!$A$5:$A$7,設定!$B$5:$B$7)*XLOOKUP(設定!$C$11:$C$60,設定!$D$5:$D$7,設定!$E$5:$E$7))=0,"",SUMPRODUCT(--(設定!$B$11:$B$60="NW/Security")*--(整形回答!F75:BC75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5" s="8">
        <f>IF(F75="","",IF(F75&gt;=85,"即戦力",IF(F75&gt;=70,"主担当",IF(F75&gt;=55,"サポート","育成"))))</f>
        <v/>
      </c>
      <c r="K75" s="8">
        <f>整形回答!E75</f>
        <v/>
      </c>
    </row>
    <row r="76">
      <c r="A76" s="8">
        <f>整形回答!A76</f>
        <v/>
      </c>
      <c r="B76" s="9">
        <f>整形回答!B76</f>
        <v/>
      </c>
      <c r="C76" s="9">
        <f>整形回答!C76</f>
        <v/>
      </c>
      <c r="D76" s="8">
        <f>IF(B76="","",SUMPRODUCT(--(整形回答!F76:BC76=正解キー!$B$2:$B$51)*XLOOKUP(設定!$B$11:$B$60,設定!$A$5:$A$7,設定!$B$5:$B$7)*XLOOKUP(設定!$C$11:$C$60,設定!$D$5:$D$7,設定!$E$5:$E$7)))</f>
        <v/>
      </c>
      <c r="E76" s="8">
        <f>SUMPRODUCT(XLOOKUP(設定!$B$11:$B$60,設定!$A$5:$A$7,設定!$B$5:$B$7)*XLOOKUP(設定!$C$11:$C$60,設定!$D$5:$D$7,設定!$E$5:$E$7))</f>
        <v/>
      </c>
      <c r="F76" s="10">
        <f>IF(D76="","",D76/E76*100)</f>
        <v/>
      </c>
      <c r="G76" s="10">
        <f>IF(D76="","",IF(SUMPRODUCT(--(設定!$B$11:$B$60="OS（Linux/Windows）")*XLOOKUP(設定!$B$11:$B$60,設定!$A$5:$A$7,設定!$B$5:$B$7)*XLOOKUP(設定!$C$11:$C$60,設定!$D$5:$D$7,設定!$E$5:$E$7))=0,"",SUMPRODUCT(--(設定!$B$11:$B$60="OS（Linux/Windows）")*--(整形回答!F76:BC76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6" s="10">
        <f>IF(D76="","",IF(SUMPRODUCT(--(設定!$B$11:$B$60="AWS")*XLOOKUP(設定!$B$11:$B$60,設定!$A$5:$A$7,設定!$B$5:$B$7)*XLOOKUP(設定!$C$11:$C$60,設定!$D$5:$D$7,設定!$E$5:$E$7))=0,"",SUMPRODUCT(--(設定!$B$11:$B$60="AWS")*--(整形回答!F76:BC76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6" s="10">
        <f>IF(D76="","",IF(SUMPRODUCT(--(設定!$B$11:$B$60="NW/Security")*XLOOKUP(設定!$B$11:$B$60,設定!$A$5:$A$7,設定!$B$5:$B$7)*XLOOKUP(設定!$C$11:$C$60,設定!$D$5:$D$7,設定!$E$5:$E$7))=0,"",SUMPRODUCT(--(設定!$B$11:$B$60="NW/Security")*--(整形回答!F76:BC76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6" s="8">
        <f>IF(F76="","",IF(F76&gt;=85,"即戦力",IF(F76&gt;=70,"主担当",IF(F76&gt;=55,"サポート","育成"))))</f>
        <v/>
      </c>
      <c r="K76" s="8">
        <f>整形回答!E76</f>
        <v/>
      </c>
    </row>
    <row r="77">
      <c r="A77" s="8">
        <f>整形回答!A77</f>
        <v/>
      </c>
      <c r="B77" s="9">
        <f>整形回答!B77</f>
        <v/>
      </c>
      <c r="C77" s="9">
        <f>整形回答!C77</f>
        <v/>
      </c>
      <c r="D77" s="8">
        <f>IF(B77="","",SUMPRODUCT(--(整形回答!F77:BC77=正解キー!$B$2:$B$51)*XLOOKUP(設定!$B$11:$B$60,設定!$A$5:$A$7,設定!$B$5:$B$7)*XLOOKUP(設定!$C$11:$C$60,設定!$D$5:$D$7,設定!$E$5:$E$7)))</f>
        <v/>
      </c>
      <c r="E77" s="8">
        <f>SUMPRODUCT(XLOOKUP(設定!$B$11:$B$60,設定!$A$5:$A$7,設定!$B$5:$B$7)*XLOOKUP(設定!$C$11:$C$60,設定!$D$5:$D$7,設定!$E$5:$E$7))</f>
        <v/>
      </c>
      <c r="F77" s="10">
        <f>IF(D77="","",D77/E77*100)</f>
        <v/>
      </c>
      <c r="G77" s="10">
        <f>IF(D77="","",IF(SUMPRODUCT(--(設定!$B$11:$B$60="OS（Linux/Windows）")*XLOOKUP(設定!$B$11:$B$60,設定!$A$5:$A$7,設定!$B$5:$B$7)*XLOOKUP(設定!$C$11:$C$60,設定!$D$5:$D$7,設定!$E$5:$E$7))=0,"",SUMPRODUCT(--(設定!$B$11:$B$60="OS（Linux/Windows）")*--(整形回答!F77:BC77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7" s="10">
        <f>IF(D77="","",IF(SUMPRODUCT(--(設定!$B$11:$B$60="AWS")*XLOOKUP(設定!$B$11:$B$60,設定!$A$5:$A$7,設定!$B$5:$B$7)*XLOOKUP(設定!$C$11:$C$60,設定!$D$5:$D$7,設定!$E$5:$E$7))=0,"",SUMPRODUCT(--(設定!$B$11:$B$60="AWS")*--(整形回答!F77:BC77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7" s="10">
        <f>IF(D77="","",IF(SUMPRODUCT(--(設定!$B$11:$B$60="NW/Security")*XLOOKUP(設定!$B$11:$B$60,設定!$A$5:$A$7,設定!$B$5:$B$7)*XLOOKUP(設定!$C$11:$C$60,設定!$D$5:$D$7,設定!$E$5:$E$7))=0,"",SUMPRODUCT(--(設定!$B$11:$B$60="NW/Security")*--(整形回答!F77:BC77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7" s="8">
        <f>IF(F77="","",IF(F77&gt;=85,"即戦力",IF(F77&gt;=70,"主担当",IF(F77&gt;=55,"サポート","育成"))))</f>
        <v/>
      </c>
      <c r="K77" s="8">
        <f>整形回答!E77</f>
        <v/>
      </c>
    </row>
    <row r="78">
      <c r="A78" s="8">
        <f>整形回答!A78</f>
        <v/>
      </c>
      <c r="B78" s="9">
        <f>整形回答!B78</f>
        <v/>
      </c>
      <c r="C78" s="9">
        <f>整形回答!C78</f>
        <v/>
      </c>
      <c r="D78" s="8">
        <f>IF(B78="","",SUMPRODUCT(--(整形回答!F78:BC78=正解キー!$B$2:$B$51)*XLOOKUP(設定!$B$11:$B$60,設定!$A$5:$A$7,設定!$B$5:$B$7)*XLOOKUP(設定!$C$11:$C$60,設定!$D$5:$D$7,設定!$E$5:$E$7)))</f>
        <v/>
      </c>
      <c r="E78" s="8">
        <f>SUMPRODUCT(XLOOKUP(設定!$B$11:$B$60,設定!$A$5:$A$7,設定!$B$5:$B$7)*XLOOKUP(設定!$C$11:$C$60,設定!$D$5:$D$7,設定!$E$5:$E$7))</f>
        <v/>
      </c>
      <c r="F78" s="10">
        <f>IF(D78="","",D78/E78*100)</f>
        <v/>
      </c>
      <c r="G78" s="10">
        <f>IF(D78="","",IF(SUMPRODUCT(--(設定!$B$11:$B$60="OS（Linux/Windows）")*XLOOKUP(設定!$B$11:$B$60,設定!$A$5:$A$7,設定!$B$5:$B$7)*XLOOKUP(設定!$C$11:$C$60,設定!$D$5:$D$7,設定!$E$5:$E$7))=0,"",SUMPRODUCT(--(設定!$B$11:$B$60="OS（Linux/Windows）")*--(整形回答!F78:BC78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8" s="10">
        <f>IF(D78="","",IF(SUMPRODUCT(--(設定!$B$11:$B$60="AWS")*XLOOKUP(設定!$B$11:$B$60,設定!$A$5:$A$7,設定!$B$5:$B$7)*XLOOKUP(設定!$C$11:$C$60,設定!$D$5:$D$7,設定!$E$5:$E$7))=0,"",SUMPRODUCT(--(設定!$B$11:$B$60="AWS")*--(整形回答!F78:BC78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8" s="10">
        <f>IF(D78="","",IF(SUMPRODUCT(--(設定!$B$11:$B$60="NW/Security")*XLOOKUP(設定!$B$11:$B$60,設定!$A$5:$A$7,設定!$B$5:$B$7)*XLOOKUP(設定!$C$11:$C$60,設定!$D$5:$D$7,設定!$E$5:$E$7))=0,"",SUMPRODUCT(--(設定!$B$11:$B$60="NW/Security")*--(整形回答!F78:BC78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8" s="8">
        <f>IF(F78="","",IF(F78&gt;=85,"即戦力",IF(F78&gt;=70,"主担当",IF(F78&gt;=55,"サポート","育成"))))</f>
        <v/>
      </c>
      <c r="K78" s="8">
        <f>整形回答!E78</f>
        <v/>
      </c>
    </row>
    <row r="79">
      <c r="A79" s="8">
        <f>整形回答!A79</f>
        <v/>
      </c>
      <c r="B79" s="9">
        <f>整形回答!B79</f>
        <v/>
      </c>
      <c r="C79" s="9">
        <f>整形回答!C79</f>
        <v/>
      </c>
      <c r="D79" s="8">
        <f>IF(B79="","",SUMPRODUCT(--(整形回答!F79:BC79=正解キー!$B$2:$B$51)*XLOOKUP(設定!$B$11:$B$60,設定!$A$5:$A$7,設定!$B$5:$B$7)*XLOOKUP(設定!$C$11:$C$60,設定!$D$5:$D$7,設定!$E$5:$E$7)))</f>
        <v/>
      </c>
      <c r="E79" s="8">
        <f>SUMPRODUCT(XLOOKUP(設定!$B$11:$B$60,設定!$A$5:$A$7,設定!$B$5:$B$7)*XLOOKUP(設定!$C$11:$C$60,設定!$D$5:$D$7,設定!$E$5:$E$7))</f>
        <v/>
      </c>
      <c r="F79" s="10">
        <f>IF(D79="","",D79/E79*100)</f>
        <v/>
      </c>
      <c r="G79" s="10">
        <f>IF(D79="","",IF(SUMPRODUCT(--(設定!$B$11:$B$60="OS（Linux/Windows）")*XLOOKUP(設定!$B$11:$B$60,設定!$A$5:$A$7,設定!$B$5:$B$7)*XLOOKUP(設定!$C$11:$C$60,設定!$D$5:$D$7,設定!$E$5:$E$7))=0,"",SUMPRODUCT(--(設定!$B$11:$B$60="OS（Linux/Windows）")*--(整形回答!F79:BC79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79" s="10">
        <f>IF(D79="","",IF(SUMPRODUCT(--(設定!$B$11:$B$60="AWS")*XLOOKUP(設定!$B$11:$B$60,設定!$A$5:$A$7,設定!$B$5:$B$7)*XLOOKUP(設定!$C$11:$C$60,設定!$D$5:$D$7,設定!$E$5:$E$7))=0,"",SUMPRODUCT(--(設定!$B$11:$B$60="AWS")*--(整形回答!F79:BC79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79" s="10">
        <f>IF(D79="","",IF(SUMPRODUCT(--(設定!$B$11:$B$60="NW/Security")*XLOOKUP(設定!$B$11:$B$60,設定!$A$5:$A$7,設定!$B$5:$B$7)*XLOOKUP(設定!$C$11:$C$60,設定!$D$5:$D$7,設定!$E$5:$E$7))=0,"",SUMPRODUCT(--(設定!$B$11:$B$60="NW/Security")*--(整形回答!F79:BC79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79" s="8">
        <f>IF(F79="","",IF(F79&gt;=85,"即戦力",IF(F79&gt;=70,"主担当",IF(F79&gt;=55,"サポート","育成"))))</f>
        <v/>
      </c>
      <c r="K79" s="8">
        <f>整形回答!E79</f>
        <v/>
      </c>
    </row>
    <row r="80">
      <c r="A80" s="8">
        <f>整形回答!A80</f>
        <v/>
      </c>
      <c r="B80" s="9">
        <f>整形回答!B80</f>
        <v/>
      </c>
      <c r="C80" s="9">
        <f>整形回答!C80</f>
        <v/>
      </c>
      <c r="D80" s="8">
        <f>IF(B80="","",SUMPRODUCT(--(整形回答!F80:BC80=正解キー!$B$2:$B$51)*XLOOKUP(設定!$B$11:$B$60,設定!$A$5:$A$7,設定!$B$5:$B$7)*XLOOKUP(設定!$C$11:$C$60,設定!$D$5:$D$7,設定!$E$5:$E$7)))</f>
        <v/>
      </c>
      <c r="E80" s="8">
        <f>SUMPRODUCT(XLOOKUP(設定!$B$11:$B$60,設定!$A$5:$A$7,設定!$B$5:$B$7)*XLOOKUP(設定!$C$11:$C$60,設定!$D$5:$D$7,設定!$E$5:$E$7))</f>
        <v/>
      </c>
      <c r="F80" s="10">
        <f>IF(D80="","",D80/E80*100)</f>
        <v/>
      </c>
      <c r="G80" s="10">
        <f>IF(D80="","",IF(SUMPRODUCT(--(設定!$B$11:$B$60="OS（Linux/Windows）")*XLOOKUP(設定!$B$11:$B$60,設定!$A$5:$A$7,設定!$B$5:$B$7)*XLOOKUP(設定!$C$11:$C$60,設定!$D$5:$D$7,設定!$E$5:$E$7))=0,"",SUMPRODUCT(--(設定!$B$11:$B$60="OS（Linux/Windows）")*--(整形回答!F80:BC80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0" s="10">
        <f>IF(D80="","",IF(SUMPRODUCT(--(設定!$B$11:$B$60="AWS")*XLOOKUP(設定!$B$11:$B$60,設定!$A$5:$A$7,設定!$B$5:$B$7)*XLOOKUP(設定!$C$11:$C$60,設定!$D$5:$D$7,設定!$E$5:$E$7))=0,"",SUMPRODUCT(--(設定!$B$11:$B$60="AWS")*--(整形回答!F80:BC80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0" s="10">
        <f>IF(D80="","",IF(SUMPRODUCT(--(設定!$B$11:$B$60="NW/Security")*XLOOKUP(設定!$B$11:$B$60,設定!$A$5:$A$7,設定!$B$5:$B$7)*XLOOKUP(設定!$C$11:$C$60,設定!$D$5:$D$7,設定!$E$5:$E$7))=0,"",SUMPRODUCT(--(設定!$B$11:$B$60="NW/Security")*--(整形回答!F80:BC80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0" s="8">
        <f>IF(F80="","",IF(F80&gt;=85,"即戦力",IF(F80&gt;=70,"主担当",IF(F80&gt;=55,"サポート","育成"))))</f>
        <v/>
      </c>
      <c r="K80" s="8">
        <f>整形回答!E80</f>
        <v/>
      </c>
    </row>
    <row r="81">
      <c r="A81" s="8">
        <f>整形回答!A81</f>
        <v/>
      </c>
      <c r="B81" s="9">
        <f>整形回答!B81</f>
        <v/>
      </c>
      <c r="C81" s="9">
        <f>整形回答!C81</f>
        <v/>
      </c>
      <c r="D81" s="8">
        <f>IF(B81="","",SUMPRODUCT(--(整形回答!F81:BC81=正解キー!$B$2:$B$51)*XLOOKUP(設定!$B$11:$B$60,設定!$A$5:$A$7,設定!$B$5:$B$7)*XLOOKUP(設定!$C$11:$C$60,設定!$D$5:$D$7,設定!$E$5:$E$7)))</f>
        <v/>
      </c>
      <c r="E81" s="8">
        <f>SUMPRODUCT(XLOOKUP(設定!$B$11:$B$60,設定!$A$5:$A$7,設定!$B$5:$B$7)*XLOOKUP(設定!$C$11:$C$60,設定!$D$5:$D$7,設定!$E$5:$E$7))</f>
        <v/>
      </c>
      <c r="F81" s="10">
        <f>IF(D81="","",D81/E81*100)</f>
        <v/>
      </c>
      <c r="G81" s="10">
        <f>IF(D81="","",IF(SUMPRODUCT(--(設定!$B$11:$B$60="OS（Linux/Windows）")*XLOOKUP(設定!$B$11:$B$60,設定!$A$5:$A$7,設定!$B$5:$B$7)*XLOOKUP(設定!$C$11:$C$60,設定!$D$5:$D$7,設定!$E$5:$E$7))=0,"",SUMPRODUCT(--(設定!$B$11:$B$60="OS（Linux/Windows）")*--(整形回答!F81:BC81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1" s="10">
        <f>IF(D81="","",IF(SUMPRODUCT(--(設定!$B$11:$B$60="AWS")*XLOOKUP(設定!$B$11:$B$60,設定!$A$5:$A$7,設定!$B$5:$B$7)*XLOOKUP(設定!$C$11:$C$60,設定!$D$5:$D$7,設定!$E$5:$E$7))=0,"",SUMPRODUCT(--(設定!$B$11:$B$60="AWS")*--(整形回答!F81:BC81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1" s="10">
        <f>IF(D81="","",IF(SUMPRODUCT(--(設定!$B$11:$B$60="NW/Security")*XLOOKUP(設定!$B$11:$B$60,設定!$A$5:$A$7,設定!$B$5:$B$7)*XLOOKUP(設定!$C$11:$C$60,設定!$D$5:$D$7,設定!$E$5:$E$7))=0,"",SUMPRODUCT(--(設定!$B$11:$B$60="NW/Security")*--(整形回答!F81:BC81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1" s="8">
        <f>IF(F81="","",IF(F81&gt;=85,"即戦力",IF(F81&gt;=70,"主担当",IF(F81&gt;=55,"サポート","育成"))))</f>
        <v/>
      </c>
      <c r="K81" s="8">
        <f>整形回答!E81</f>
        <v/>
      </c>
    </row>
    <row r="82">
      <c r="A82" s="8">
        <f>整形回答!A82</f>
        <v/>
      </c>
      <c r="B82" s="9">
        <f>整形回答!B82</f>
        <v/>
      </c>
      <c r="C82" s="9">
        <f>整形回答!C82</f>
        <v/>
      </c>
      <c r="D82" s="8">
        <f>IF(B82="","",SUMPRODUCT(--(整形回答!F82:BC82=正解キー!$B$2:$B$51)*XLOOKUP(設定!$B$11:$B$60,設定!$A$5:$A$7,設定!$B$5:$B$7)*XLOOKUP(設定!$C$11:$C$60,設定!$D$5:$D$7,設定!$E$5:$E$7)))</f>
        <v/>
      </c>
      <c r="E82" s="8">
        <f>SUMPRODUCT(XLOOKUP(設定!$B$11:$B$60,設定!$A$5:$A$7,設定!$B$5:$B$7)*XLOOKUP(設定!$C$11:$C$60,設定!$D$5:$D$7,設定!$E$5:$E$7))</f>
        <v/>
      </c>
      <c r="F82" s="10">
        <f>IF(D82="","",D82/E82*100)</f>
        <v/>
      </c>
      <c r="G82" s="10">
        <f>IF(D82="","",IF(SUMPRODUCT(--(設定!$B$11:$B$60="OS（Linux/Windows）")*XLOOKUP(設定!$B$11:$B$60,設定!$A$5:$A$7,設定!$B$5:$B$7)*XLOOKUP(設定!$C$11:$C$60,設定!$D$5:$D$7,設定!$E$5:$E$7))=0,"",SUMPRODUCT(--(設定!$B$11:$B$60="OS（Linux/Windows）")*--(整形回答!F82:BC82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2" s="10">
        <f>IF(D82="","",IF(SUMPRODUCT(--(設定!$B$11:$B$60="AWS")*XLOOKUP(設定!$B$11:$B$60,設定!$A$5:$A$7,設定!$B$5:$B$7)*XLOOKUP(設定!$C$11:$C$60,設定!$D$5:$D$7,設定!$E$5:$E$7))=0,"",SUMPRODUCT(--(設定!$B$11:$B$60="AWS")*--(整形回答!F82:BC82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2" s="10">
        <f>IF(D82="","",IF(SUMPRODUCT(--(設定!$B$11:$B$60="NW/Security")*XLOOKUP(設定!$B$11:$B$60,設定!$A$5:$A$7,設定!$B$5:$B$7)*XLOOKUP(設定!$C$11:$C$60,設定!$D$5:$D$7,設定!$E$5:$E$7))=0,"",SUMPRODUCT(--(設定!$B$11:$B$60="NW/Security")*--(整形回答!F82:BC82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2" s="8">
        <f>IF(F82="","",IF(F82&gt;=85,"即戦力",IF(F82&gt;=70,"主担当",IF(F82&gt;=55,"サポート","育成"))))</f>
        <v/>
      </c>
      <c r="K82" s="8">
        <f>整形回答!E82</f>
        <v/>
      </c>
    </row>
    <row r="83">
      <c r="A83" s="8">
        <f>整形回答!A83</f>
        <v/>
      </c>
      <c r="B83" s="9">
        <f>整形回答!B83</f>
        <v/>
      </c>
      <c r="C83" s="9">
        <f>整形回答!C83</f>
        <v/>
      </c>
      <c r="D83" s="8">
        <f>IF(B83="","",SUMPRODUCT(--(整形回答!F83:BC83=正解キー!$B$2:$B$51)*XLOOKUP(設定!$B$11:$B$60,設定!$A$5:$A$7,設定!$B$5:$B$7)*XLOOKUP(設定!$C$11:$C$60,設定!$D$5:$D$7,設定!$E$5:$E$7)))</f>
        <v/>
      </c>
      <c r="E83" s="8">
        <f>SUMPRODUCT(XLOOKUP(設定!$B$11:$B$60,設定!$A$5:$A$7,設定!$B$5:$B$7)*XLOOKUP(設定!$C$11:$C$60,設定!$D$5:$D$7,設定!$E$5:$E$7))</f>
        <v/>
      </c>
      <c r="F83" s="10">
        <f>IF(D83="","",D83/E83*100)</f>
        <v/>
      </c>
      <c r="G83" s="10">
        <f>IF(D83="","",IF(SUMPRODUCT(--(設定!$B$11:$B$60="OS（Linux/Windows）")*XLOOKUP(設定!$B$11:$B$60,設定!$A$5:$A$7,設定!$B$5:$B$7)*XLOOKUP(設定!$C$11:$C$60,設定!$D$5:$D$7,設定!$E$5:$E$7))=0,"",SUMPRODUCT(--(設定!$B$11:$B$60="OS（Linux/Windows）")*--(整形回答!F83:BC83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3" s="10">
        <f>IF(D83="","",IF(SUMPRODUCT(--(設定!$B$11:$B$60="AWS")*XLOOKUP(設定!$B$11:$B$60,設定!$A$5:$A$7,設定!$B$5:$B$7)*XLOOKUP(設定!$C$11:$C$60,設定!$D$5:$D$7,設定!$E$5:$E$7))=0,"",SUMPRODUCT(--(設定!$B$11:$B$60="AWS")*--(整形回答!F83:BC83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3" s="10">
        <f>IF(D83="","",IF(SUMPRODUCT(--(設定!$B$11:$B$60="NW/Security")*XLOOKUP(設定!$B$11:$B$60,設定!$A$5:$A$7,設定!$B$5:$B$7)*XLOOKUP(設定!$C$11:$C$60,設定!$D$5:$D$7,設定!$E$5:$E$7))=0,"",SUMPRODUCT(--(設定!$B$11:$B$60="NW/Security")*--(整形回答!F83:BC83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3" s="8">
        <f>IF(F83="","",IF(F83&gt;=85,"即戦力",IF(F83&gt;=70,"主担当",IF(F83&gt;=55,"サポート","育成"))))</f>
        <v/>
      </c>
      <c r="K83" s="8">
        <f>整形回答!E83</f>
        <v/>
      </c>
    </row>
    <row r="84">
      <c r="A84" s="8">
        <f>整形回答!A84</f>
        <v/>
      </c>
      <c r="B84" s="9">
        <f>整形回答!B84</f>
        <v/>
      </c>
      <c r="C84" s="9">
        <f>整形回答!C84</f>
        <v/>
      </c>
      <c r="D84" s="8">
        <f>IF(B84="","",SUMPRODUCT(--(整形回答!F84:BC84=正解キー!$B$2:$B$51)*XLOOKUP(設定!$B$11:$B$60,設定!$A$5:$A$7,設定!$B$5:$B$7)*XLOOKUP(設定!$C$11:$C$60,設定!$D$5:$D$7,設定!$E$5:$E$7)))</f>
        <v/>
      </c>
      <c r="E84" s="8">
        <f>SUMPRODUCT(XLOOKUP(設定!$B$11:$B$60,設定!$A$5:$A$7,設定!$B$5:$B$7)*XLOOKUP(設定!$C$11:$C$60,設定!$D$5:$D$7,設定!$E$5:$E$7))</f>
        <v/>
      </c>
      <c r="F84" s="10">
        <f>IF(D84="","",D84/E84*100)</f>
        <v/>
      </c>
      <c r="G84" s="10">
        <f>IF(D84="","",IF(SUMPRODUCT(--(設定!$B$11:$B$60="OS（Linux/Windows）")*XLOOKUP(設定!$B$11:$B$60,設定!$A$5:$A$7,設定!$B$5:$B$7)*XLOOKUP(設定!$C$11:$C$60,設定!$D$5:$D$7,設定!$E$5:$E$7))=0,"",SUMPRODUCT(--(設定!$B$11:$B$60="OS（Linux/Windows）")*--(整形回答!F84:BC84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4" s="10">
        <f>IF(D84="","",IF(SUMPRODUCT(--(設定!$B$11:$B$60="AWS")*XLOOKUP(設定!$B$11:$B$60,設定!$A$5:$A$7,設定!$B$5:$B$7)*XLOOKUP(設定!$C$11:$C$60,設定!$D$5:$D$7,設定!$E$5:$E$7))=0,"",SUMPRODUCT(--(設定!$B$11:$B$60="AWS")*--(整形回答!F84:BC84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4" s="10">
        <f>IF(D84="","",IF(SUMPRODUCT(--(設定!$B$11:$B$60="NW/Security")*XLOOKUP(設定!$B$11:$B$60,設定!$A$5:$A$7,設定!$B$5:$B$7)*XLOOKUP(設定!$C$11:$C$60,設定!$D$5:$D$7,設定!$E$5:$E$7))=0,"",SUMPRODUCT(--(設定!$B$11:$B$60="NW/Security")*--(整形回答!F84:BC84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4" s="8">
        <f>IF(F84="","",IF(F84&gt;=85,"即戦力",IF(F84&gt;=70,"主担当",IF(F84&gt;=55,"サポート","育成"))))</f>
        <v/>
      </c>
      <c r="K84" s="8">
        <f>整形回答!E84</f>
        <v/>
      </c>
    </row>
    <row r="85">
      <c r="A85" s="8">
        <f>整形回答!A85</f>
        <v/>
      </c>
      <c r="B85" s="9">
        <f>整形回答!B85</f>
        <v/>
      </c>
      <c r="C85" s="9">
        <f>整形回答!C85</f>
        <v/>
      </c>
      <c r="D85" s="8">
        <f>IF(B85="","",SUMPRODUCT(--(整形回答!F85:BC85=正解キー!$B$2:$B$51)*XLOOKUP(設定!$B$11:$B$60,設定!$A$5:$A$7,設定!$B$5:$B$7)*XLOOKUP(設定!$C$11:$C$60,設定!$D$5:$D$7,設定!$E$5:$E$7)))</f>
        <v/>
      </c>
      <c r="E85" s="8">
        <f>SUMPRODUCT(XLOOKUP(設定!$B$11:$B$60,設定!$A$5:$A$7,設定!$B$5:$B$7)*XLOOKUP(設定!$C$11:$C$60,設定!$D$5:$D$7,設定!$E$5:$E$7))</f>
        <v/>
      </c>
      <c r="F85" s="10">
        <f>IF(D85="","",D85/E85*100)</f>
        <v/>
      </c>
      <c r="G85" s="10">
        <f>IF(D85="","",IF(SUMPRODUCT(--(設定!$B$11:$B$60="OS（Linux/Windows）")*XLOOKUP(設定!$B$11:$B$60,設定!$A$5:$A$7,設定!$B$5:$B$7)*XLOOKUP(設定!$C$11:$C$60,設定!$D$5:$D$7,設定!$E$5:$E$7))=0,"",SUMPRODUCT(--(設定!$B$11:$B$60="OS（Linux/Windows）")*--(整形回答!F85:BC85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5" s="10">
        <f>IF(D85="","",IF(SUMPRODUCT(--(設定!$B$11:$B$60="AWS")*XLOOKUP(設定!$B$11:$B$60,設定!$A$5:$A$7,設定!$B$5:$B$7)*XLOOKUP(設定!$C$11:$C$60,設定!$D$5:$D$7,設定!$E$5:$E$7))=0,"",SUMPRODUCT(--(設定!$B$11:$B$60="AWS")*--(整形回答!F85:BC85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5" s="10">
        <f>IF(D85="","",IF(SUMPRODUCT(--(設定!$B$11:$B$60="NW/Security")*XLOOKUP(設定!$B$11:$B$60,設定!$A$5:$A$7,設定!$B$5:$B$7)*XLOOKUP(設定!$C$11:$C$60,設定!$D$5:$D$7,設定!$E$5:$E$7))=0,"",SUMPRODUCT(--(設定!$B$11:$B$60="NW/Security")*--(整形回答!F85:BC85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5" s="8">
        <f>IF(F85="","",IF(F85&gt;=85,"即戦力",IF(F85&gt;=70,"主担当",IF(F85&gt;=55,"サポート","育成"))))</f>
        <v/>
      </c>
      <c r="K85" s="8">
        <f>整形回答!E85</f>
        <v/>
      </c>
    </row>
    <row r="86">
      <c r="A86" s="8">
        <f>整形回答!A86</f>
        <v/>
      </c>
      <c r="B86" s="9">
        <f>整形回答!B86</f>
        <v/>
      </c>
      <c r="C86" s="9">
        <f>整形回答!C86</f>
        <v/>
      </c>
      <c r="D86" s="8">
        <f>IF(B86="","",SUMPRODUCT(--(整形回答!F86:BC86=正解キー!$B$2:$B$51)*XLOOKUP(設定!$B$11:$B$60,設定!$A$5:$A$7,設定!$B$5:$B$7)*XLOOKUP(設定!$C$11:$C$60,設定!$D$5:$D$7,設定!$E$5:$E$7)))</f>
        <v/>
      </c>
      <c r="E86" s="8">
        <f>SUMPRODUCT(XLOOKUP(設定!$B$11:$B$60,設定!$A$5:$A$7,設定!$B$5:$B$7)*XLOOKUP(設定!$C$11:$C$60,設定!$D$5:$D$7,設定!$E$5:$E$7))</f>
        <v/>
      </c>
      <c r="F86" s="10">
        <f>IF(D86="","",D86/E86*100)</f>
        <v/>
      </c>
      <c r="G86" s="10">
        <f>IF(D86="","",IF(SUMPRODUCT(--(設定!$B$11:$B$60="OS（Linux/Windows）")*XLOOKUP(設定!$B$11:$B$60,設定!$A$5:$A$7,設定!$B$5:$B$7)*XLOOKUP(設定!$C$11:$C$60,設定!$D$5:$D$7,設定!$E$5:$E$7))=0,"",SUMPRODUCT(--(設定!$B$11:$B$60="OS（Linux/Windows）")*--(整形回答!F86:BC86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6" s="10">
        <f>IF(D86="","",IF(SUMPRODUCT(--(設定!$B$11:$B$60="AWS")*XLOOKUP(設定!$B$11:$B$60,設定!$A$5:$A$7,設定!$B$5:$B$7)*XLOOKUP(設定!$C$11:$C$60,設定!$D$5:$D$7,設定!$E$5:$E$7))=0,"",SUMPRODUCT(--(設定!$B$11:$B$60="AWS")*--(整形回答!F86:BC86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6" s="10">
        <f>IF(D86="","",IF(SUMPRODUCT(--(設定!$B$11:$B$60="NW/Security")*XLOOKUP(設定!$B$11:$B$60,設定!$A$5:$A$7,設定!$B$5:$B$7)*XLOOKUP(設定!$C$11:$C$60,設定!$D$5:$D$7,設定!$E$5:$E$7))=0,"",SUMPRODUCT(--(設定!$B$11:$B$60="NW/Security")*--(整形回答!F86:BC86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6" s="8">
        <f>IF(F86="","",IF(F86&gt;=85,"即戦力",IF(F86&gt;=70,"主担当",IF(F86&gt;=55,"サポート","育成"))))</f>
        <v/>
      </c>
      <c r="K86" s="8">
        <f>整形回答!E86</f>
        <v/>
      </c>
    </row>
    <row r="87">
      <c r="A87" s="8">
        <f>整形回答!A87</f>
        <v/>
      </c>
      <c r="B87" s="9">
        <f>整形回答!B87</f>
        <v/>
      </c>
      <c r="C87" s="9">
        <f>整形回答!C87</f>
        <v/>
      </c>
      <c r="D87" s="8">
        <f>IF(B87="","",SUMPRODUCT(--(整形回答!F87:BC87=正解キー!$B$2:$B$51)*XLOOKUP(設定!$B$11:$B$60,設定!$A$5:$A$7,設定!$B$5:$B$7)*XLOOKUP(設定!$C$11:$C$60,設定!$D$5:$D$7,設定!$E$5:$E$7)))</f>
        <v/>
      </c>
      <c r="E87" s="8">
        <f>SUMPRODUCT(XLOOKUP(設定!$B$11:$B$60,設定!$A$5:$A$7,設定!$B$5:$B$7)*XLOOKUP(設定!$C$11:$C$60,設定!$D$5:$D$7,設定!$E$5:$E$7))</f>
        <v/>
      </c>
      <c r="F87" s="10">
        <f>IF(D87="","",D87/E87*100)</f>
        <v/>
      </c>
      <c r="G87" s="10">
        <f>IF(D87="","",IF(SUMPRODUCT(--(設定!$B$11:$B$60="OS（Linux/Windows）")*XLOOKUP(設定!$B$11:$B$60,設定!$A$5:$A$7,設定!$B$5:$B$7)*XLOOKUP(設定!$C$11:$C$60,設定!$D$5:$D$7,設定!$E$5:$E$7))=0,"",SUMPRODUCT(--(設定!$B$11:$B$60="OS（Linux/Windows）")*--(整形回答!F87:BC87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7" s="10">
        <f>IF(D87="","",IF(SUMPRODUCT(--(設定!$B$11:$B$60="AWS")*XLOOKUP(設定!$B$11:$B$60,設定!$A$5:$A$7,設定!$B$5:$B$7)*XLOOKUP(設定!$C$11:$C$60,設定!$D$5:$D$7,設定!$E$5:$E$7))=0,"",SUMPRODUCT(--(設定!$B$11:$B$60="AWS")*--(整形回答!F87:BC87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7" s="10">
        <f>IF(D87="","",IF(SUMPRODUCT(--(設定!$B$11:$B$60="NW/Security")*XLOOKUP(設定!$B$11:$B$60,設定!$A$5:$A$7,設定!$B$5:$B$7)*XLOOKUP(設定!$C$11:$C$60,設定!$D$5:$D$7,設定!$E$5:$E$7))=0,"",SUMPRODUCT(--(設定!$B$11:$B$60="NW/Security")*--(整形回答!F87:BC87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7" s="8">
        <f>IF(F87="","",IF(F87&gt;=85,"即戦力",IF(F87&gt;=70,"主担当",IF(F87&gt;=55,"サポート","育成"))))</f>
        <v/>
      </c>
      <c r="K87" s="8">
        <f>整形回答!E87</f>
        <v/>
      </c>
    </row>
    <row r="88">
      <c r="A88" s="8">
        <f>整形回答!A88</f>
        <v/>
      </c>
      <c r="B88" s="9">
        <f>整形回答!B88</f>
        <v/>
      </c>
      <c r="C88" s="9">
        <f>整形回答!C88</f>
        <v/>
      </c>
      <c r="D88" s="8">
        <f>IF(B88="","",SUMPRODUCT(--(整形回答!F88:BC88=正解キー!$B$2:$B$51)*XLOOKUP(設定!$B$11:$B$60,設定!$A$5:$A$7,設定!$B$5:$B$7)*XLOOKUP(設定!$C$11:$C$60,設定!$D$5:$D$7,設定!$E$5:$E$7)))</f>
        <v/>
      </c>
      <c r="E88" s="8">
        <f>SUMPRODUCT(XLOOKUP(設定!$B$11:$B$60,設定!$A$5:$A$7,設定!$B$5:$B$7)*XLOOKUP(設定!$C$11:$C$60,設定!$D$5:$D$7,設定!$E$5:$E$7))</f>
        <v/>
      </c>
      <c r="F88" s="10">
        <f>IF(D88="","",D88/E88*100)</f>
        <v/>
      </c>
      <c r="G88" s="10">
        <f>IF(D88="","",IF(SUMPRODUCT(--(設定!$B$11:$B$60="OS（Linux/Windows）")*XLOOKUP(設定!$B$11:$B$60,設定!$A$5:$A$7,設定!$B$5:$B$7)*XLOOKUP(設定!$C$11:$C$60,設定!$D$5:$D$7,設定!$E$5:$E$7))=0,"",SUMPRODUCT(--(設定!$B$11:$B$60="OS（Linux/Windows）")*--(整形回答!F88:BC88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8" s="10">
        <f>IF(D88="","",IF(SUMPRODUCT(--(設定!$B$11:$B$60="AWS")*XLOOKUP(設定!$B$11:$B$60,設定!$A$5:$A$7,設定!$B$5:$B$7)*XLOOKUP(設定!$C$11:$C$60,設定!$D$5:$D$7,設定!$E$5:$E$7))=0,"",SUMPRODUCT(--(設定!$B$11:$B$60="AWS")*--(整形回答!F88:BC88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8" s="10">
        <f>IF(D88="","",IF(SUMPRODUCT(--(設定!$B$11:$B$60="NW/Security")*XLOOKUP(設定!$B$11:$B$60,設定!$A$5:$A$7,設定!$B$5:$B$7)*XLOOKUP(設定!$C$11:$C$60,設定!$D$5:$D$7,設定!$E$5:$E$7))=0,"",SUMPRODUCT(--(設定!$B$11:$B$60="NW/Security")*--(整形回答!F88:BC88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8" s="8">
        <f>IF(F88="","",IF(F88&gt;=85,"即戦力",IF(F88&gt;=70,"主担当",IF(F88&gt;=55,"サポート","育成"))))</f>
        <v/>
      </c>
      <c r="K88" s="8">
        <f>整形回答!E88</f>
        <v/>
      </c>
    </row>
    <row r="89">
      <c r="A89" s="8">
        <f>整形回答!A89</f>
        <v/>
      </c>
      <c r="B89" s="9">
        <f>整形回答!B89</f>
        <v/>
      </c>
      <c r="C89" s="9">
        <f>整形回答!C89</f>
        <v/>
      </c>
      <c r="D89" s="8">
        <f>IF(B89="","",SUMPRODUCT(--(整形回答!F89:BC89=正解キー!$B$2:$B$51)*XLOOKUP(設定!$B$11:$B$60,設定!$A$5:$A$7,設定!$B$5:$B$7)*XLOOKUP(設定!$C$11:$C$60,設定!$D$5:$D$7,設定!$E$5:$E$7)))</f>
        <v/>
      </c>
      <c r="E89" s="8">
        <f>SUMPRODUCT(XLOOKUP(設定!$B$11:$B$60,設定!$A$5:$A$7,設定!$B$5:$B$7)*XLOOKUP(設定!$C$11:$C$60,設定!$D$5:$D$7,設定!$E$5:$E$7))</f>
        <v/>
      </c>
      <c r="F89" s="10">
        <f>IF(D89="","",D89/E89*100)</f>
        <v/>
      </c>
      <c r="G89" s="10">
        <f>IF(D89="","",IF(SUMPRODUCT(--(設定!$B$11:$B$60="OS（Linux/Windows）")*XLOOKUP(設定!$B$11:$B$60,設定!$A$5:$A$7,設定!$B$5:$B$7)*XLOOKUP(設定!$C$11:$C$60,設定!$D$5:$D$7,設定!$E$5:$E$7))=0,"",SUMPRODUCT(--(設定!$B$11:$B$60="OS（Linux/Windows）")*--(整形回答!F89:BC89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89" s="10">
        <f>IF(D89="","",IF(SUMPRODUCT(--(設定!$B$11:$B$60="AWS")*XLOOKUP(設定!$B$11:$B$60,設定!$A$5:$A$7,設定!$B$5:$B$7)*XLOOKUP(設定!$C$11:$C$60,設定!$D$5:$D$7,設定!$E$5:$E$7))=0,"",SUMPRODUCT(--(設定!$B$11:$B$60="AWS")*--(整形回答!F89:BC89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89" s="10">
        <f>IF(D89="","",IF(SUMPRODUCT(--(設定!$B$11:$B$60="NW/Security")*XLOOKUP(設定!$B$11:$B$60,設定!$A$5:$A$7,設定!$B$5:$B$7)*XLOOKUP(設定!$C$11:$C$60,設定!$D$5:$D$7,設定!$E$5:$E$7))=0,"",SUMPRODUCT(--(設定!$B$11:$B$60="NW/Security")*--(整形回答!F89:BC89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89" s="8">
        <f>IF(F89="","",IF(F89&gt;=85,"即戦力",IF(F89&gt;=70,"主担当",IF(F89&gt;=55,"サポート","育成"))))</f>
        <v/>
      </c>
      <c r="K89" s="8">
        <f>整形回答!E89</f>
        <v/>
      </c>
    </row>
    <row r="90">
      <c r="A90" s="8">
        <f>整形回答!A90</f>
        <v/>
      </c>
      <c r="B90" s="9">
        <f>整形回答!B90</f>
        <v/>
      </c>
      <c r="C90" s="9">
        <f>整形回答!C90</f>
        <v/>
      </c>
      <c r="D90" s="8">
        <f>IF(B90="","",SUMPRODUCT(--(整形回答!F90:BC90=正解キー!$B$2:$B$51)*XLOOKUP(設定!$B$11:$B$60,設定!$A$5:$A$7,設定!$B$5:$B$7)*XLOOKUP(設定!$C$11:$C$60,設定!$D$5:$D$7,設定!$E$5:$E$7)))</f>
        <v/>
      </c>
      <c r="E90" s="8">
        <f>SUMPRODUCT(XLOOKUP(設定!$B$11:$B$60,設定!$A$5:$A$7,設定!$B$5:$B$7)*XLOOKUP(設定!$C$11:$C$60,設定!$D$5:$D$7,設定!$E$5:$E$7))</f>
        <v/>
      </c>
      <c r="F90" s="10">
        <f>IF(D90="","",D90/E90*100)</f>
        <v/>
      </c>
      <c r="G90" s="10">
        <f>IF(D90="","",IF(SUMPRODUCT(--(設定!$B$11:$B$60="OS（Linux/Windows）")*XLOOKUP(設定!$B$11:$B$60,設定!$A$5:$A$7,設定!$B$5:$B$7)*XLOOKUP(設定!$C$11:$C$60,設定!$D$5:$D$7,設定!$E$5:$E$7))=0,"",SUMPRODUCT(--(設定!$B$11:$B$60="OS（Linux/Windows）")*--(整形回答!F90:BC90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0" s="10">
        <f>IF(D90="","",IF(SUMPRODUCT(--(設定!$B$11:$B$60="AWS")*XLOOKUP(設定!$B$11:$B$60,設定!$A$5:$A$7,設定!$B$5:$B$7)*XLOOKUP(設定!$C$11:$C$60,設定!$D$5:$D$7,設定!$E$5:$E$7))=0,"",SUMPRODUCT(--(設定!$B$11:$B$60="AWS")*--(整形回答!F90:BC90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0" s="10">
        <f>IF(D90="","",IF(SUMPRODUCT(--(設定!$B$11:$B$60="NW/Security")*XLOOKUP(設定!$B$11:$B$60,設定!$A$5:$A$7,設定!$B$5:$B$7)*XLOOKUP(設定!$C$11:$C$60,設定!$D$5:$D$7,設定!$E$5:$E$7))=0,"",SUMPRODUCT(--(設定!$B$11:$B$60="NW/Security")*--(整形回答!F90:BC90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0" s="8">
        <f>IF(F90="","",IF(F90&gt;=85,"即戦力",IF(F90&gt;=70,"主担当",IF(F90&gt;=55,"サポート","育成"))))</f>
        <v/>
      </c>
      <c r="K90" s="8">
        <f>整形回答!E90</f>
        <v/>
      </c>
    </row>
    <row r="91">
      <c r="A91" s="8">
        <f>整形回答!A91</f>
        <v/>
      </c>
      <c r="B91" s="9">
        <f>整形回答!B91</f>
        <v/>
      </c>
      <c r="C91" s="9">
        <f>整形回答!C91</f>
        <v/>
      </c>
      <c r="D91" s="8">
        <f>IF(B91="","",SUMPRODUCT(--(整形回答!F91:BC91=正解キー!$B$2:$B$51)*XLOOKUP(設定!$B$11:$B$60,設定!$A$5:$A$7,設定!$B$5:$B$7)*XLOOKUP(設定!$C$11:$C$60,設定!$D$5:$D$7,設定!$E$5:$E$7)))</f>
        <v/>
      </c>
      <c r="E91" s="8">
        <f>SUMPRODUCT(XLOOKUP(設定!$B$11:$B$60,設定!$A$5:$A$7,設定!$B$5:$B$7)*XLOOKUP(設定!$C$11:$C$60,設定!$D$5:$D$7,設定!$E$5:$E$7))</f>
        <v/>
      </c>
      <c r="F91" s="10">
        <f>IF(D91="","",D91/E91*100)</f>
        <v/>
      </c>
      <c r="G91" s="10">
        <f>IF(D91="","",IF(SUMPRODUCT(--(設定!$B$11:$B$60="OS（Linux/Windows）")*XLOOKUP(設定!$B$11:$B$60,設定!$A$5:$A$7,設定!$B$5:$B$7)*XLOOKUP(設定!$C$11:$C$60,設定!$D$5:$D$7,設定!$E$5:$E$7))=0,"",SUMPRODUCT(--(設定!$B$11:$B$60="OS（Linux/Windows）")*--(整形回答!F91:BC91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1" s="10">
        <f>IF(D91="","",IF(SUMPRODUCT(--(設定!$B$11:$B$60="AWS")*XLOOKUP(設定!$B$11:$B$60,設定!$A$5:$A$7,設定!$B$5:$B$7)*XLOOKUP(設定!$C$11:$C$60,設定!$D$5:$D$7,設定!$E$5:$E$7))=0,"",SUMPRODUCT(--(設定!$B$11:$B$60="AWS")*--(整形回答!F91:BC91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1" s="10">
        <f>IF(D91="","",IF(SUMPRODUCT(--(設定!$B$11:$B$60="NW/Security")*XLOOKUP(設定!$B$11:$B$60,設定!$A$5:$A$7,設定!$B$5:$B$7)*XLOOKUP(設定!$C$11:$C$60,設定!$D$5:$D$7,設定!$E$5:$E$7))=0,"",SUMPRODUCT(--(設定!$B$11:$B$60="NW/Security")*--(整形回答!F91:BC91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1" s="8">
        <f>IF(F91="","",IF(F91&gt;=85,"即戦力",IF(F91&gt;=70,"主担当",IF(F91&gt;=55,"サポート","育成"))))</f>
        <v/>
      </c>
      <c r="K91" s="8">
        <f>整形回答!E91</f>
        <v/>
      </c>
    </row>
    <row r="92">
      <c r="A92" s="8">
        <f>整形回答!A92</f>
        <v/>
      </c>
      <c r="B92" s="9">
        <f>整形回答!B92</f>
        <v/>
      </c>
      <c r="C92" s="9">
        <f>整形回答!C92</f>
        <v/>
      </c>
      <c r="D92" s="8">
        <f>IF(B92="","",SUMPRODUCT(--(整形回答!F92:BC92=正解キー!$B$2:$B$51)*XLOOKUP(設定!$B$11:$B$60,設定!$A$5:$A$7,設定!$B$5:$B$7)*XLOOKUP(設定!$C$11:$C$60,設定!$D$5:$D$7,設定!$E$5:$E$7)))</f>
        <v/>
      </c>
      <c r="E92" s="8">
        <f>SUMPRODUCT(XLOOKUP(設定!$B$11:$B$60,設定!$A$5:$A$7,設定!$B$5:$B$7)*XLOOKUP(設定!$C$11:$C$60,設定!$D$5:$D$7,設定!$E$5:$E$7))</f>
        <v/>
      </c>
      <c r="F92" s="10">
        <f>IF(D92="","",D92/E92*100)</f>
        <v/>
      </c>
      <c r="G92" s="10">
        <f>IF(D92="","",IF(SUMPRODUCT(--(設定!$B$11:$B$60="OS（Linux/Windows）")*XLOOKUP(設定!$B$11:$B$60,設定!$A$5:$A$7,設定!$B$5:$B$7)*XLOOKUP(設定!$C$11:$C$60,設定!$D$5:$D$7,設定!$E$5:$E$7))=0,"",SUMPRODUCT(--(設定!$B$11:$B$60="OS（Linux/Windows）")*--(整形回答!F92:BC92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2" s="10">
        <f>IF(D92="","",IF(SUMPRODUCT(--(設定!$B$11:$B$60="AWS")*XLOOKUP(設定!$B$11:$B$60,設定!$A$5:$A$7,設定!$B$5:$B$7)*XLOOKUP(設定!$C$11:$C$60,設定!$D$5:$D$7,設定!$E$5:$E$7))=0,"",SUMPRODUCT(--(設定!$B$11:$B$60="AWS")*--(整形回答!F92:BC92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2" s="10">
        <f>IF(D92="","",IF(SUMPRODUCT(--(設定!$B$11:$B$60="NW/Security")*XLOOKUP(設定!$B$11:$B$60,設定!$A$5:$A$7,設定!$B$5:$B$7)*XLOOKUP(設定!$C$11:$C$60,設定!$D$5:$D$7,設定!$E$5:$E$7))=0,"",SUMPRODUCT(--(設定!$B$11:$B$60="NW/Security")*--(整形回答!F92:BC92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2" s="8">
        <f>IF(F92="","",IF(F92&gt;=85,"即戦力",IF(F92&gt;=70,"主担当",IF(F92&gt;=55,"サポート","育成"))))</f>
        <v/>
      </c>
      <c r="K92" s="8">
        <f>整形回答!E92</f>
        <v/>
      </c>
    </row>
    <row r="93">
      <c r="A93" s="8">
        <f>整形回答!A93</f>
        <v/>
      </c>
      <c r="B93" s="9">
        <f>整形回答!B93</f>
        <v/>
      </c>
      <c r="C93" s="9">
        <f>整形回答!C93</f>
        <v/>
      </c>
      <c r="D93" s="8">
        <f>IF(B93="","",SUMPRODUCT(--(整形回答!F93:BC93=正解キー!$B$2:$B$51)*XLOOKUP(設定!$B$11:$B$60,設定!$A$5:$A$7,設定!$B$5:$B$7)*XLOOKUP(設定!$C$11:$C$60,設定!$D$5:$D$7,設定!$E$5:$E$7)))</f>
        <v/>
      </c>
      <c r="E93" s="8">
        <f>SUMPRODUCT(XLOOKUP(設定!$B$11:$B$60,設定!$A$5:$A$7,設定!$B$5:$B$7)*XLOOKUP(設定!$C$11:$C$60,設定!$D$5:$D$7,設定!$E$5:$E$7))</f>
        <v/>
      </c>
      <c r="F93" s="10">
        <f>IF(D93="","",D93/E93*100)</f>
        <v/>
      </c>
      <c r="G93" s="10">
        <f>IF(D93="","",IF(SUMPRODUCT(--(設定!$B$11:$B$60="OS（Linux/Windows）")*XLOOKUP(設定!$B$11:$B$60,設定!$A$5:$A$7,設定!$B$5:$B$7)*XLOOKUP(設定!$C$11:$C$60,設定!$D$5:$D$7,設定!$E$5:$E$7))=0,"",SUMPRODUCT(--(設定!$B$11:$B$60="OS（Linux/Windows）")*--(整形回答!F93:BC93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3" s="10">
        <f>IF(D93="","",IF(SUMPRODUCT(--(設定!$B$11:$B$60="AWS")*XLOOKUP(設定!$B$11:$B$60,設定!$A$5:$A$7,設定!$B$5:$B$7)*XLOOKUP(設定!$C$11:$C$60,設定!$D$5:$D$7,設定!$E$5:$E$7))=0,"",SUMPRODUCT(--(設定!$B$11:$B$60="AWS")*--(整形回答!F93:BC93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3" s="10">
        <f>IF(D93="","",IF(SUMPRODUCT(--(設定!$B$11:$B$60="NW/Security")*XLOOKUP(設定!$B$11:$B$60,設定!$A$5:$A$7,設定!$B$5:$B$7)*XLOOKUP(設定!$C$11:$C$60,設定!$D$5:$D$7,設定!$E$5:$E$7))=0,"",SUMPRODUCT(--(設定!$B$11:$B$60="NW/Security")*--(整形回答!F93:BC93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3" s="8">
        <f>IF(F93="","",IF(F93&gt;=85,"即戦力",IF(F93&gt;=70,"主担当",IF(F93&gt;=55,"サポート","育成"))))</f>
        <v/>
      </c>
      <c r="K93" s="8">
        <f>整形回答!E93</f>
        <v/>
      </c>
    </row>
    <row r="94">
      <c r="A94" s="8">
        <f>整形回答!A94</f>
        <v/>
      </c>
      <c r="B94" s="9">
        <f>整形回答!B94</f>
        <v/>
      </c>
      <c r="C94" s="9">
        <f>整形回答!C94</f>
        <v/>
      </c>
      <c r="D94" s="8">
        <f>IF(B94="","",SUMPRODUCT(--(整形回答!F94:BC94=正解キー!$B$2:$B$51)*XLOOKUP(設定!$B$11:$B$60,設定!$A$5:$A$7,設定!$B$5:$B$7)*XLOOKUP(設定!$C$11:$C$60,設定!$D$5:$D$7,設定!$E$5:$E$7)))</f>
        <v/>
      </c>
      <c r="E94" s="8">
        <f>SUMPRODUCT(XLOOKUP(設定!$B$11:$B$60,設定!$A$5:$A$7,設定!$B$5:$B$7)*XLOOKUP(設定!$C$11:$C$60,設定!$D$5:$D$7,設定!$E$5:$E$7))</f>
        <v/>
      </c>
      <c r="F94" s="10">
        <f>IF(D94="","",D94/E94*100)</f>
        <v/>
      </c>
      <c r="G94" s="10">
        <f>IF(D94="","",IF(SUMPRODUCT(--(設定!$B$11:$B$60="OS（Linux/Windows）")*XLOOKUP(設定!$B$11:$B$60,設定!$A$5:$A$7,設定!$B$5:$B$7)*XLOOKUP(設定!$C$11:$C$60,設定!$D$5:$D$7,設定!$E$5:$E$7))=0,"",SUMPRODUCT(--(設定!$B$11:$B$60="OS（Linux/Windows）")*--(整形回答!F94:BC94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4" s="10">
        <f>IF(D94="","",IF(SUMPRODUCT(--(設定!$B$11:$B$60="AWS")*XLOOKUP(設定!$B$11:$B$60,設定!$A$5:$A$7,設定!$B$5:$B$7)*XLOOKUP(設定!$C$11:$C$60,設定!$D$5:$D$7,設定!$E$5:$E$7))=0,"",SUMPRODUCT(--(設定!$B$11:$B$60="AWS")*--(整形回答!F94:BC94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4" s="10">
        <f>IF(D94="","",IF(SUMPRODUCT(--(設定!$B$11:$B$60="NW/Security")*XLOOKUP(設定!$B$11:$B$60,設定!$A$5:$A$7,設定!$B$5:$B$7)*XLOOKUP(設定!$C$11:$C$60,設定!$D$5:$D$7,設定!$E$5:$E$7))=0,"",SUMPRODUCT(--(設定!$B$11:$B$60="NW/Security")*--(整形回答!F94:BC94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4" s="8">
        <f>IF(F94="","",IF(F94&gt;=85,"即戦力",IF(F94&gt;=70,"主担当",IF(F94&gt;=55,"サポート","育成"))))</f>
        <v/>
      </c>
      <c r="K94" s="8">
        <f>整形回答!E94</f>
        <v/>
      </c>
    </row>
    <row r="95">
      <c r="A95" s="8">
        <f>整形回答!A95</f>
        <v/>
      </c>
      <c r="B95" s="9">
        <f>整形回答!B95</f>
        <v/>
      </c>
      <c r="C95" s="9">
        <f>整形回答!C95</f>
        <v/>
      </c>
      <c r="D95" s="8">
        <f>IF(B95="","",SUMPRODUCT(--(整形回答!F95:BC95=正解キー!$B$2:$B$51)*XLOOKUP(設定!$B$11:$B$60,設定!$A$5:$A$7,設定!$B$5:$B$7)*XLOOKUP(設定!$C$11:$C$60,設定!$D$5:$D$7,設定!$E$5:$E$7)))</f>
        <v/>
      </c>
      <c r="E95" s="8">
        <f>SUMPRODUCT(XLOOKUP(設定!$B$11:$B$60,設定!$A$5:$A$7,設定!$B$5:$B$7)*XLOOKUP(設定!$C$11:$C$60,設定!$D$5:$D$7,設定!$E$5:$E$7))</f>
        <v/>
      </c>
      <c r="F95" s="10">
        <f>IF(D95="","",D95/E95*100)</f>
        <v/>
      </c>
      <c r="G95" s="10">
        <f>IF(D95="","",IF(SUMPRODUCT(--(設定!$B$11:$B$60="OS（Linux/Windows）")*XLOOKUP(設定!$B$11:$B$60,設定!$A$5:$A$7,設定!$B$5:$B$7)*XLOOKUP(設定!$C$11:$C$60,設定!$D$5:$D$7,設定!$E$5:$E$7))=0,"",SUMPRODUCT(--(設定!$B$11:$B$60="OS（Linux/Windows）")*--(整形回答!F95:BC95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5" s="10">
        <f>IF(D95="","",IF(SUMPRODUCT(--(設定!$B$11:$B$60="AWS")*XLOOKUP(設定!$B$11:$B$60,設定!$A$5:$A$7,設定!$B$5:$B$7)*XLOOKUP(設定!$C$11:$C$60,設定!$D$5:$D$7,設定!$E$5:$E$7))=0,"",SUMPRODUCT(--(設定!$B$11:$B$60="AWS")*--(整形回答!F95:BC95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5" s="10">
        <f>IF(D95="","",IF(SUMPRODUCT(--(設定!$B$11:$B$60="NW/Security")*XLOOKUP(設定!$B$11:$B$60,設定!$A$5:$A$7,設定!$B$5:$B$7)*XLOOKUP(設定!$C$11:$C$60,設定!$D$5:$D$7,設定!$E$5:$E$7))=0,"",SUMPRODUCT(--(設定!$B$11:$B$60="NW/Security")*--(整形回答!F95:BC95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5" s="8">
        <f>IF(F95="","",IF(F95&gt;=85,"即戦力",IF(F95&gt;=70,"主担当",IF(F95&gt;=55,"サポート","育成"))))</f>
        <v/>
      </c>
      <c r="K95" s="8">
        <f>整形回答!E95</f>
        <v/>
      </c>
    </row>
    <row r="96">
      <c r="A96" s="8">
        <f>整形回答!A96</f>
        <v/>
      </c>
      <c r="B96" s="9">
        <f>整形回答!B96</f>
        <v/>
      </c>
      <c r="C96" s="9">
        <f>整形回答!C96</f>
        <v/>
      </c>
      <c r="D96" s="8">
        <f>IF(B96="","",SUMPRODUCT(--(整形回答!F96:BC96=正解キー!$B$2:$B$51)*XLOOKUP(設定!$B$11:$B$60,設定!$A$5:$A$7,設定!$B$5:$B$7)*XLOOKUP(設定!$C$11:$C$60,設定!$D$5:$D$7,設定!$E$5:$E$7)))</f>
        <v/>
      </c>
      <c r="E96" s="8">
        <f>SUMPRODUCT(XLOOKUP(設定!$B$11:$B$60,設定!$A$5:$A$7,設定!$B$5:$B$7)*XLOOKUP(設定!$C$11:$C$60,設定!$D$5:$D$7,設定!$E$5:$E$7))</f>
        <v/>
      </c>
      <c r="F96" s="10">
        <f>IF(D96="","",D96/E96*100)</f>
        <v/>
      </c>
      <c r="G96" s="10">
        <f>IF(D96="","",IF(SUMPRODUCT(--(設定!$B$11:$B$60="OS（Linux/Windows）")*XLOOKUP(設定!$B$11:$B$60,設定!$A$5:$A$7,設定!$B$5:$B$7)*XLOOKUP(設定!$C$11:$C$60,設定!$D$5:$D$7,設定!$E$5:$E$7))=0,"",SUMPRODUCT(--(設定!$B$11:$B$60="OS（Linux/Windows）")*--(整形回答!F96:BC96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6" s="10">
        <f>IF(D96="","",IF(SUMPRODUCT(--(設定!$B$11:$B$60="AWS")*XLOOKUP(設定!$B$11:$B$60,設定!$A$5:$A$7,設定!$B$5:$B$7)*XLOOKUP(設定!$C$11:$C$60,設定!$D$5:$D$7,設定!$E$5:$E$7))=0,"",SUMPRODUCT(--(設定!$B$11:$B$60="AWS")*--(整形回答!F96:BC96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6" s="10">
        <f>IF(D96="","",IF(SUMPRODUCT(--(設定!$B$11:$B$60="NW/Security")*XLOOKUP(設定!$B$11:$B$60,設定!$A$5:$A$7,設定!$B$5:$B$7)*XLOOKUP(設定!$C$11:$C$60,設定!$D$5:$D$7,設定!$E$5:$E$7))=0,"",SUMPRODUCT(--(設定!$B$11:$B$60="NW/Security")*--(整形回答!F96:BC96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6" s="8">
        <f>IF(F96="","",IF(F96&gt;=85,"即戦力",IF(F96&gt;=70,"主担当",IF(F96&gt;=55,"サポート","育成"))))</f>
        <v/>
      </c>
      <c r="K96" s="8">
        <f>整形回答!E96</f>
        <v/>
      </c>
    </row>
    <row r="97">
      <c r="A97" s="8">
        <f>整形回答!A97</f>
        <v/>
      </c>
      <c r="B97" s="9">
        <f>整形回答!B97</f>
        <v/>
      </c>
      <c r="C97" s="9">
        <f>整形回答!C97</f>
        <v/>
      </c>
      <c r="D97" s="8">
        <f>IF(B97="","",SUMPRODUCT(--(整形回答!F97:BC97=正解キー!$B$2:$B$51)*XLOOKUP(設定!$B$11:$B$60,設定!$A$5:$A$7,設定!$B$5:$B$7)*XLOOKUP(設定!$C$11:$C$60,設定!$D$5:$D$7,設定!$E$5:$E$7)))</f>
        <v/>
      </c>
      <c r="E97" s="8">
        <f>SUMPRODUCT(XLOOKUP(設定!$B$11:$B$60,設定!$A$5:$A$7,設定!$B$5:$B$7)*XLOOKUP(設定!$C$11:$C$60,設定!$D$5:$D$7,設定!$E$5:$E$7))</f>
        <v/>
      </c>
      <c r="F97" s="10">
        <f>IF(D97="","",D97/E97*100)</f>
        <v/>
      </c>
      <c r="G97" s="10">
        <f>IF(D97="","",IF(SUMPRODUCT(--(設定!$B$11:$B$60="OS（Linux/Windows）")*XLOOKUP(設定!$B$11:$B$60,設定!$A$5:$A$7,設定!$B$5:$B$7)*XLOOKUP(設定!$C$11:$C$60,設定!$D$5:$D$7,設定!$E$5:$E$7))=0,"",SUMPRODUCT(--(設定!$B$11:$B$60="OS（Linux/Windows）")*--(整形回答!F97:BC97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7" s="10">
        <f>IF(D97="","",IF(SUMPRODUCT(--(設定!$B$11:$B$60="AWS")*XLOOKUP(設定!$B$11:$B$60,設定!$A$5:$A$7,設定!$B$5:$B$7)*XLOOKUP(設定!$C$11:$C$60,設定!$D$5:$D$7,設定!$E$5:$E$7))=0,"",SUMPRODUCT(--(設定!$B$11:$B$60="AWS")*--(整形回答!F97:BC97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7" s="10">
        <f>IF(D97="","",IF(SUMPRODUCT(--(設定!$B$11:$B$60="NW/Security")*XLOOKUP(設定!$B$11:$B$60,設定!$A$5:$A$7,設定!$B$5:$B$7)*XLOOKUP(設定!$C$11:$C$60,設定!$D$5:$D$7,設定!$E$5:$E$7))=0,"",SUMPRODUCT(--(設定!$B$11:$B$60="NW/Security")*--(整形回答!F97:BC97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7" s="8">
        <f>IF(F97="","",IF(F97&gt;=85,"即戦力",IF(F97&gt;=70,"主担当",IF(F97&gt;=55,"サポート","育成"))))</f>
        <v/>
      </c>
      <c r="K97" s="8">
        <f>整形回答!E97</f>
        <v/>
      </c>
    </row>
    <row r="98">
      <c r="A98" s="8">
        <f>整形回答!A98</f>
        <v/>
      </c>
      <c r="B98" s="9">
        <f>整形回答!B98</f>
        <v/>
      </c>
      <c r="C98" s="9">
        <f>整形回答!C98</f>
        <v/>
      </c>
      <c r="D98" s="8">
        <f>IF(B98="","",SUMPRODUCT(--(整形回答!F98:BC98=正解キー!$B$2:$B$51)*XLOOKUP(設定!$B$11:$B$60,設定!$A$5:$A$7,設定!$B$5:$B$7)*XLOOKUP(設定!$C$11:$C$60,設定!$D$5:$D$7,設定!$E$5:$E$7)))</f>
        <v/>
      </c>
      <c r="E98" s="8">
        <f>SUMPRODUCT(XLOOKUP(設定!$B$11:$B$60,設定!$A$5:$A$7,設定!$B$5:$B$7)*XLOOKUP(設定!$C$11:$C$60,設定!$D$5:$D$7,設定!$E$5:$E$7))</f>
        <v/>
      </c>
      <c r="F98" s="10">
        <f>IF(D98="","",D98/E98*100)</f>
        <v/>
      </c>
      <c r="G98" s="10">
        <f>IF(D98="","",IF(SUMPRODUCT(--(設定!$B$11:$B$60="OS（Linux/Windows）")*XLOOKUP(設定!$B$11:$B$60,設定!$A$5:$A$7,設定!$B$5:$B$7)*XLOOKUP(設定!$C$11:$C$60,設定!$D$5:$D$7,設定!$E$5:$E$7))=0,"",SUMPRODUCT(--(設定!$B$11:$B$60="OS（Linux/Windows）")*--(整形回答!F98:BC98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8" s="10">
        <f>IF(D98="","",IF(SUMPRODUCT(--(設定!$B$11:$B$60="AWS")*XLOOKUP(設定!$B$11:$B$60,設定!$A$5:$A$7,設定!$B$5:$B$7)*XLOOKUP(設定!$C$11:$C$60,設定!$D$5:$D$7,設定!$E$5:$E$7))=0,"",SUMPRODUCT(--(設定!$B$11:$B$60="AWS")*--(整形回答!F98:BC98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8" s="10">
        <f>IF(D98="","",IF(SUMPRODUCT(--(設定!$B$11:$B$60="NW/Security")*XLOOKUP(設定!$B$11:$B$60,設定!$A$5:$A$7,設定!$B$5:$B$7)*XLOOKUP(設定!$C$11:$C$60,設定!$D$5:$D$7,設定!$E$5:$E$7))=0,"",SUMPRODUCT(--(設定!$B$11:$B$60="NW/Security")*--(整形回答!F98:BC98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8" s="8">
        <f>IF(F98="","",IF(F98&gt;=85,"即戦力",IF(F98&gt;=70,"主担当",IF(F98&gt;=55,"サポート","育成"))))</f>
        <v/>
      </c>
      <c r="K98" s="8">
        <f>整形回答!E98</f>
        <v/>
      </c>
    </row>
    <row r="99">
      <c r="A99" s="8">
        <f>整形回答!A99</f>
        <v/>
      </c>
      <c r="B99" s="9">
        <f>整形回答!B99</f>
        <v/>
      </c>
      <c r="C99" s="9">
        <f>整形回答!C99</f>
        <v/>
      </c>
      <c r="D99" s="8">
        <f>IF(B99="","",SUMPRODUCT(--(整形回答!F99:BC99=正解キー!$B$2:$B$51)*XLOOKUP(設定!$B$11:$B$60,設定!$A$5:$A$7,設定!$B$5:$B$7)*XLOOKUP(設定!$C$11:$C$60,設定!$D$5:$D$7,設定!$E$5:$E$7)))</f>
        <v/>
      </c>
      <c r="E99" s="8">
        <f>SUMPRODUCT(XLOOKUP(設定!$B$11:$B$60,設定!$A$5:$A$7,設定!$B$5:$B$7)*XLOOKUP(設定!$C$11:$C$60,設定!$D$5:$D$7,設定!$E$5:$E$7))</f>
        <v/>
      </c>
      <c r="F99" s="10">
        <f>IF(D99="","",D99/E99*100)</f>
        <v/>
      </c>
      <c r="G99" s="10">
        <f>IF(D99="","",IF(SUMPRODUCT(--(設定!$B$11:$B$60="OS（Linux/Windows）")*XLOOKUP(設定!$B$11:$B$60,設定!$A$5:$A$7,設定!$B$5:$B$7)*XLOOKUP(設定!$C$11:$C$60,設定!$D$5:$D$7,設定!$E$5:$E$7))=0,"",SUMPRODUCT(--(設定!$B$11:$B$60="OS（Linux/Windows）")*--(整形回答!F99:BC99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99" s="10">
        <f>IF(D99="","",IF(SUMPRODUCT(--(設定!$B$11:$B$60="AWS")*XLOOKUP(設定!$B$11:$B$60,設定!$A$5:$A$7,設定!$B$5:$B$7)*XLOOKUP(設定!$C$11:$C$60,設定!$D$5:$D$7,設定!$E$5:$E$7))=0,"",SUMPRODUCT(--(設定!$B$11:$B$60="AWS")*--(整形回答!F99:BC99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99" s="10">
        <f>IF(D99="","",IF(SUMPRODUCT(--(設定!$B$11:$B$60="NW/Security")*XLOOKUP(設定!$B$11:$B$60,設定!$A$5:$A$7,設定!$B$5:$B$7)*XLOOKUP(設定!$C$11:$C$60,設定!$D$5:$D$7,設定!$E$5:$E$7))=0,"",SUMPRODUCT(--(設定!$B$11:$B$60="NW/Security")*--(整形回答!F99:BC99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99" s="8">
        <f>IF(F99="","",IF(F99&gt;=85,"即戦力",IF(F99&gt;=70,"主担当",IF(F99&gt;=55,"サポート","育成"))))</f>
        <v/>
      </c>
      <c r="K99" s="8">
        <f>整形回答!E99</f>
        <v/>
      </c>
    </row>
    <row r="100">
      <c r="A100" s="8">
        <f>整形回答!A100</f>
        <v/>
      </c>
      <c r="B100" s="9">
        <f>整形回答!B100</f>
        <v/>
      </c>
      <c r="C100" s="9">
        <f>整形回答!C100</f>
        <v/>
      </c>
      <c r="D100" s="8">
        <f>IF(B100="","",SUMPRODUCT(--(整形回答!F100:BC100=正解キー!$B$2:$B$51)*XLOOKUP(設定!$B$11:$B$60,設定!$A$5:$A$7,設定!$B$5:$B$7)*XLOOKUP(設定!$C$11:$C$60,設定!$D$5:$D$7,設定!$E$5:$E$7)))</f>
        <v/>
      </c>
      <c r="E100" s="8">
        <f>SUMPRODUCT(XLOOKUP(設定!$B$11:$B$60,設定!$A$5:$A$7,設定!$B$5:$B$7)*XLOOKUP(設定!$C$11:$C$60,設定!$D$5:$D$7,設定!$E$5:$E$7))</f>
        <v/>
      </c>
      <c r="F100" s="10">
        <f>IF(D100="","",D100/E100*100)</f>
        <v/>
      </c>
      <c r="G100" s="10">
        <f>IF(D100="","",IF(SUMPRODUCT(--(設定!$B$11:$B$60="OS（Linux/Windows）")*XLOOKUP(設定!$B$11:$B$60,設定!$A$5:$A$7,設定!$B$5:$B$7)*XLOOKUP(設定!$C$11:$C$60,設定!$D$5:$D$7,設定!$E$5:$E$7))=0,"",SUMPRODUCT(--(設定!$B$11:$B$60="OS（Linux/Windows）")*--(整形回答!F100:BC100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0" s="10">
        <f>IF(D100="","",IF(SUMPRODUCT(--(設定!$B$11:$B$60="AWS")*XLOOKUP(設定!$B$11:$B$60,設定!$A$5:$A$7,設定!$B$5:$B$7)*XLOOKUP(設定!$C$11:$C$60,設定!$D$5:$D$7,設定!$E$5:$E$7))=0,"",SUMPRODUCT(--(設定!$B$11:$B$60="AWS")*--(整形回答!F100:BC100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0" s="10">
        <f>IF(D100="","",IF(SUMPRODUCT(--(設定!$B$11:$B$60="NW/Security")*XLOOKUP(設定!$B$11:$B$60,設定!$A$5:$A$7,設定!$B$5:$B$7)*XLOOKUP(設定!$C$11:$C$60,設定!$D$5:$D$7,設定!$E$5:$E$7))=0,"",SUMPRODUCT(--(設定!$B$11:$B$60="NW/Security")*--(整形回答!F100:BC100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0" s="8">
        <f>IF(F100="","",IF(F100&gt;=85,"即戦力",IF(F100&gt;=70,"主担当",IF(F100&gt;=55,"サポート","育成"))))</f>
        <v/>
      </c>
      <c r="K100" s="8">
        <f>整形回答!E100</f>
        <v/>
      </c>
    </row>
    <row r="101">
      <c r="A101" s="8">
        <f>整形回答!A101</f>
        <v/>
      </c>
      <c r="B101" s="9">
        <f>整形回答!B101</f>
        <v/>
      </c>
      <c r="C101" s="9">
        <f>整形回答!C101</f>
        <v/>
      </c>
      <c r="D101" s="8">
        <f>IF(B101="","",SUMPRODUCT(--(整形回答!F101:BC101=正解キー!$B$2:$B$51)*XLOOKUP(設定!$B$11:$B$60,設定!$A$5:$A$7,設定!$B$5:$B$7)*XLOOKUP(設定!$C$11:$C$60,設定!$D$5:$D$7,設定!$E$5:$E$7)))</f>
        <v/>
      </c>
      <c r="E101" s="8">
        <f>SUMPRODUCT(XLOOKUP(設定!$B$11:$B$60,設定!$A$5:$A$7,設定!$B$5:$B$7)*XLOOKUP(設定!$C$11:$C$60,設定!$D$5:$D$7,設定!$E$5:$E$7))</f>
        <v/>
      </c>
      <c r="F101" s="10">
        <f>IF(D101="","",D101/E101*100)</f>
        <v/>
      </c>
      <c r="G101" s="10">
        <f>IF(D101="","",IF(SUMPRODUCT(--(設定!$B$11:$B$60="OS（Linux/Windows）")*XLOOKUP(設定!$B$11:$B$60,設定!$A$5:$A$7,設定!$B$5:$B$7)*XLOOKUP(設定!$C$11:$C$60,設定!$D$5:$D$7,設定!$E$5:$E$7))=0,"",SUMPRODUCT(--(設定!$B$11:$B$60="OS（Linux/Windows）")*--(整形回答!F101:BC101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1" s="10">
        <f>IF(D101="","",IF(SUMPRODUCT(--(設定!$B$11:$B$60="AWS")*XLOOKUP(設定!$B$11:$B$60,設定!$A$5:$A$7,設定!$B$5:$B$7)*XLOOKUP(設定!$C$11:$C$60,設定!$D$5:$D$7,設定!$E$5:$E$7))=0,"",SUMPRODUCT(--(設定!$B$11:$B$60="AWS")*--(整形回答!F101:BC101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1" s="10">
        <f>IF(D101="","",IF(SUMPRODUCT(--(設定!$B$11:$B$60="NW/Security")*XLOOKUP(設定!$B$11:$B$60,設定!$A$5:$A$7,設定!$B$5:$B$7)*XLOOKUP(設定!$C$11:$C$60,設定!$D$5:$D$7,設定!$E$5:$E$7))=0,"",SUMPRODUCT(--(設定!$B$11:$B$60="NW/Security")*--(整形回答!F101:BC101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1" s="8">
        <f>IF(F101="","",IF(F101&gt;=85,"即戦力",IF(F101&gt;=70,"主担当",IF(F101&gt;=55,"サポート","育成"))))</f>
        <v/>
      </c>
      <c r="K101" s="8">
        <f>整形回答!E101</f>
        <v/>
      </c>
    </row>
    <row r="102">
      <c r="A102" s="8">
        <f>整形回答!A102</f>
        <v/>
      </c>
      <c r="B102" s="9">
        <f>整形回答!B102</f>
        <v/>
      </c>
      <c r="C102" s="9">
        <f>整形回答!C102</f>
        <v/>
      </c>
      <c r="D102" s="8">
        <f>IF(B102="","",SUMPRODUCT(--(整形回答!F102:BC102=正解キー!$B$2:$B$51)*XLOOKUP(設定!$B$11:$B$60,設定!$A$5:$A$7,設定!$B$5:$B$7)*XLOOKUP(設定!$C$11:$C$60,設定!$D$5:$D$7,設定!$E$5:$E$7)))</f>
        <v/>
      </c>
      <c r="E102" s="8">
        <f>SUMPRODUCT(XLOOKUP(設定!$B$11:$B$60,設定!$A$5:$A$7,設定!$B$5:$B$7)*XLOOKUP(設定!$C$11:$C$60,設定!$D$5:$D$7,設定!$E$5:$E$7))</f>
        <v/>
      </c>
      <c r="F102" s="10">
        <f>IF(D102="","",D102/E102*100)</f>
        <v/>
      </c>
      <c r="G102" s="10">
        <f>IF(D102="","",IF(SUMPRODUCT(--(設定!$B$11:$B$60="OS（Linux/Windows）")*XLOOKUP(設定!$B$11:$B$60,設定!$A$5:$A$7,設定!$B$5:$B$7)*XLOOKUP(設定!$C$11:$C$60,設定!$D$5:$D$7,設定!$E$5:$E$7))=0,"",SUMPRODUCT(--(設定!$B$11:$B$60="OS（Linux/Windows）")*--(整形回答!F102:BC102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2" s="10">
        <f>IF(D102="","",IF(SUMPRODUCT(--(設定!$B$11:$B$60="AWS")*XLOOKUP(設定!$B$11:$B$60,設定!$A$5:$A$7,設定!$B$5:$B$7)*XLOOKUP(設定!$C$11:$C$60,設定!$D$5:$D$7,設定!$E$5:$E$7))=0,"",SUMPRODUCT(--(設定!$B$11:$B$60="AWS")*--(整形回答!F102:BC102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2" s="10">
        <f>IF(D102="","",IF(SUMPRODUCT(--(設定!$B$11:$B$60="NW/Security")*XLOOKUP(設定!$B$11:$B$60,設定!$A$5:$A$7,設定!$B$5:$B$7)*XLOOKUP(設定!$C$11:$C$60,設定!$D$5:$D$7,設定!$E$5:$E$7))=0,"",SUMPRODUCT(--(設定!$B$11:$B$60="NW/Security")*--(整形回答!F102:BC102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2" s="8">
        <f>IF(F102="","",IF(F102&gt;=85,"即戦力",IF(F102&gt;=70,"主担当",IF(F102&gt;=55,"サポート","育成"))))</f>
        <v/>
      </c>
      <c r="K102" s="8">
        <f>整形回答!E102</f>
        <v/>
      </c>
    </row>
    <row r="103">
      <c r="A103" s="8">
        <f>整形回答!A103</f>
        <v/>
      </c>
      <c r="B103" s="9">
        <f>整形回答!B103</f>
        <v/>
      </c>
      <c r="C103" s="9">
        <f>整形回答!C103</f>
        <v/>
      </c>
      <c r="D103" s="8">
        <f>IF(B103="","",SUMPRODUCT(--(整形回答!F103:BC103=正解キー!$B$2:$B$51)*XLOOKUP(設定!$B$11:$B$60,設定!$A$5:$A$7,設定!$B$5:$B$7)*XLOOKUP(設定!$C$11:$C$60,設定!$D$5:$D$7,設定!$E$5:$E$7)))</f>
        <v/>
      </c>
      <c r="E103" s="8">
        <f>SUMPRODUCT(XLOOKUP(設定!$B$11:$B$60,設定!$A$5:$A$7,設定!$B$5:$B$7)*XLOOKUP(設定!$C$11:$C$60,設定!$D$5:$D$7,設定!$E$5:$E$7))</f>
        <v/>
      </c>
      <c r="F103" s="10">
        <f>IF(D103="","",D103/E103*100)</f>
        <v/>
      </c>
      <c r="G103" s="10">
        <f>IF(D103="","",IF(SUMPRODUCT(--(設定!$B$11:$B$60="OS（Linux/Windows）")*XLOOKUP(設定!$B$11:$B$60,設定!$A$5:$A$7,設定!$B$5:$B$7)*XLOOKUP(設定!$C$11:$C$60,設定!$D$5:$D$7,設定!$E$5:$E$7))=0,"",SUMPRODUCT(--(設定!$B$11:$B$60="OS（Linux/Windows）")*--(整形回答!F103:BC103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3" s="10">
        <f>IF(D103="","",IF(SUMPRODUCT(--(設定!$B$11:$B$60="AWS")*XLOOKUP(設定!$B$11:$B$60,設定!$A$5:$A$7,設定!$B$5:$B$7)*XLOOKUP(設定!$C$11:$C$60,設定!$D$5:$D$7,設定!$E$5:$E$7))=0,"",SUMPRODUCT(--(設定!$B$11:$B$60="AWS")*--(整形回答!F103:BC103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3" s="10">
        <f>IF(D103="","",IF(SUMPRODUCT(--(設定!$B$11:$B$60="NW/Security")*XLOOKUP(設定!$B$11:$B$60,設定!$A$5:$A$7,設定!$B$5:$B$7)*XLOOKUP(設定!$C$11:$C$60,設定!$D$5:$D$7,設定!$E$5:$E$7))=0,"",SUMPRODUCT(--(設定!$B$11:$B$60="NW/Security")*--(整形回答!F103:BC103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3" s="8">
        <f>IF(F103="","",IF(F103&gt;=85,"即戦力",IF(F103&gt;=70,"主担当",IF(F103&gt;=55,"サポート","育成"))))</f>
        <v/>
      </c>
      <c r="K103" s="8">
        <f>整形回答!E103</f>
        <v/>
      </c>
    </row>
    <row r="104">
      <c r="A104" s="8">
        <f>整形回答!A104</f>
        <v/>
      </c>
      <c r="B104" s="9">
        <f>整形回答!B104</f>
        <v/>
      </c>
      <c r="C104" s="9">
        <f>整形回答!C104</f>
        <v/>
      </c>
      <c r="D104" s="8">
        <f>IF(B104="","",SUMPRODUCT(--(整形回答!F104:BC104=正解キー!$B$2:$B$51)*XLOOKUP(設定!$B$11:$B$60,設定!$A$5:$A$7,設定!$B$5:$B$7)*XLOOKUP(設定!$C$11:$C$60,設定!$D$5:$D$7,設定!$E$5:$E$7)))</f>
        <v/>
      </c>
      <c r="E104" s="8">
        <f>SUMPRODUCT(XLOOKUP(設定!$B$11:$B$60,設定!$A$5:$A$7,設定!$B$5:$B$7)*XLOOKUP(設定!$C$11:$C$60,設定!$D$5:$D$7,設定!$E$5:$E$7))</f>
        <v/>
      </c>
      <c r="F104" s="10">
        <f>IF(D104="","",D104/E104*100)</f>
        <v/>
      </c>
      <c r="G104" s="10">
        <f>IF(D104="","",IF(SUMPRODUCT(--(設定!$B$11:$B$60="OS（Linux/Windows）")*XLOOKUP(設定!$B$11:$B$60,設定!$A$5:$A$7,設定!$B$5:$B$7)*XLOOKUP(設定!$C$11:$C$60,設定!$D$5:$D$7,設定!$E$5:$E$7))=0,"",SUMPRODUCT(--(設定!$B$11:$B$60="OS（Linux/Windows）")*--(整形回答!F104:BC104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4" s="10">
        <f>IF(D104="","",IF(SUMPRODUCT(--(設定!$B$11:$B$60="AWS")*XLOOKUP(設定!$B$11:$B$60,設定!$A$5:$A$7,設定!$B$5:$B$7)*XLOOKUP(設定!$C$11:$C$60,設定!$D$5:$D$7,設定!$E$5:$E$7))=0,"",SUMPRODUCT(--(設定!$B$11:$B$60="AWS")*--(整形回答!F104:BC104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4" s="10">
        <f>IF(D104="","",IF(SUMPRODUCT(--(設定!$B$11:$B$60="NW/Security")*XLOOKUP(設定!$B$11:$B$60,設定!$A$5:$A$7,設定!$B$5:$B$7)*XLOOKUP(設定!$C$11:$C$60,設定!$D$5:$D$7,設定!$E$5:$E$7))=0,"",SUMPRODUCT(--(設定!$B$11:$B$60="NW/Security")*--(整形回答!F104:BC104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4" s="8">
        <f>IF(F104="","",IF(F104&gt;=85,"即戦力",IF(F104&gt;=70,"主担当",IF(F104&gt;=55,"サポート","育成"))))</f>
        <v/>
      </c>
      <c r="K104" s="8">
        <f>整形回答!E104</f>
        <v/>
      </c>
    </row>
    <row r="105">
      <c r="A105" s="8">
        <f>整形回答!A105</f>
        <v/>
      </c>
      <c r="B105" s="9">
        <f>整形回答!B105</f>
        <v/>
      </c>
      <c r="C105" s="9">
        <f>整形回答!C105</f>
        <v/>
      </c>
      <c r="D105" s="8">
        <f>IF(B105="","",SUMPRODUCT(--(整形回答!F105:BC105=正解キー!$B$2:$B$51)*XLOOKUP(設定!$B$11:$B$60,設定!$A$5:$A$7,設定!$B$5:$B$7)*XLOOKUP(設定!$C$11:$C$60,設定!$D$5:$D$7,設定!$E$5:$E$7)))</f>
        <v/>
      </c>
      <c r="E105" s="8">
        <f>SUMPRODUCT(XLOOKUP(設定!$B$11:$B$60,設定!$A$5:$A$7,設定!$B$5:$B$7)*XLOOKUP(設定!$C$11:$C$60,設定!$D$5:$D$7,設定!$E$5:$E$7))</f>
        <v/>
      </c>
      <c r="F105" s="10">
        <f>IF(D105="","",D105/E105*100)</f>
        <v/>
      </c>
      <c r="G105" s="10">
        <f>IF(D105="","",IF(SUMPRODUCT(--(設定!$B$11:$B$60="OS（Linux/Windows）")*XLOOKUP(設定!$B$11:$B$60,設定!$A$5:$A$7,設定!$B$5:$B$7)*XLOOKUP(設定!$C$11:$C$60,設定!$D$5:$D$7,設定!$E$5:$E$7))=0,"",SUMPRODUCT(--(設定!$B$11:$B$60="OS（Linux/Windows）")*--(整形回答!F105:BC105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5" s="10">
        <f>IF(D105="","",IF(SUMPRODUCT(--(設定!$B$11:$B$60="AWS")*XLOOKUP(設定!$B$11:$B$60,設定!$A$5:$A$7,設定!$B$5:$B$7)*XLOOKUP(設定!$C$11:$C$60,設定!$D$5:$D$7,設定!$E$5:$E$7))=0,"",SUMPRODUCT(--(設定!$B$11:$B$60="AWS")*--(整形回答!F105:BC105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5" s="10">
        <f>IF(D105="","",IF(SUMPRODUCT(--(設定!$B$11:$B$60="NW/Security")*XLOOKUP(設定!$B$11:$B$60,設定!$A$5:$A$7,設定!$B$5:$B$7)*XLOOKUP(設定!$C$11:$C$60,設定!$D$5:$D$7,設定!$E$5:$E$7))=0,"",SUMPRODUCT(--(設定!$B$11:$B$60="NW/Security")*--(整形回答!F105:BC105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5" s="8">
        <f>IF(F105="","",IF(F105&gt;=85,"即戦力",IF(F105&gt;=70,"主担当",IF(F105&gt;=55,"サポート","育成"))))</f>
        <v/>
      </c>
      <c r="K105" s="8">
        <f>整形回答!E105</f>
        <v/>
      </c>
    </row>
    <row r="106">
      <c r="A106" s="8">
        <f>整形回答!A106</f>
        <v/>
      </c>
      <c r="B106" s="9">
        <f>整形回答!B106</f>
        <v/>
      </c>
      <c r="C106" s="9">
        <f>整形回答!C106</f>
        <v/>
      </c>
      <c r="D106" s="8">
        <f>IF(B106="","",SUMPRODUCT(--(整形回答!F106:BC106=正解キー!$B$2:$B$51)*XLOOKUP(設定!$B$11:$B$60,設定!$A$5:$A$7,設定!$B$5:$B$7)*XLOOKUP(設定!$C$11:$C$60,設定!$D$5:$D$7,設定!$E$5:$E$7)))</f>
        <v/>
      </c>
      <c r="E106" s="8">
        <f>SUMPRODUCT(XLOOKUP(設定!$B$11:$B$60,設定!$A$5:$A$7,設定!$B$5:$B$7)*XLOOKUP(設定!$C$11:$C$60,設定!$D$5:$D$7,設定!$E$5:$E$7))</f>
        <v/>
      </c>
      <c r="F106" s="10">
        <f>IF(D106="","",D106/E106*100)</f>
        <v/>
      </c>
      <c r="G106" s="10">
        <f>IF(D106="","",IF(SUMPRODUCT(--(設定!$B$11:$B$60="OS（Linux/Windows）")*XLOOKUP(設定!$B$11:$B$60,設定!$A$5:$A$7,設定!$B$5:$B$7)*XLOOKUP(設定!$C$11:$C$60,設定!$D$5:$D$7,設定!$E$5:$E$7))=0,"",SUMPRODUCT(--(設定!$B$11:$B$60="OS（Linux/Windows）")*--(整形回答!F106:BC106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6" s="10">
        <f>IF(D106="","",IF(SUMPRODUCT(--(設定!$B$11:$B$60="AWS")*XLOOKUP(設定!$B$11:$B$60,設定!$A$5:$A$7,設定!$B$5:$B$7)*XLOOKUP(設定!$C$11:$C$60,設定!$D$5:$D$7,設定!$E$5:$E$7))=0,"",SUMPRODUCT(--(設定!$B$11:$B$60="AWS")*--(整形回答!F106:BC106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6" s="10">
        <f>IF(D106="","",IF(SUMPRODUCT(--(設定!$B$11:$B$60="NW/Security")*XLOOKUP(設定!$B$11:$B$60,設定!$A$5:$A$7,設定!$B$5:$B$7)*XLOOKUP(設定!$C$11:$C$60,設定!$D$5:$D$7,設定!$E$5:$E$7))=0,"",SUMPRODUCT(--(設定!$B$11:$B$60="NW/Security")*--(整形回答!F106:BC106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6" s="8">
        <f>IF(F106="","",IF(F106&gt;=85,"即戦力",IF(F106&gt;=70,"主担当",IF(F106&gt;=55,"サポート","育成"))))</f>
        <v/>
      </c>
      <c r="K106" s="8">
        <f>整形回答!E106</f>
        <v/>
      </c>
    </row>
    <row r="107">
      <c r="A107" s="8">
        <f>整形回答!A107</f>
        <v/>
      </c>
      <c r="B107" s="9">
        <f>整形回答!B107</f>
        <v/>
      </c>
      <c r="C107" s="9">
        <f>整形回答!C107</f>
        <v/>
      </c>
      <c r="D107" s="8">
        <f>IF(B107="","",SUMPRODUCT(--(整形回答!F107:BC107=正解キー!$B$2:$B$51)*XLOOKUP(設定!$B$11:$B$60,設定!$A$5:$A$7,設定!$B$5:$B$7)*XLOOKUP(設定!$C$11:$C$60,設定!$D$5:$D$7,設定!$E$5:$E$7)))</f>
        <v/>
      </c>
      <c r="E107" s="8">
        <f>SUMPRODUCT(XLOOKUP(設定!$B$11:$B$60,設定!$A$5:$A$7,設定!$B$5:$B$7)*XLOOKUP(設定!$C$11:$C$60,設定!$D$5:$D$7,設定!$E$5:$E$7))</f>
        <v/>
      </c>
      <c r="F107" s="10">
        <f>IF(D107="","",D107/E107*100)</f>
        <v/>
      </c>
      <c r="G107" s="10">
        <f>IF(D107="","",IF(SUMPRODUCT(--(設定!$B$11:$B$60="OS（Linux/Windows）")*XLOOKUP(設定!$B$11:$B$60,設定!$A$5:$A$7,設定!$B$5:$B$7)*XLOOKUP(設定!$C$11:$C$60,設定!$D$5:$D$7,設定!$E$5:$E$7))=0,"",SUMPRODUCT(--(設定!$B$11:$B$60="OS（Linux/Windows）")*--(整形回答!F107:BC107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7" s="10">
        <f>IF(D107="","",IF(SUMPRODUCT(--(設定!$B$11:$B$60="AWS")*XLOOKUP(設定!$B$11:$B$60,設定!$A$5:$A$7,設定!$B$5:$B$7)*XLOOKUP(設定!$C$11:$C$60,設定!$D$5:$D$7,設定!$E$5:$E$7))=0,"",SUMPRODUCT(--(設定!$B$11:$B$60="AWS")*--(整形回答!F107:BC107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7" s="10">
        <f>IF(D107="","",IF(SUMPRODUCT(--(設定!$B$11:$B$60="NW/Security")*XLOOKUP(設定!$B$11:$B$60,設定!$A$5:$A$7,設定!$B$5:$B$7)*XLOOKUP(設定!$C$11:$C$60,設定!$D$5:$D$7,設定!$E$5:$E$7))=0,"",SUMPRODUCT(--(設定!$B$11:$B$60="NW/Security")*--(整形回答!F107:BC107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7" s="8">
        <f>IF(F107="","",IF(F107&gt;=85,"即戦力",IF(F107&gt;=70,"主担当",IF(F107&gt;=55,"サポート","育成"))))</f>
        <v/>
      </c>
      <c r="K107" s="8">
        <f>整形回答!E107</f>
        <v/>
      </c>
    </row>
    <row r="108">
      <c r="A108" s="8">
        <f>整形回答!A108</f>
        <v/>
      </c>
      <c r="B108" s="9">
        <f>整形回答!B108</f>
        <v/>
      </c>
      <c r="C108" s="9">
        <f>整形回答!C108</f>
        <v/>
      </c>
      <c r="D108" s="8">
        <f>IF(B108="","",SUMPRODUCT(--(整形回答!F108:BC108=正解キー!$B$2:$B$51)*XLOOKUP(設定!$B$11:$B$60,設定!$A$5:$A$7,設定!$B$5:$B$7)*XLOOKUP(設定!$C$11:$C$60,設定!$D$5:$D$7,設定!$E$5:$E$7)))</f>
        <v/>
      </c>
      <c r="E108" s="8">
        <f>SUMPRODUCT(XLOOKUP(設定!$B$11:$B$60,設定!$A$5:$A$7,設定!$B$5:$B$7)*XLOOKUP(設定!$C$11:$C$60,設定!$D$5:$D$7,設定!$E$5:$E$7))</f>
        <v/>
      </c>
      <c r="F108" s="10">
        <f>IF(D108="","",D108/E108*100)</f>
        <v/>
      </c>
      <c r="G108" s="10">
        <f>IF(D108="","",IF(SUMPRODUCT(--(設定!$B$11:$B$60="OS（Linux/Windows）")*XLOOKUP(設定!$B$11:$B$60,設定!$A$5:$A$7,設定!$B$5:$B$7)*XLOOKUP(設定!$C$11:$C$60,設定!$D$5:$D$7,設定!$E$5:$E$7))=0,"",SUMPRODUCT(--(設定!$B$11:$B$60="OS（Linux/Windows）")*--(整形回答!F108:BC108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8" s="10">
        <f>IF(D108="","",IF(SUMPRODUCT(--(設定!$B$11:$B$60="AWS")*XLOOKUP(設定!$B$11:$B$60,設定!$A$5:$A$7,設定!$B$5:$B$7)*XLOOKUP(設定!$C$11:$C$60,設定!$D$5:$D$7,設定!$E$5:$E$7))=0,"",SUMPRODUCT(--(設定!$B$11:$B$60="AWS")*--(整形回答!F108:BC108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8" s="10">
        <f>IF(D108="","",IF(SUMPRODUCT(--(設定!$B$11:$B$60="NW/Security")*XLOOKUP(設定!$B$11:$B$60,設定!$A$5:$A$7,設定!$B$5:$B$7)*XLOOKUP(設定!$C$11:$C$60,設定!$D$5:$D$7,設定!$E$5:$E$7))=0,"",SUMPRODUCT(--(設定!$B$11:$B$60="NW/Security")*--(整形回答!F108:BC108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8" s="8">
        <f>IF(F108="","",IF(F108&gt;=85,"即戦力",IF(F108&gt;=70,"主担当",IF(F108&gt;=55,"サポート","育成"))))</f>
        <v/>
      </c>
      <c r="K108" s="8">
        <f>整形回答!E108</f>
        <v/>
      </c>
    </row>
    <row r="109">
      <c r="A109" s="8">
        <f>整形回答!A109</f>
        <v/>
      </c>
      <c r="B109" s="9">
        <f>整形回答!B109</f>
        <v/>
      </c>
      <c r="C109" s="9">
        <f>整形回答!C109</f>
        <v/>
      </c>
      <c r="D109" s="8">
        <f>IF(B109="","",SUMPRODUCT(--(整形回答!F109:BC109=正解キー!$B$2:$B$51)*XLOOKUP(設定!$B$11:$B$60,設定!$A$5:$A$7,設定!$B$5:$B$7)*XLOOKUP(設定!$C$11:$C$60,設定!$D$5:$D$7,設定!$E$5:$E$7)))</f>
        <v/>
      </c>
      <c r="E109" s="8">
        <f>SUMPRODUCT(XLOOKUP(設定!$B$11:$B$60,設定!$A$5:$A$7,設定!$B$5:$B$7)*XLOOKUP(設定!$C$11:$C$60,設定!$D$5:$D$7,設定!$E$5:$E$7))</f>
        <v/>
      </c>
      <c r="F109" s="10">
        <f>IF(D109="","",D109/E109*100)</f>
        <v/>
      </c>
      <c r="G109" s="10">
        <f>IF(D109="","",IF(SUMPRODUCT(--(設定!$B$11:$B$60="OS（Linux/Windows）")*XLOOKUP(設定!$B$11:$B$60,設定!$A$5:$A$7,設定!$B$5:$B$7)*XLOOKUP(設定!$C$11:$C$60,設定!$D$5:$D$7,設定!$E$5:$E$7))=0,"",SUMPRODUCT(--(設定!$B$11:$B$60="OS（Linux/Windows）")*--(整形回答!F109:BC109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09" s="10">
        <f>IF(D109="","",IF(SUMPRODUCT(--(設定!$B$11:$B$60="AWS")*XLOOKUP(設定!$B$11:$B$60,設定!$A$5:$A$7,設定!$B$5:$B$7)*XLOOKUP(設定!$C$11:$C$60,設定!$D$5:$D$7,設定!$E$5:$E$7))=0,"",SUMPRODUCT(--(設定!$B$11:$B$60="AWS")*--(整形回答!F109:BC109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09" s="10">
        <f>IF(D109="","",IF(SUMPRODUCT(--(設定!$B$11:$B$60="NW/Security")*XLOOKUP(設定!$B$11:$B$60,設定!$A$5:$A$7,設定!$B$5:$B$7)*XLOOKUP(設定!$C$11:$C$60,設定!$D$5:$D$7,設定!$E$5:$E$7))=0,"",SUMPRODUCT(--(設定!$B$11:$B$60="NW/Security")*--(整形回答!F109:BC109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09" s="8">
        <f>IF(F109="","",IF(F109&gt;=85,"即戦力",IF(F109&gt;=70,"主担当",IF(F109&gt;=55,"サポート","育成"))))</f>
        <v/>
      </c>
      <c r="K109" s="8">
        <f>整形回答!E109</f>
        <v/>
      </c>
    </row>
    <row r="110">
      <c r="A110" s="8">
        <f>整形回答!A110</f>
        <v/>
      </c>
      <c r="B110" s="9">
        <f>整形回答!B110</f>
        <v/>
      </c>
      <c r="C110" s="9">
        <f>整形回答!C110</f>
        <v/>
      </c>
      <c r="D110" s="8">
        <f>IF(B110="","",SUMPRODUCT(--(整形回答!F110:BC110=正解キー!$B$2:$B$51)*XLOOKUP(設定!$B$11:$B$60,設定!$A$5:$A$7,設定!$B$5:$B$7)*XLOOKUP(設定!$C$11:$C$60,設定!$D$5:$D$7,設定!$E$5:$E$7)))</f>
        <v/>
      </c>
      <c r="E110" s="8">
        <f>SUMPRODUCT(XLOOKUP(設定!$B$11:$B$60,設定!$A$5:$A$7,設定!$B$5:$B$7)*XLOOKUP(設定!$C$11:$C$60,設定!$D$5:$D$7,設定!$E$5:$E$7))</f>
        <v/>
      </c>
      <c r="F110" s="10">
        <f>IF(D110="","",D110/E110*100)</f>
        <v/>
      </c>
      <c r="G110" s="10">
        <f>IF(D110="","",IF(SUMPRODUCT(--(設定!$B$11:$B$60="OS（Linux/Windows）")*XLOOKUP(設定!$B$11:$B$60,設定!$A$5:$A$7,設定!$B$5:$B$7)*XLOOKUP(設定!$C$11:$C$60,設定!$D$5:$D$7,設定!$E$5:$E$7))=0,"",SUMPRODUCT(--(設定!$B$11:$B$60="OS（Linux/Windows）")*--(整形回答!F110:BC110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0" s="10">
        <f>IF(D110="","",IF(SUMPRODUCT(--(設定!$B$11:$B$60="AWS")*XLOOKUP(設定!$B$11:$B$60,設定!$A$5:$A$7,設定!$B$5:$B$7)*XLOOKUP(設定!$C$11:$C$60,設定!$D$5:$D$7,設定!$E$5:$E$7))=0,"",SUMPRODUCT(--(設定!$B$11:$B$60="AWS")*--(整形回答!F110:BC110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0" s="10">
        <f>IF(D110="","",IF(SUMPRODUCT(--(設定!$B$11:$B$60="NW/Security")*XLOOKUP(設定!$B$11:$B$60,設定!$A$5:$A$7,設定!$B$5:$B$7)*XLOOKUP(設定!$C$11:$C$60,設定!$D$5:$D$7,設定!$E$5:$E$7))=0,"",SUMPRODUCT(--(設定!$B$11:$B$60="NW/Security")*--(整形回答!F110:BC110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0" s="8">
        <f>IF(F110="","",IF(F110&gt;=85,"即戦力",IF(F110&gt;=70,"主担当",IF(F110&gt;=55,"サポート","育成"))))</f>
        <v/>
      </c>
      <c r="K110" s="8">
        <f>整形回答!E110</f>
        <v/>
      </c>
    </row>
    <row r="111">
      <c r="A111" s="8">
        <f>整形回答!A111</f>
        <v/>
      </c>
      <c r="B111" s="9">
        <f>整形回答!B111</f>
        <v/>
      </c>
      <c r="C111" s="9">
        <f>整形回答!C111</f>
        <v/>
      </c>
      <c r="D111" s="8">
        <f>IF(B111="","",SUMPRODUCT(--(整形回答!F111:BC111=正解キー!$B$2:$B$51)*XLOOKUP(設定!$B$11:$B$60,設定!$A$5:$A$7,設定!$B$5:$B$7)*XLOOKUP(設定!$C$11:$C$60,設定!$D$5:$D$7,設定!$E$5:$E$7)))</f>
        <v/>
      </c>
      <c r="E111" s="8">
        <f>SUMPRODUCT(XLOOKUP(設定!$B$11:$B$60,設定!$A$5:$A$7,設定!$B$5:$B$7)*XLOOKUP(設定!$C$11:$C$60,設定!$D$5:$D$7,設定!$E$5:$E$7))</f>
        <v/>
      </c>
      <c r="F111" s="10">
        <f>IF(D111="","",D111/E111*100)</f>
        <v/>
      </c>
      <c r="G111" s="10">
        <f>IF(D111="","",IF(SUMPRODUCT(--(設定!$B$11:$B$60="OS（Linux/Windows）")*XLOOKUP(設定!$B$11:$B$60,設定!$A$5:$A$7,設定!$B$5:$B$7)*XLOOKUP(設定!$C$11:$C$60,設定!$D$5:$D$7,設定!$E$5:$E$7))=0,"",SUMPRODUCT(--(設定!$B$11:$B$60="OS（Linux/Windows）")*--(整形回答!F111:BC111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1" s="10">
        <f>IF(D111="","",IF(SUMPRODUCT(--(設定!$B$11:$B$60="AWS")*XLOOKUP(設定!$B$11:$B$60,設定!$A$5:$A$7,設定!$B$5:$B$7)*XLOOKUP(設定!$C$11:$C$60,設定!$D$5:$D$7,設定!$E$5:$E$7))=0,"",SUMPRODUCT(--(設定!$B$11:$B$60="AWS")*--(整形回答!F111:BC111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1" s="10">
        <f>IF(D111="","",IF(SUMPRODUCT(--(設定!$B$11:$B$60="NW/Security")*XLOOKUP(設定!$B$11:$B$60,設定!$A$5:$A$7,設定!$B$5:$B$7)*XLOOKUP(設定!$C$11:$C$60,設定!$D$5:$D$7,設定!$E$5:$E$7))=0,"",SUMPRODUCT(--(設定!$B$11:$B$60="NW/Security")*--(整形回答!F111:BC111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1" s="8">
        <f>IF(F111="","",IF(F111&gt;=85,"即戦力",IF(F111&gt;=70,"主担当",IF(F111&gt;=55,"サポート","育成"))))</f>
        <v/>
      </c>
      <c r="K111" s="8">
        <f>整形回答!E111</f>
        <v/>
      </c>
    </row>
    <row r="112">
      <c r="A112" s="8">
        <f>整形回答!A112</f>
        <v/>
      </c>
      <c r="B112" s="9">
        <f>整形回答!B112</f>
        <v/>
      </c>
      <c r="C112" s="9">
        <f>整形回答!C112</f>
        <v/>
      </c>
      <c r="D112" s="8">
        <f>IF(B112="","",SUMPRODUCT(--(整形回答!F112:BC112=正解キー!$B$2:$B$51)*XLOOKUP(設定!$B$11:$B$60,設定!$A$5:$A$7,設定!$B$5:$B$7)*XLOOKUP(設定!$C$11:$C$60,設定!$D$5:$D$7,設定!$E$5:$E$7)))</f>
        <v/>
      </c>
      <c r="E112" s="8">
        <f>SUMPRODUCT(XLOOKUP(設定!$B$11:$B$60,設定!$A$5:$A$7,設定!$B$5:$B$7)*XLOOKUP(設定!$C$11:$C$60,設定!$D$5:$D$7,設定!$E$5:$E$7))</f>
        <v/>
      </c>
      <c r="F112" s="10">
        <f>IF(D112="","",D112/E112*100)</f>
        <v/>
      </c>
      <c r="G112" s="10">
        <f>IF(D112="","",IF(SUMPRODUCT(--(設定!$B$11:$B$60="OS（Linux/Windows）")*XLOOKUP(設定!$B$11:$B$60,設定!$A$5:$A$7,設定!$B$5:$B$7)*XLOOKUP(設定!$C$11:$C$60,設定!$D$5:$D$7,設定!$E$5:$E$7))=0,"",SUMPRODUCT(--(設定!$B$11:$B$60="OS（Linux/Windows）")*--(整形回答!F112:BC112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2" s="10">
        <f>IF(D112="","",IF(SUMPRODUCT(--(設定!$B$11:$B$60="AWS")*XLOOKUP(設定!$B$11:$B$60,設定!$A$5:$A$7,設定!$B$5:$B$7)*XLOOKUP(設定!$C$11:$C$60,設定!$D$5:$D$7,設定!$E$5:$E$7))=0,"",SUMPRODUCT(--(設定!$B$11:$B$60="AWS")*--(整形回答!F112:BC112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2" s="10">
        <f>IF(D112="","",IF(SUMPRODUCT(--(設定!$B$11:$B$60="NW/Security")*XLOOKUP(設定!$B$11:$B$60,設定!$A$5:$A$7,設定!$B$5:$B$7)*XLOOKUP(設定!$C$11:$C$60,設定!$D$5:$D$7,設定!$E$5:$E$7))=0,"",SUMPRODUCT(--(設定!$B$11:$B$60="NW/Security")*--(整形回答!F112:BC112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2" s="8">
        <f>IF(F112="","",IF(F112&gt;=85,"即戦力",IF(F112&gt;=70,"主担当",IF(F112&gt;=55,"サポート","育成"))))</f>
        <v/>
      </c>
      <c r="K112" s="8">
        <f>整形回答!E112</f>
        <v/>
      </c>
    </row>
    <row r="113">
      <c r="A113" s="8">
        <f>整形回答!A113</f>
        <v/>
      </c>
      <c r="B113" s="9">
        <f>整形回答!B113</f>
        <v/>
      </c>
      <c r="C113" s="9">
        <f>整形回答!C113</f>
        <v/>
      </c>
      <c r="D113" s="8">
        <f>IF(B113="","",SUMPRODUCT(--(整形回答!F113:BC113=正解キー!$B$2:$B$51)*XLOOKUP(設定!$B$11:$B$60,設定!$A$5:$A$7,設定!$B$5:$B$7)*XLOOKUP(設定!$C$11:$C$60,設定!$D$5:$D$7,設定!$E$5:$E$7)))</f>
        <v/>
      </c>
      <c r="E113" s="8">
        <f>SUMPRODUCT(XLOOKUP(設定!$B$11:$B$60,設定!$A$5:$A$7,設定!$B$5:$B$7)*XLOOKUP(設定!$C$11:$C$60,設定!$D$5:$D$7,設定!$E$5:$E$7))</f>
        <v/>
      </c>
      <c r="F113" s="10">
        <f>IF(D113="","",D113/E113*100)</f>
        <v/>
      </c>
      <c r="G113" s="10">
        <f>IF(D113="","",IF(SUMPRODUCT(--(設定!$B$11:$B$60="OS（Linux/Windows）")*XLOOKUP(設定!$B$11:$B$60,設定!$A$5:$A$7,設定!$B$5:$B$7)*XLOOKUP(設定!$C$11:$C$60,設定!$D$5:$D$7,設定!$E$5:$E$7))=0,"",SUMPRODUCT(--(設定!$B$11:$B$60="OS（Linux/Windows）")*--(整形回答!F113:BC113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3" s="10">
        <f>IF(D113="","",IF(SUMPRODUCT(--(設定!$B$11:$B$60="AWS")*XLOOKUP(設定!$B$11:$B$60,設定!$A$5:$A$7,設定!$B$5:$B$7)*XLOOKUP(設定!$C$11:$C$60,設定!$D$5:$D$7,設定!$E$5:$E$7))=0,"",SUMPRODUCT(--(設定!$B$11:$B$60="AWS")*--(整形回答!F113:BC113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3" s="10">
        <f>IF(D113="","",IF(SUMPRODUCT(--(設定!$B$11:$B$60="NW/Security")*XLOOKUP(設定!$B$11:$B$60,設定!$A$5:$A$7,設定!$B$5:$B$7)*XLOOKUP(設定!$C$11:$C$60,設定!$D$5:$D$7,設定!$E$5:$E$7))=0,"",SUMPRODUCT(--(設定!$B$11:$B$60="NW/Security")*--(整形回答!F113:BC113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3" s="8">
        <f>IF(F113="","",IF(F113&gt;=85,"即戦力",IF(F113&gt;=70,"主担当",IF(F113&gt;=55,"サポート","育成"))))</f>
        <v/>
      </c>
      <c r="K113" s="8">
        <f>整形回答!E113</f>
        <v/>
      </c>
    </row>
    <row r="114">
      <c r="A114" s="8">
        <f>整形回答!A114</f>
        <v/>
      </c>
      <c r="B114" s="9">
        <f>整形回答!B114</f>
        <v/>
      </c>
      <c r="C114" s="9">
        <f>整形回答!C114</f>
        <v/>
      </c>
      <c r="D114" s="8">
        <f>IF(B114="","",SUMPRODUCT(--(整形回答!F114:BC114=正解キー!$B$2:$B$51)*XLOOKUP(設定!$B$11:$B$60,設定!$A$5:$A$7,設定!$B$5:$B$7)*XLOOKUP(設定!$C$11:$C$60,設定!$D$5:$D$7,設定!$E$5:$E$7)))</f>
        <v/>
      </c>
      <c r="E114" s="8">
        <f>SUMPRODUCT(XLOOKUP(設定!$B$11:$B$60,設定!$A$5:$A$7,設定!$B$5:$B$7)*XLOOKUP(設定!$C$11:$C$60,設定!$D$5:$D$7,設定!$E$5:$E$7))</f>
        <v/>
      </c>
      <c r="F114" s="10">
        <f>IF(D114="","",D114/E114*100)</f>
        <v/>
      </c>
      <c r="G114" s="10">
        <f>IF(D114="","",IF(SUMPRODUCT(--(設定!$B$11:$B$60="OS（Linux/Windows）")*XLOOKUP(設定!$B$11:$B$60,設定!$A$5:$A$7,設定!$B$5:$B$7)*XLOOKUP(設定!$C$11:$C$60,設定!$D$5:$D$7,設定!$E$5:$E$7))=0,"",SUMPRODUCT(--(設定!$B$11:$B$60="OS（Linux/Windows）")*--(整形回答!F114:BC114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4" s="10">
        <f>IF(D114="","",IF(SUMPRODUCT(--(設定!$B$11:$B$60="AWS")*XLOOKUP(設定!$B$11:$B$60,設定!$A$5:$A$7,設定!$B$5:$B$7)*XLOOKUP(設定!$C$11:$C$60,設定!$D$5:$D$7,設定!$E$5:$E$7))=0,"",SUMPRODUCT(--(設定!$B$11:$B$60="AWS")*--(整形回答!F114:BC114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4" s="10">
        <f>IF(D114="","",IF(SUMPRODUCT(--(設定!$B$11:$B$60="NW/Security")*XLOOKUP(設定!$B$11:$B$60,設定!$A$5:$A$7,設定!$B$5:$B$7)*XLOOKUP(設定!$C$11:$C$60,設定!$D$5:$D$7,設定!$E$5:$E$7))=0,"",SUMPRODUCT(--(設定!$B$11:$B$60="NW/Security")*--(整形回答!F114:BC114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4" s="8">
        <f>IF(F114="","",IF(F114&gt;=85,"即戦力",IF(F114&gt;=70,"主担当",IF(F114&gt;=55,"サポート","育成"))))</f>
        <v/>
      </c>
      <c r="K114" s="8">
        <f>整形回答!E114</f>
        <v/>
      </c>
    </row>
    <row r="115">
      <c r="A115" s="8">
        <f>整形回答!A115</f>
        <v/>
      </c>
      <c r="B115" s="9">
        <f>整形回答!B115</f>
        <v/>
      </c>
      <c r="C115" s="9">
        <f>整形回答!C115</f>
        <v/>
      </c>
      <c r="D115" s="8">
        <f>IF(B115="","",SUMPRODUCT(--(整形回答!F115:BC115=正解キー!$B$2:$B$51)*XLOOKUP(設定!$B$11:$B$60,設定!$A$5:$A$7,設定!$B$5:$B$7)*XLOOKUP(設定!$C$11:$C$60,設定!$D$5:$D$7,設定!$E$5:$E$7)))</f>
        <v/>
      </c>
      <c r="E115" s="8">
        <f>SUMPRODUCT(XLOOKUP(設定!$B$11:$B$60,設定!$A$5:$A$7,設定!$B$5:$B$7)*XLOOKUP(設定!$C$11:$C$60,設定!$D$5:$D$7,設定!$E$5:$E$7))</f>
        <v/>
      </c>
      <c r="F115" s="10">
        <f>IF(D115="","",D115/E115*100)</f>
        <v/>
      </c>
      <c r="G115" s="10">
        <f>IF(D115="","",IF(SUMPRODUCT(--(設定!$B$11:$B$60="OS（Linux/Windows）")*XLOOKUP(設定!$B$11:$B$60,設定!$A$5:$A$7,設定!$B$5:$B$7)*XLOOKUP(設定!$C$11:$C$60,設定!$D$5:$D$7,設定!$E$5:$E$7))=0,"",SUMPRODUCT(--(設定!$B$11:$B$60="OS（Linux/Windows）")*--(整形回答!F115:BC115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5" s="10">
        <f>IF(D115="","",IF(SUMPRODUCT(--(設定!$B$11:$B$60="AWS")*XLOOKUP(設定!$B$11:$B$60,設定!$A$5:$A$7,設定!$B$5:$B$7)*XLOOKUP(設定!$C$11:$C$60,設定!$D$5:$D$7,設定!$E$5:$E$7))=0,"",SUMPRODUCT(--(設定!$B$11:$B$60="AWS")*--(整形回答!F115:BC115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5" s="10">
        <f>IF(D115="","",IF(SUMPRODUCT(--(設定!$B$11:$B$60="NW/Security")*XLOOKUP(設定!$B$11:$B$60,設定!$A$5:$A$7,設定!$B$5:$B$7)*XLOOKUP(設定!$C$11:$C$60,設定!$D$5:$D$7,設定!$E$5:$E$7))=0,"",SUMPRODUCT(--(設定!$B$11:$B$60="NW/Security")*--(整形回答!F115:BC115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5" s="8">
        <f>IF(F115="","",IF(F115&gt;=85,"即戦力",IF(F115&gt;=70,"主担当",IF(F115&gt;=55,"サポート","育成"))))</f>
        <v/>
      </c>
      <c r="K115" s="8">
        <f>整形回答!E115</f>
        <v/>
      </c>
    </row>
    <row r="116">
      <c r="A116" s="8">
        <f>整形回答!A116</f>
        <v/>
      </c>
      <c r="B116" s="9">
        <f>整形回答!B116</f>
        <v/>
      </c>
      <c r="C116" s="9">
        <f>整形回答!C116</f>
        <v/>
      </c>
      <c r="D116" s="8">
        <f>IF(B116="","",SUMPRODUCT(--(整形回答!F116:BC116=正解キー!$B$2:$B$51)*XLOOKUP(設定!$B$11:$B$60,設定!$A$5:$A$7,設定!$B$5:$B$7)*XLOOKUP(設定!$C$11:$C$60,設定!$D$5:$D$7,設定!$E$5:$E$7)))</f>
        <v/>
      </c>
      <c r="E116" s="8">
        <f>SUMPRODUCT(XLOOKUP(設定!$B$11:$B$60,設定!$A$5:$A$7,設定!$B$5:$B$7)*XLOOKUP(設定!$C$11:$C$60,設定!$D$5:$D$7,設定!$E$5:$E$7))</f>
        <v/>
      </c>
      <c r="F116" s="10">
        <f>IF(D116="","",D116/E116*100)</f>
        <v/>
      </c>
      <c r="G116" s="10">
        <f>IF(D116="","",IF(SUMPRODUCT(--(設定!$B$11:$B$60="OS（Linux/Windows）")*XLOOKUP(設定!$B$11:$B$60,設定!$A$5:$A$7,設定!$B$5:$B$7)*XLOOKUP(設定!$C$11:$C$60,設定!$D$5:$D$7,設定!$E$5:$E$7))=0,"",SUMPRODUCT(--(設定!$B$11:$B$60="OS（Linux/Windows）")*--(整形回答!F116:BC116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6" s="10">
        <f>IF(D116="","",IF(SUMPRODUCT(--(設定!$B$11:$B$60="AWS")*XLOOKUP(設定!$B$11:$B$60,設定!$A$5:$A$7,設定!$B$5:$B$7)*XLOOKUP(設定!$C$11:$C$60,設定!$D$5:$D$7,設定!$E$5:$E$7))=0,"",SUMPRODUCT(--(設定!$B$11:$B$60="AWS")*--(整形回答!F116:BC116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6" s="10">
        <f>IF(D116="","",IF(SUMPRODUCT(--(設定!$B$11:$B$60="NW/Security")*XLOOKUP(設定!$B$11:$B$60,設定!$A$5:$A$7,設定!$B$5:$B$7)*XLOOKUP(設定!$C$11:$C$60,設定!$D$5:$D$7,設定!$E$5:$E$7))=0,"",SUMPRODUCT(--(設定!$B$11:$B$60="NW/Security")*--(整形回答!F116:BC116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6" s="8">
        <f>IF(F116="","",IF(F116&gt;=85,"即戦力",IF(F116&gt;=70,"主担当",IF(F116&gt;=55,"サポート","育成"))))</f>
        <v/>
      </c>
      <c r="K116" s="8">
        <f>整形回答!E116</f>
        <v/>
      </c>
    </row>
    <row r="117">
      <c r="A117" s="8">
        <f>整形回答!A117</f>
        <v/>
      </c>
      <c r="B117" s="9">
        <f>整形回答!B117</f>
        <v/>
      </c>
      <c r="C117" s="9">
        <f>整形回答!C117</f>
        <v/>
      </c>
      <c r="D117" s="8">
        <f>IF(B117="","",SUMPRODUCT(--(整形回答!F117:BC117=正解キー!$B$2:$B$51)*XLOOKUP(設定!$B$11:$B$60,設定!$A$5:$A$7,設定!$B$5:$B$7)*XLOOKUP(設定!$C$11:$C$60,設定!$D$5:$D$7,設定!$E$5:$E$7)))</f>
        <v/>
      </c>
      <c r="E117" s="8">
        <f>SUMPRODUCT(XLOOKUP(設定!$B$11:$B$60,設定!$A$5:$A$7,設定!$B$5:$B$7)*XLOOKUP(設定!$C$11:$C$60,設定!$D$5:$D$7,設定!$E$5:$E$7))</f>
        <v/>
      </c>
      <c r="F117" s="10">
        <f>IF(D117="","",D117/E117*100)</f>
        <v/>
      </c>
      <c r="G117" s="10">
        <f>IF(D117="","",IF(SUMPRODUCT(--(設定!$B$11:$B$60="OS（Linux/Windows）")*XLOOKUP(設定!$B$11:$B$60,設定!$A$5:$A$7,設定!$B$5:$B$7)*XLOOKUP(設定!$C$11:$C$60,設定!$D$5:$D$7,設定!$E$5:$E$7))=0,"",SUMPRODUCT(--(設定!$B$11:$B$60="OS（Linux/Windows）")*--(整形回答!F117:BC117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7" s="10">
        <f>IF(D117="","",IF(SUMPRODUCT(--(設定!$B$11:$B$60="AWS")*XLOOKUP(設定!$B$11:$B$60,設定!$A$5:$A$7,設定!$B$5:$B$7)*XLOOKUP(設定!$C$11:$C$60,設定!$D$5:$D$7,設定!$E$5:$E$7))=0,"",SUMPRODUCT(--(設定!$B$11:$B$60="AWS")*--(整形回答!F117:BC117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7" s="10">
        <f>IF(D117="","",IF(SUMPRODUCT(--(設定!$B$11:$B$60="NW/Security")*XLOOKUP(設定!$B$11:$B$60,設定!$A$5:$A$7,設定!$B$5:$B$7)*XLOOKUP(設定!$C$11:$C$60,設定!$D$5:$D$7,設定!$E$5:$E$7))=0,"",SUMPRODUCT(--(設定!$B$11:$B$60="NW/Security")*--(整形回答!F117:BC117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7" s="8">
        <f>IF(F117="","",IF(F117&gt;=85,"即戦力",IF(F117&gt;=70,"主担当",IF(F117&gt;=55,"サポート","育成"))))</f>
        <v/>
      </c>
      <c r="K117" s="8">
        <f>整形回答!E117</f>
        <v/>
      </c>
    </row>
    <row r="118">
      <c r="A118" s="8">
        <f>整形回答!A118</f>
        <v/>
      </c>
      <c r="B118" s="9">
        <f>整形回答!B118</f>
        <v/>
      </c>
      <c r="C118" s="9">
        <f>整形回答!C118</f>
        <v/>
      </c>
      <c r="D118" s="8">
        <f>IF(B118="","",SUMPRODUCT(--(整形回答!F118:BC118=正解キー!$B$2:$B$51)*XLOOKUP(設定!$B$11:$B$60,設定!$A$5:$A$7,設定!$B$5:$B$7)*XLOOKUP(設定!$C$11:$C$60,設定!$D$5:$D$7,設定!$E$5:$E$7)))</f>
        <v/>
      </c>
      <c r="E118" s="8">
        <f>SUMPRODUCT(XLOOKUP(設定!$B$11:$B$60,設定!$A$5:$A$7,設定!$B$5:$B$7)*XLOOKUP(設定!$C$11:$C$60,設定!$D$5:$D$7,設定!$E$5:$E$7))</f>
        <v/>
      </c>
      <c r="F118" s="10">
        <f>IF(D118="","",D118/E118*100)</f>
        <v/>
      </c>
      <c r="G118" s="10">
        <f>IF(D118="","",IF(SUMPRODUCT(--(設定!$B$11:$B$60="OS（Linux/Windows）")*XLOOKUP(設定!$B$11:$B$60,設定!$A$5:$A$7,設定!$B$5:$B$7)*XLOOKUP(設定!$C$11:$C$60,設定!$D$5:$D$7,設定!$E$5:$E$7))=0,"",SUMPRODUCT(--(設定!$B$11:$B$60="OS（Linux/Windows）")*--(整形回答!F118:BC118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8" s="10">
        <f>IF(D118="","",IF(SUMPRODUCT(--(設定!$B$11:$B$60="AWS")*XLOOKUP(設定!$B$11:$B$60,設定!$A$5:$A$7,設定!$B$5:$B$7)*XLOOKUP(設定!$C$11:$C$60,設定!$D$5:$D$7,設定!$E$5:$E$7))=0,"",SUMPRODUCT(--(設定!$B$11:$B$60="AWS")*--(整形回答!F118:BC118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8" s="10">
        <f>IF(D118="","",IF(SUMPRODUCT(--(設定!$B$11:$B$60="NW/Security")*XLOOKUP(設定!$B$11:$B$60,設定!$A$5:$A$7,設定!$B$5:$B$7)*XLOOKUP(設定!$C$11:$C$60,設定!$D$5:$D$7,設定!$E$5:$E$7))=0,"",SUMPRODUCT(--(設定!$B$11:$B$60="NW/Security")*--(整形回答!F118:BC118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8" s="8">
        <f>IF(F118="","",IF(F118&gt;=85,"即戦力",IF(F118&gt;=70,"主担当",IF(F118&gt;=55,"サポート","育成"))))</f>
        <v/>
      </c>
      <c r="K118" s="8">
        <f>整形回答!E118</f>
        <v/>
      </c>
    </row>
    <row r="119">
      <c r="A119" s="8">
        <f>整形回答!A119</f>
        <v/>
      </c>
      <c r="B119" s="9">
        <f>整形回答!B119</f>
        <v/>
      </c>
      <c r="C119" s="9">
        <f>整形回答!C119</f>
        <v/>
      </c>
      <c r="D119" s="8">
        <f>IF(B119="","",SUMPRODUCT(--(整形回答!F119:BC119=正解キー!$B$2:$B$51)*XLOOKUP(設定!$B$11:$B$60,設定!$A$5:$A$7,設定!$B$5:$B$7)*XLOOKUP(設定!$C$11:$C$60,設定!$D$5:$D$7,設定!$E$5:$E$7)))</f>
        <v/>
      </c>
      <c r="E119" s="8">
        <f>SUMPRODUCT(XLOOKUP(設定!$B$11:$B$60,設定!$A$5:$A$7,設定!$B$5:$B$7)*XLOOKUP(設定!$C$11:$C$60,設定!$D$5:$D$7,設定!$E$5:$E$7))</f>
        <v/>
      </c>
      <c r="F119" s="10">
        <f>IF(D119="","",D119/E119*100)</f>
        <v/>
      </c>
      <c r="G119" s="10">
        <f>IF(D119="","",IF(SUMPRODUCT(--(設定!$B$11:$B$60="OS（Linux/Windows）")*XLOOKUP(設定!$B$11:$B$60,設定!$A$5:$A$7,設定!$B$5:$B$7)*XLOOKUP(設定!$C$11:$C$60,設定!$D$5:$D$7,設定!$E$5:$E$7))=0,"",SUMPRODUCT(--(設定!$B$11:$B$60="OS（Linux/Windows）")*--(整形回答!F119:BC119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19" s="10">
        <f>IF(D119="","",IF(SUMPRODUCT(--(設定!$B$11:$B$60="AWS")*XLOOKUP(設定!$B$11:$B$60,設定!$A$5:$A$7,設定!$B$5:$B$7)*XLOOKUP(設定!$C$11:$C$60,設定!$D$5:$D$7,設定!$E$5:$E$7))=0,"",SUMPRODUCT(--(設定!$B$11:$B$60="AWS")*--(整形回答!F119:BC119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19" s="10">
        <f>IF(D119="","",IF(SUMPRODUCT(--(設定!$B$11:$B$60="NW/Security")*XLOOKUP(設定!$B$11:$B$60,設定!$A$5:$A$7,設定!$B$5:$B$7)*XLOOKUP(設定!$C$11:$C$60,設定!$D$5:$D$7,設定!$E$5:$E$7))=0,"",SUMPRODUCT(--(設定!$B$11:$B$60="NW/Security")*--(整形回答!F119:BC119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19" s="8">
        <f>IF(F119="","",IF(F119&gt;=85,"即戦力",IF(F119&gt;=70,"主担当",IF(F119&gt;=55,"サポート","育成"))))</f>
        <v/>
      </c>
      <c r="K119" s="8">
        <f>整形回答!E119</f>
        <v/>
      </c>
    </row>
    <row r="120">
      <c r="A120" s="8">
        <f>整形回答!A120</f>
        <v/>
      </c>
      <c r="B120" s="9">
        <f>整形回答!B120</f>
        <v/>
      </c>
      <c r="C120" s="9">
        <f>整形回答!C120</f>
        <v/>
      </c>
      <c r="D120" s="8">
        <f>IF(B120="","",SUMPRODUCT(--(整形回答!F120:BC120=正解キー!$B$2:$B$51)*XLOOKUP(設定!$B$11:$B$60,設定!$A$5:$A$7,設定!$B$5:$B$7)*XLOOKUP(設定!$C$11:$C$60,設定!$D$5:$D$7,設定!$E$5:$E$7)))</f>
        <v/>
      </c>
      <c r="E120" s="8">
        <f>SUMPRODUCT(XLOOKUP(設定!$B$11:$B$60,設定!$A$5:$A$7,設定!$B$5:$B$7)*XLOOKUP(設定!$C$11:$C$60,設定!$D$5:$D$7,設定!$E$5:$E$7))</f>
        <v/>
      </c>
      <c r="F120" s="10">
        <f>IF(D120="","",D120/E120*100)</f>
        <v/>
      </c>
      <c r="G120" s="10">
        <f>IF(D120="","",IF(SUMPRODUCT(--(設定!$B$11:$B$60="OS（Linux/Windows）")*XLOOKUP(設定!$B$11:$B$60,設定!$A$5:$A$7,設定!$B$5:$B$7)*XLOOKUP(設定!$C$11:$C$60,設定!$D$5:$D$7,設定!$E$5:$E$7))=0,"",SUMPRODUCT(--(設定!$B$11:$B$60="OS（Linux/Windows）")*--(整形回答!F120:BC120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0" s="10">
        <f>IF(D120="","",IF(SUMPRODUCT(--(設定!$B$11:$B$60="AWS")*XLOOKUP(設定!$B$11:$B$60,設定!$A$5:$A$7,設定!$B$5:$B$7)*XLOOKUP(設定!$C$11:$C$60,設定!$D$5:$D$7,設定!$E$5:$E$7))=0,"",SUMPRODUCT(--(設定!$B$11:$B$60="AWS")*--(整形回答!F120:BC120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0" s="10">
        <f>IF(D120="","",IF(SUMPRODUCT(--(設定!$B$11:$B$60="NW/Security")*XLOOKUP(設定!$B$11:$B$60,設定!$A$5:$A$7,設定!$B$5:$B$7)*XLOOKUP(設定!$C$11:$C$60,設定!$D$5:$D$7,設定!$E$5:$E$7))=0,"",SUMPRODUCT(--(設定!$B$11:$B$60="NW/Security")*--(整形回答!F120:BC120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0" s="8">
        <f>IF(F120="","",IF(F120&gt;=85,"即戦力",IF(F120&gt;=70,"主担当",IF(F120&gt;=55,"サポート","育成"))))</f>
        <v/>
      </c>
      <c r="K120" s="8">
        <f>整形回答!E120</f>
        <v/>
      </c>
    </row>
    <row r="121">
      <c r="A121" s="8">
        <f>整形回答!A121</f>
        <v/>
      </c>
      <c r="B121" s="9">
        <f>整形回答!B121</f>
        <v/>
      </c>
      <c r="C121" s="9">
        <f>整形回答!C121</f>
        <v/>
      </c>
      <c r="D121" s="8">
        <f>IF(B121="","",SUMPRODUCT(--(整形回答!F121:BC121=正解キー!$B$2:$B$51)*XLOOKUP(設定!$B$11:$B$60,設定!$A$5:$A$7,設定!$B$5:$B$7)*XLOOKUP(設定!$C$11:$C$60,設定!$D$5:$D$7,設定!$E$5:$E$7)))</f>
        <v/>
      </c>
      <c r="E121" s="8">
        <f>SUMPRODUCT(XLOOKUP(設定!$B$11:$B$60,設定!$A$5:$A$7,設定!$B$5:$B$7)*XLOOKUP(設定!$C$11:$C$60,設定!$D$5:$D$7,設定!$E$5:$E$7))</f>
        <v/>
      </c>
      <c r="F121" s="10">
        <f>IF(D121="","",D121/E121*100)</f>
        <v/>
      </c>
      <c r="G121" s="10">
        <f>IF(D121="","",IF(SUMPRODUCT(--(設定!$B$11:$B$60="OS（Linux/Windows）")*XLOOKUP(設定!$B$11:$B$60,設定!$A$5:$A$7,設定!$B$5:$B$7)*XLOOKUP(設定!$C$11:$C$60,設定!$D$5:$D$7,設定!$E$5:$E$7))=0,"",SUMPRODUCT(--(設定!$B$11:$B$60="OS（Linux/Windows）")*--(整形回答!F121:BC121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1" s="10">
        <f>IF(D121="","",IF(SUMPRODUCT(--(設定!$B$11:$B$60="AWS")*XLOOKUP(設定!$B$11:$B$60,設定!$A$5:$A$7,設定!$B$5:$B$7)*XLOOKUP(設定!$C$11:$C$60,設定!$D$5:$D$7,設定!$E$5:$E$7))=0,"",SUMPRODUCT(--(設定!$B$11:$B$60="AWS")*--(整形回答!F121:BC121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1" s="10">
        <f>IF(D121="","",IF(SUMPRODUCT(--(設定!$B$11:$B$60="NW/Security")*XLOOKUP(設定!$B$11:$B$60,設定!$A$5:$A$7,設定!$B$5:$B$7)*XLOOKUP(設定!$C$11:$C$60,設定!$D$5:$D$7,設定!$E$5:$E$7))=0,"",SUMPRODUCT(--(設定!$B$11:$B$60="NW/Security")*--(整形回答!F121:BC121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1" s="8">
        <f>IF(F121="","",IF(F121&gt;=85,"即戦力",IF(F121&gt;=70,"主担当",IF(F121&gt;=55,"サポート","育成"))))</f>
        <v/>
      </c>
      <c r="K121" s="8">
        <f>整形回答!E121</f>
        <v/>
      </c>
    </row>
    <row r="122">
      <c r="A122" s="8">
        <f>整形回答!A122</f>
        <v/>
      </c>
      <c r="B122" s="9">
        <f>整形回答!B122</f>
        <v/>
      </c>
      <c r="C122" s="9">
        <f>整形回答!C122</f>
        <v/>
      </c>
      <c r="D122" s="8">
        <f>IF(B122="","",SUMPRODUCT(--(整形回答!F122:BC122=正解キー!$B$2:$B$51)*XLOOKUP(設定!$B$11:$B$60,設定!$A$5:$A$7,設定!$B$5:$B$7)*XLOOKUP(設定!$C$11:$C$60,設定!$D$5:$D$7,設定!$E$5:$E$7)))</f>
        <v/>
      </c>
      <c r="E122" s="8">
        <f>SUMPRODUCT(XLOOKUP(設定!$B$11:$B$60,設定!$A$5:$A$7,設定!$B$5:$B$7)*XLOOKUP(設定!$C$11:$C$60,設定!$D$5:$D$7,設定!$E$5:$E$7))</f>
        <v/>
      </c>
      <c r="F122" s="10">
        <f>IF(D122="","",D122/E122*100)</f>
        <v/>
      </c>
      <c r="G122" s="10">
        <f>IF(D122="","",IF(SUMPRODUCT(--(設定!$B$11:$B$60="OS（Linux/Windows）")*XLOOKUP(設定!$B$11:$B$60,設定!$A$5:$A$7,設定!$B$5:$B$7)*XLOOKUP(設定!$C$11:$C$60,設定!$D$5:$D$7,設定!$E$5:$E$7))=0,"",SUMPRODUCT(--(設定!$B$11:$B$60="OS（Linux/Windows）")*--(整形回答!F122:BC122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2" s="10">
        <f>IF(D122="","",IF(SUMPRODUCT(--(設定!$B$11:$B$60="AWS")*XLOOKUP(設定!$B$11:$B$60,設定!$A$5:$A$7,設定!$B$5:$B$7)*XLOOKUP(設定!$C$11:$C$60,設定!$D$5:$D$7,設定!$E$5:$E$7))=0,"",SUMPRODUCT(--(設定!$B$11:$B$60="AWS")*--(整形回答!F122:BC122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2" s="10">
        <f>IF(D122="","",IF(SUMPRODUCT(--(設定!$B$11:$B$60="NW/Security")*XLOOKUP(設定!$B$11:$B$60,設定!$A$5:$A$7,設定!$B$5:$B$7)*XLOOKUP(設定!$C$11:$C$60,設定!$D$5:$D$7,設定!$E$5:$E$7))=0,"",SUMPRODUCT(--(設定!$B$11:$B$60="NW/Security")*--(整形回答!F122:BC122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2" s="8">
        <f>IF(F122="","",IF(F122&gt;=85,"即戦力",IF(F122&gt;=70,"主担当",IF(F122&gt;=55,"サポート","育成"))))</f>
        <v/>
      </c>
      <c r="K122" s="8">
        <f>整形回答!E122</f>
        <v/>
      </c>
    </row>
    <row r="123">
      <c r="A123" s="8">
        <f>整形回答!A123</f>
        <v/>
      </c>
      <c r="B123" s="9">
        <f>整形回答!B123</f>
        <v/>
      </c>
      <c r="C123" s="9">
        <f>整形回答!C123</f>
        <v/>
      </c>
      <c r="D123" s="8">
        <f>IF(B123="","",SUMPRODUCT(--(整形回答!F123:BC123=正解キー!$B$2:$B$51)*XLOOKUP(設定!$B$11:$B$60,設定!$A$5:$A$7,設定!$B$5:$B$7)*XLOOKUP(設定!$C$11:$C$60,設定!$D$5:$D$7,設定!$E$5:$E$7)))</f>
        <v/>
      </c>
      <c r="E123" s="8">
        <f>SUMPRODUCT(XLOOKUP(設定!$B$11:$B$60,設定!$A$5:$A$7,設定!$B$5:$B$7)*XLOOKUP(設定!$C$11:$C$60,設定!$D$5:$D$7,設定!$E$5:$E$7))</f>
        <v/>
      </c>
      <c r="F123" s="10">
        <f>IF(D123="","",D123/E123*100)</f>
        <v/>
      </c>
      <c r="G123" s="10">
        <f>IF(D123="","",IF(SUMPRODUCT(--(設定!$B$11:$B$60="OS（Linux/Windows）")*XLOOKUP(設定!$B$11:$B$60,設定!$A$5:$A$7,設定!$B$5:$B$7)*XLOOKUP(設定!$C$11:$C$60,設定!$D$5:$D$7,設定!$E$5:$E$7))=0,"",SUMPRODUCT(--(設定!$B$11:$B$60="OS（Linux/Windows）")*--(整形回答!F123:BC123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3" s="10">
        <f>IF(D123="","",IF(SUMPRODUCT(--(設定!$B$11:$B$60="AWS")*XLOOKUP(設定!$B$11:$B$60,設定!$A$5:$A$7,設定!$B$5:$B$7)*XLOOKUP(設定!$C$11:$C$60,設定!$D$5:$D$7,設定!$E$5:$E$7))=0,"",SUMPRODUCT(--(設定!$B$11:$B$60="AWS")*--(整形回答!F123:BC123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3" s="10">
        <f>IF(D123="","",IF(SUMPRODUCT(--(設定!$B$11:$B$60="NW/Security")*XLOOKUP(設定!$B$11:$B$60,設定!$A$5:$A$7,設定!$B$5:$B$7)*XLOOKUP(設定!$C$11:$C$60,設定!$D$5:$D$7,設定!$E$5:$E$7))=0,"",SUMPRODUCT(--(設定!$B$11:$B$60="NW/Security")*--(整形回答!F123:BC123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3" s="8">
        <f>IF(F123="","",IF(F123&gt;=85,"即戦力",IF(F123&gt;=70,"主担当",IF(F123&gt;=55,"サポート","育成"))))</f>
        <v/>
      </c>
      <c r="K123" s="8">
        <f>整形回答!E123</f>
        <v/>
      </c>
    </row>
    <row r="124">
      <c r="A124" s="8">
        <f>整形回答!A124</f>
        <v/>
      </c>
      <c r="B124" s="9">
        <f>整形回答!B124</f>
        <v/>
      </c>
      <c r="C124" s="9">
        <f>整形回答!C124</f>
        <v/>
      </c>
      <c r="D124" s="8">
        <f>IF(B124="","",SUMPRODUCT(--(整形回答!F124:BC124=正解キー!$B$2:$B$51)*XLOOKUP(設定!$B$11:$B$60,設定!$A$5:$A$7,設定!$B$5:$B$7)*XLOOKUP(設定!$C$11:$C$60,設定!$D$5:$D$7,設定!$E$5:$E$7)))</f>
        <v/>
      </c>
      <c r="E124" s="8">
        <f>SUMPRODUCT(XLOOKUP(設定!$B$11:$B$60,設定!$A$5:$A$7,設定!$B$5:$B$7)*XLOOKUP(設定!$C$11:$C$60,設定!$D$5:$D$7,設定!$E$5:$E$7))</f>
        <v/>
      </c>
      <c r="F124" s="10">
        <f>IF(D124="","",D124/E124*100)</f>
        <v/>
      </c>
      <c r="G124" s="10">
        <f>IF(D124="","",IF(SUMPRODUCT(--(設定!$B$11:$B$60="OS（Linux/Windows）")*XLOOKUP(設定!$B$11:$B$60,設定!$A$5:$A$7,設定!$B$5:$B$7)*XLOOKUP(設定!$C$11:$C$60,設定!$D$5:$D$7,設定!$E$5:$E$7))=0,"",SUMPRODUCT(--(設定!$B$11:$B$60="OS（Linux/Windows）")*--(整形回答!F124:BC124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4" s="10">
        <f>IF(D124="","",IF(SUMPRODUCT(--(設定!$B$11:$B$60="AWS")*XLOOKUP(設定!$B$11:$B$60,設定!$A$5:$A$7,設定!$B$5:$B$7)*XLOOKUP(設定!$C$11:$C$60,設定!$D$5:$D$7,設定!$E$5:$E$7))=0,"",SUMPRODUCT(--(設定!$B$11:$B$60="AWS")*--(整形回答!F124:BC124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4" s="10">
        <f>IF(D124="","",IF(SUMPRODUCT(--(設定!$B$11:$B$60="NW/Security")*XLOOKUP(設定!$B$11:$B$60,設定!$A$5:$A$7,設定!$B$5:$B$7)*XLOOKUP(設定!$C$11:$C$60,設定!$D$5:$D$7,設定!$E$5:$E$7))=0,"",SUMPRODUCT(--(設定!$B$11:$B$60="NW/Security")*--(整形回答!F124:BC124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4" s="8">
        <f>IF(F124="","",IF(F124&gt;=85,"即戦力",IF(F124&gt;=70,"主担当",IF(F124&gt;=55,"サポート","育成"))))</f>
        <v/>
      </c>
      <c r="K124" s="8">
        <f>整形回答!E124</f>
        <v/>
      </c>
    </row>
    <row r="125">
      <c r="A125" s="8">
        <f>整形回答!A125</f>
        <v/>
      </c>
      <c r="B125" s="9">
        <f>整形回答!B125</f>
        <v/>
      </c>
      <c r="C125" s="9">
        <f>整形回答!C125</f>
        <v/>
      </c>
      <c r="D125" s="8">
        <f>IF(B125="","",SUMPRODUCT(--(整形回答!F125:BC125=正解キー!$B$2:$B$51)*XLOOKUP(設定!$B$11:$B$60,設定!$A$5:$A$7,設定!$B$5:$B$7)*XLOOKUP(設定!$C$11:$C$60,設定!$D$5:$D$7,設定!$E$5:$E$7)))</f>
        <v/>
      </c>
      <c r="E125" s="8">
        <f>SUMPRODUCT(XLOOKUP(設定!$B$11:$B$60,設定!$A$5:$A$7,設定!$B$5:$B$7)*XLOOKUP(設定!$C$11:$C$60,設定!$D$5:$D$7,設定!$E$5:$E$7))</f>
        <v/>
      </c>
      <c r="F125" s="10">
        <f>IF(D125="","",D125/E125*100)</f>
        <v/>
      </c>
      <c r="G125" s="10">
        <f>IF(D125="","",IF(SUMPRODUCT(--(設定!$B$11:$B$60="OS（Linux/Windows）")*XLOOKUP(設定!$B$11:$B$60,設定!$A$5:$A$7,設定!$B$5:$B$7)*XLOOKUP(設定!$C$11:$C$60,設定!$D$5:$D$7,設定!$E$5:$E$7))=0,"",SUMPRODUCT(--(設定!$B$11:$B$60="OS（Linux/Windows）")*--(整形回答!F125:BC125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5" s="10">
        <f>IF(D125="","",IF(SUMPRODUCT(--(設定!$B$11:$B$60="AWS")*XLOOKUP(設定!$B$11:$B$60,設定!$A$5:$A$7,設定!$B$5:$B$7)*XLOOKUP(設定!$C$11:$C$60,設定!$D$5:$D$7,設定!$E$5:$E$7))=0,"",SUMPRODUCT(--(設定!$B$11:$B$60="AWS")*--(整形回答!F125:BC125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5" s="10">
        <f>IF(D125="","",IF(SUMPRODUCT(--(設定!$B$11:$B$60="NW/Security")*XLOOKUP(設定!$B$11:$B$60,設定!$A$5:$A$7,設定!$B$5:$B$7)*XLOOKUP(設定!$C$11:$C$60,設定!$D$5:$D$7,設定!$E$5:$E$7))=0,"",SUMPRODUCT(--(設定!$B$11:$B$60="NW/Security")*--(整形回答!F125:BC125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5" s="8">
        <f>IF(F125="","",IF(F125&gt;=85,"即戦力",IF(F125&gt;=70,"主担当",IF(F125&gt;=55,"サポート","育成"))))</f>
        <v/>
      </c>
      <c r="K125" s="8">
        <f>整形回答!E125</f>
        <v/>
      </c>
    </row>
    <row r="126">
      <c r="A126" s="8">
        <f>整形回答!A126</f>
        <v/>
      </c>
      <c r="B126" s="9">
        <f>整形回答!B126</f>
        <v/>
      </c>
      <c r="C126" s="9">
        <f>整形回答!C126</f>
        <v/>
      </c>
      <c r="D126" s="8">
        <f>IF(B126="","",SUMPRODUCT(--(整形回答!F126:BC126=正解キー!$B$2:$B$51)*XLOOKUP(設定!$B$11:$B$60,設定!$A$5:$A$7,設定!$B$5:$B$7)*XLOOKUP(設定!$C$11:$C$60,設定!$D$5:$D$7,設定!$E$5:$E$7)))</f>
        <v/>
      </c>
      <c r="E126" s="8">
        <f>SUMPRODUCT(XLOOKUP(設定!$B$11:$B$60,設定!$A$5:$A$7,設定!$B$5:$B$7)*XLOOKUP(設定!$C$11:$C$60,設定!$D$5:$D$7,設定!$E$5:$E$7))</f>
        <v/>
      </c>
      <c r="F126" s="10">
        <f>IF(D126="","",D126/E126*100)</f>
        <v/>
      </c>
      <c r="G126" s="10">
        <f>IF(D126="","",IF(SUMPRODUCT(--(設定!$B$11:$B$60="OS（Linux/Windows）")*XLOOKUP(設定!$B$11:$B$60,設定!$A$5:$A$7,設定!$B$5:$B$7)*XLOOKUP(設定!$C$11:$C$60,設定!$D$5:$D$7,設定!$E$5:$E$7))=0,"",SUMPRODUCT(--(設定!$B$11:$B$60="OS（Linux/Windows）")*--(整形回答!F126:BC126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6" s="10">
        <f>IF(D126="","",IF(SUMPRODUCT(--(設定!$B$11:$B$60="AWS")*XLOOKUP(設定!$B$11:$B$60,設定!$A$5:$A$7,設定!$B$5:$B$7)*XLOOKUP(設定!$C$11:$C$60,設定!$D$5:$D$7,設定!$E$5:$E$7))=0,"",SUMPRODUCT(--(設定!$B$11:$B$60="AWS")*--(整形回答!F126:BC126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6" s="10">
        <f>IF(D126="","",IF(SUMPRODUCT(--(設定!$B$11:$B$60="NW/Security")*XLOOKUP(設定!$B$11:$B$60,設定!$A$5:$A$7,設定!$B$5:$B$7)*XLOOKUP(設定!$C$11:$C$60,設定!$D$5:$D$7,設定!$E$5:$E$7))=0,"",SUMPRODUCT(--(設定!$B$11:$B$60="NW/Security")*--(整形回答!F126:BC126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6" s="8">
        <f>IF(F126="","",IF(F126&gt;=85,"即戦力",IF(F126&gt;=70,"主担当",IF(F126&gt;=55,"サポート","育成"))))</f>
        <v/>
      </c>
      <c r="K126" s="8">
        <f>整形回答!E126</f>
        <v/>
      </c>
    </row>
    <row r="127">
      <c r="A127" s="8">
        <f>整形回答!A127</f>
        <v/>
      </c>
      <c r="B127" s="9">
        <f>整形回答!B127</f>
        <v/>
      </c>
      <c r="C127" s="9">
        <f>整形回答!C127</f>
        <v/>
      </c>
      <c r="D127" s="8">
        <f>IF(B127="","",SUMPRODUCT(--(整形回答!F127:BC127=正解キー!$B$2:$B$51)*XLOOKUP(設定!$B$11:$B$60,設定!$A$5:$A$7,設定!$B$5:$B$7)*XLOOKUP(設定!$C$11:$C$60,設定!$D$5:$D$7,設定!$E$5:$E$7)))</f>
        <v/>
      </c>
      <c r="E127" s="8">
        <f>SUMPRODUCT(XLOOKUP(設定!$B$11:$B$60,設定!$A$5:$A$7,設定!$B$5:$B$7)*XLOOKUP(設定!$C$11:$C$60,設定!$D$5:$D$7,設定!$E$5:$E$7))</f>
        <v/>
      </c>
      <c r="F127" s="10">
        <f>IF(D127="","",D127/E127*100)</f>
        <v/>
      </c>
      <c r="G127" s="10">
        <f>IF(D127="","",IF(SUMPRODUCT(--(設定!$B$11:$B$60="OS（Linux/Windows）")*XLOOKUP(設定!$B$11:$B$60,設定!$A$5:$A$7,設定!$B$5:$B$7)*XLOOKUP(設定!$C$11:$C$60,設定!$D$5:$D$7,設定!$E$5:$E$7))=0,"",SUMPRODUCT(--(設定!$B$11:$B$60="OS（Linux/Windows）")*--(整形回答!F127:BC127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7" s="10">
        <f>IF(D127="","",IF(SUMPRODUCT(--(設定!$B$11:$B$60="AWS")*XLOOKUP(設定!$B$11:$B$60,設定!$A$5:$A$7,設定!$B$5:$B$7)*XLOOKUP(設定!$C$11:$C$60,設定!$D$5:$D$7,設定!$E$5:$E$7))=0,"",SUMPRODUCT(--(設定!$B$11:$B$60="AWS")*--(整形回答!F127:BC127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7" s="10">
        <f>IF(D127="","",IF(SUMPRODUCT(--(設定!$B$11:$B$60="NW/Security")*XLOOKUP(設定!$B$11:$B$60,設定!$A$5:$A$7,設定!$B$5:$B$7)*XLOOKUP(設定!$C$11:$C$60,設定!$D$5:$D$7,設定!$E$5:$E$7))=0,"",SUMPRODUCT(--(設定!$B$11:$B$60="NW/Security")*--(整形回答!F127:BC127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7" s="8">
        <f>IF(F127="","",IF(F127&gt;=85,"即戦力",IF(F127&gt;=70,"主担当",IF(F127&gt;=55,"サポート","育成"))))</f>
        <v/>
      </c>
      <c r="K127" s="8">
        <f>整形回答!E127</f>
        <v/>
      </c>
    </row>
    <row r="128">
      <c r="A128" s="8">
        <f>整形回答!A128</f>
        <v/>
      </c>
      <c r="B128" s="9">
        <f>整形回答!B128</f>
        <v/>
      </c>
      <c r="C128" s="9">
        <f>整形回答!C128</f>
        <v/>
      </c>
      <c r="D128" s="8">
        <f>IF(B128="","",SUMPRODUCT(--(整形回答!F128:BC128=正解キー!$B$2:$B$51)*XLOOKUP(設定!$B$11:$B$60,設定!$A$5:$A$7,設定!$B$5:$B$7)*XLOOKUP(設定!$C$11:$C$60,設定!$D$5:$D$7,設定!$E$5:$E$7)))</f>
        <v/>
      </c>
      <c r="E128" s="8">
        <f>SUMPRODUCT(XLOOKUP(設定!$B$11:$B$60,設定!$A$5:$A$7,設定!$B$5:$B$7)*XLOOKUP(設定!$C$11:$C$60,設定!$D$5:$D$7,設定!$E$5:$E$7))</f>
        <v/>
      </c>
      <c r="F128" s="10">
        <f>IF(D128="","",D128/E128*100)</f>
        <v/>
      </c>
      <c r="G128" s="10">
        <f>IF(D128="","",IF(SUMPRODUCT(--(設定!$B$11:$B$60="OS（Linux/Windows）")*XLOOKUP(設定!$B$11:$B$60,設定!$A$5:$A$7,設定!$B$5:$B$7)*XLOOKUP(設定!$C$11:$C$60,設定!$D$5:$D$7,設定!$E$5:$E$7))=0,"",SUMPRODUCT(--(設定!$B$11:$B$60="OS（Linux/Windows）")*--(整形回答!F128:BC128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8" s="10">
        <f>IF(D128="","",IF(SUMPRODUCT(--(設定!$B$11:$B$60="AWS")*XLOOKUP(設定!$B$11:$B$60,設定!$A$5:$A$7,設定!$B$5:$B$7)*XLOOKUP(設定!$C$11:$C$60,設定!$D$5:$D$7,設定!$E$5:$E$7))=0,"",SUMPRODUCT(--(設定!$B$11:$B$60="AWS")*--(整形回答!F128:BC128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8" s="10">
        <f>IF(D128="","",IF(SUMPRODUCT(--(設定!$B$11:$B$60="NW/Security")*XLOOKUP(設定!$B$11:$B$60,設定!$A$5:$A$7,設定!$B$5:$B$7)*XLOOKUP(設定!$C$11:$C$60,設定!$D$5:$D$7,設定!$E$5:$E$7))=0,"",SUMPRODUCT(--(設定!$B$11:$B$60="NW/Security")*--(整形回答!F128:BC128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8" s="8">
        <f>IF(F128="","",IF(F128&gt;=85,"即戦力",IF(F128&gt;=70,"主担当",IF(F128&gt;=55,"サポート","育成"))))</f>
        <v/>
      </c>
      <c r="K128" s="8">
        <f>整形回答!E128</f>
        <v/>
      </c>
    </row>
    <row r="129">
      <c r="A129" s="8">
        <f>整形回答!A129</f>
        <v/>
      </c>
      <c r="B129" s="9">
        <f>整形回答!B129</f>
        <v/>
      </c>
      <c r="C129" s="9">
        <f>整形回答!C129</f>
        <v/>
      </c>
      <c r="D129" s="8">
        <f>IF(B129="","",SUMPRODUCT(--(整形回答!F129:BC129=正解キー!$B$2:$B$51)*XLOOKUP(設定!$B$11:$B$60,設定!$A$5:$A$7,設定!$B$5:$B$7)*XLOOKUP(設定!$C$11:$C$60,設定!$D$5:$D$7,設定!$E$5:$E$7)))</f>
        <v/>
      </c>
      <c r="E129" s="8">
        <f>SUMPRODUCT(XLOOKUP(設定!$B$11:$B$60,設定!$A$5:$A$7,設定!$B$5:$B$7)*XLOOKUP(設定!$C$11:$C$60,設定!$D$5:$D$7,設定!$E$5:$E$7))</f>
        <v/>
      </c>
      <c r="F129" s="10">
        <f>IF(D129="","",D129/E129*100)</f>
        <v/>
      </c>
      <c r="G129" s="10">
        <f>IF(D129="","",IF(SUMPRODUCT(--(設定!$B$11:$B$60="OS（Linux/Windows）")*XLOOKUP(設定!$B$11:$B$60,設定!$A$5:$A$7,設定!$B$5:$B$7)*XLOOKUP(設定!$C$11:$C$60,設定!$D$5:$D$7,設定!$E$5:$E$7))=0,"",SUMPRODUCT(--(設定!$B$11:$B$60="OS（Linux/Windows）")*--(整形回答!F129:BC129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29" s="10">
        <f>IF(D129="","",IF(SUMPRODUCT(--(設定!$B$11:$B$60="AWS")*XLOOKUP(設定!$B$11:$B$60,設定!$A$5:$A$7,設定!$B$5:$B$7)*XLOOKUP(設定!$C$11:$C$60,設定!$D$5:$D$7,設定!$E$5:$E$7))=0,"",SUMPRODUCT(--(設定!$B$11:$B$60="AWS")*--(整形回答!F129:BC129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29" s="10">
        <f>IF(D129="","",IF(SUMPRODUCT(--(設定!$B$11:$B$60="NW/Security")*XLOOKUP(設定!$B$11:$B$60,設定!$A$5:$A$7,設定!$B$5:$B$7)*XLOOKUP(設定!$C$11:$C$60,設定!$D$5:$D$7,設定!$E$5:$E$7))=0,"",SUMPRODUCT(--(設定!$B$11:$B$60="NW/Security")*--(整形回答!F129:BC129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29" s="8">
        <f>IF(F129="","",IF(F129&gt;=85,"即戦力",IF(F129&gt;=70,"主担当",IF(F129&gt;=55,"サポート","育成"))))</f>
        <v/>
      </c>
      <c r="K129" s="8">
        <f>整形回答!E129</f>
        <v/>
      </c>
    </row>
    <row r="130">
      <c r="A130" s="8">
        <f>整形回答!A130</f>
        <v/>
      </c>
      <c r="B130" s="9">
        <f>整形回答!B130</f>
        <v/>
      </c>
      <c r="C130" s="9">
        <f>整形回答!C130</f>
        <v/>
      </c>
      <c r="D130" s="8">
        <f>IF(B130="","",SUMPRODUCT(--(整形回答!F130:BC130=正解キー!$B$2:$B$51)*XLOOKUP(設定!$B$11:$B$60,設定!$A$5:$A$7,設定!$B$5:$B$7)*XLOOKUP(設定!$C$11:$C$60,設定!$D$5:$D$7,設定!$E$5:$E$7)))</f>
        <v/>
      </c>
      <c r="E130" s="8">
        <f>SUMPRODUCT(XLOOKUP(設定!$B$11:$B$60,設定!$A$5:$A$7,設定!$B$5:$B$7)*XLOOKUP(設定!$C$11:$C$60,設定!$D$5:$D$7,設定!$E$5:$E$7))</f>
        <v/>
      </c>
      <c r="F130" s="10">
        <f>IF(D130="","",D130/E130*100)</f>
        <v/>
      </c>
      <c r="G130" s="10">
        <f>IF(D130="","",IF(SUMPRODUCT(--(設定!$B$11:$B$60="OS（Linux/Windows）")*XLOOKUP(設定!$B$11:$B$60,設定!$A$5:$A$7,設定!$B$5:$B$7)*XLOOKUP(設定!$C$11:$C$60,設定!$D$5:$D$7,設定!$E$5:$E$7))=0,"",SUMPRODUCT(--(設定!$B$11:$B$60="OS（Linux/Windows）")*--(整形回答!F130:BC130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0" s="10">
        <f>IF(D130="","",IF(SUMPRODUCT(--(設定!$B$11:$B$60="AWS")*XLOOKUP(設定!$B$11:$B$60,設定!$A$5:$A$7,設定!$B$5:$B$7)*XLOOKUP(設定!$C$11:$C$60,設定!$D$5:$D$7,設定!$E$5:$E$7))=0,"",SUMPRODUCT(--(設定!$B$11:$B$60="AWS")*--(整形回答!F130:BC130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0" s="10">
        <f>IF(D130="","",IF(SUMPRODUCT(--(設定!$B$11:$B$60="NW/Security")*XLOOKUP(設定!$B$11:$B$60,設定!$A$5:$A$7,設定!$B$5:$B$7)*XLOOKUP(設定!$C$11:$C$60,設定!$D$5:$D$7,設定!$E$5:$E$7))=0,"",SUMPRODUCT(--(設定!$B$11:$B$60="NW/Security")*--(整形回答!F130:BC130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0" s="8">
        <f>IF(F130="","",IF(F130&gt;=85,"即戦力",IF(F130&gt;=70,"主担当",IF(F130&gt;=55,"サポート","育成"))))</f>
        <v/>
      </c>
      <c r="K130" s="8">
        <f>整形回答!E130</f>
        <v/>
      </c>
    </row>
    <row r="131">
      <c r="A131" s="8">
        <f>整形回答!A131</f>
        <v/>
      </c>
      <c r="B131" s="9">
        <f>整形回答!B131</f>
        <v/>
      </c>
      <c r="C131" s="9">
        <f>整形回答!C131</f>
        <v/>
      </c>
      <c r="D131" s="8">
        <f>IF(B131="","",SUMPRODUCT(--(整形回答!F131:BC131=正解キー!$B$2:$B$51)*XLOOKUP(設定!$B$11:$B$60,設定!$A$5:$A$7,設定!$B$5:$B$7)*XLOOKUP(設定!$C$11:$C$60,設定!$D$5:$D$7,設定!$E$5:$E$7)))</f>
        <v/>
      </c>
      <c r="E131" s="8">
        <f>SUMPRODUCT(XLOOKUP(設定!$B$11:$B$60,設定!$A$5:$A$7,設定!$B$5:$B$7)*XLOOKUP(設定!$C$11:$C$60,設定!$D$5:$D$7,設定!$E$5:$E$7))</f>
        <v/>
      </c>
      <c r="F131" s="10">
        <f>IF(D131="","",D131/E131*100)</f>
        <v/>
      </c>
      <c r="G131" s="10">
        <f>IF(D131="","",IF(SUMPRODUCT(--(設定!$B$11:$B$60="OS（Linux/Windows）")*XLOOKUP(設定!$B$11:$B$60,設定!$A$5:$A$7,設定!$B$5:$B$7)*XLOOKUP(設定!$C$11:$C$60,設定!$D$5:$D$7,設定!$E$5:$E$7))=0,"",SUMPRODUCT(--(設定!$B$11:$B$60="OS（Linux/Windows）")*--(整形回答!F131:BC131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1" s="10">
        <f>IF(D131="","",IF(SUMPRODUCT(--(設定!$B$11:$B$60="AWS")*XLOOKUP(設定!$B$11:$B$60,設定!$A$5:$A$7,設定!$B$5:$B$7)*XLOOKUP(設定!$C$11:$C$60,設定!$D$5:$D$7,設定!$E$5:$E$7))=0,"",SUMPRODUCT(--(設定!$B$11:$B$60="AWS")*--(整形回答!F131:BC131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1" s="10">
        <f>IF(D131="","",IF(SUMPRODUCT(--(設定!$B$11:$B$60="NW/Security")*XLOOKUP(設定!$B$11:$B$60,設定!$A$5:$A$7,設定!$B$5:$B$7)*XLOOKUP(設定!$C$11:$C$60,設定!$D$5:$D$7,設定!$E$5:$E$7))=0,"",SUMPRODUCT(--(設定!$B$11:$B$60="NW/Security")*--(整形回答!F131:BC131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1" s="8">
        <f>IF(F131="","",IF(F131&gt;=85,"即戦力",IF(F131&gt;=70,"主担当",IF(F131&gt;=55,"サポート","育成"))))</f>
        <v/>
      </c>
      <c r="K131" s="8">
        <f>整形回答!E131</f>
        <v/>
      </c>
    </row>
    <row r="132">
      <c r="A132" s="8">
        <f>整形回答!A132</f>
        <v/>
      </c>
      <c r="B132" s="9">
        <f>整形回答!B132</f>
        <v/>
      </c>
      <c r="C132" s="9">
        <f>整形回答!C132</f>
        <v/>
      </c>
      <c r="D132" s="8">
        <f>IF(B132="","",SUMPRODUCT(--(整形回答!F132:BC132=正解キー!$B$2:$B$51)*XLOOKUP(設定!$B$11:$B$60,設定!$A$5:$A$7,設定!$B$5:$B$7)*XLOOKUP(設定!$C$11:$C$60,設定!$D$5:$D$7,設定!$E$5:$E$7)))</f>
        <v/>
      </c>
      <c r="E132" s="8">
        <f>SUMPRODUCT(XLOOKUP(設定!$B$11:$B$60,設定!$A$5:$A$7,設定!$B$5:$B$7)*XLOOKUP(設定!$C$11:$C$60,設定!$D$5:$D$7,設定!$E$5:$E$7))</f>
        <v/>
      </c>
      <c r="F132" s="10">
        <f>IF(D132="","",D132/E132*100)</f>
        <v/>
      </c>
      <c r="G132" s="10">
        <f>IF(D132="","",IF(SUMPRODUCT(--(設定!$B$11:$B$60="OS（Linux/Windows）")*XLOOKUP(設定!$B$11:$B$60,設定!$A$5:$A$7,設定!$B$5:$B$7)*XLOOKUP(設定!$C$11:$C$60,設定!$D$5:$D$7,設定!$E$5:$E$7))=0,"",SUMPRODUCT(--(設定!$B$11:$B$60="OS（Linux/Windows）")*--(整形回答!F132:BC132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2" s="10">
        <f>IF(D132="","",IF(SUMPRODUCT(--(設定!$B$11:$B$60="AWS")*XLOOKUP(設定!$B$11:$B$60,設定!$A$5:$A$7,設定!$B$5:$B$7)*XLOOKUP(設定!$C$11:$C$60,設定!$D$5:$D$7,設定!$E$5:$E$7))=0,"",SUMPRODUCT(--(設定!$B$11:$B$60="AWS")*--(整形回答!F132:BC132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2" s="10">
        <f>IF(D132="","",IF(SUMPRODUCT(--(設定!$B$11:$B$60="NW/Security")*XLOOKUP(設定!$B$11:$B$60,設定!$A$5:$A$7,設定!$B$5:$B$7)*XLOOKUP(設定!$C$11:$C$60,設定!$D$5:$D$7,設定!$E$5:$E$7))=0,"",SUMPRODUCT(--(設定!$B$11:$B$60="NW/Security")*--(整形回答!F132:BC132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2" s="8">
        <f>IF(F132="","",IF(F132&gt;=85,"即戦力",IF(F132&gt;=70,"主担当",IF(F132&gt;=55,"サポート","育成"))))</f>
        <v/>
      </c>
      <c r="K132" s="8">
        <f>整形回答!E132</f>
        <v/>
      </c>
    </row>
    <row r="133">
      <c r="A133" s="8">
        <f>整形回答!A133</f>
        <v/>
      </c>
      <c r="B133" s="9">
        <f>整形回答!B133</f>
        <v/>
      </c>
      <c r="C133" s="9">
        <f>整形回答!C133</f>
        <v/>
      </c>
      <c r="D133" s="8">
        <f>IF(B133="","",SUMPRODUCT(--(整形回答!F133:BC133=正解キー!$B$2:$B$51)*XLOOKUP(設定!$B$11:$B$60,設定!$A$5:$A$7,設定!$B$5:$B$7)*XLOOKUP(設定!$C$11:$C$60,設定!$D$5:$D$7,設定!$E$5:$E$7)))</f>
        <v/>
      </c>
      <c r="E133" s="8">
        <f>SUMPRODUCT(XLOOKUP(設定!$B$11:$B$60,設定!$A$5:$A$7,設定!$B$5:$B$7)*XLOOKUP(設定!$C$11:$C$60,設定!$D$5:$D$7,設定!$E$5:$E$7))</f>
        <v/>
      </c>
      <c r="F133" s="10">
        <f>IF(D133="","",D133/E133*100)</f>
        <v/>
      </c>
      <c r="G133" s="10">
        <f>IF(D133="","",IF(SUMPRODUCT(--(設定!$B$11:$B$60="OS（Linux/Windows）")*XLOOKUP(設定!$B$11:$B$60,設定!$A$5:$A$7,設定!$B$5:$B$7)*XLOOKUP(設定!$C$11:$C$60,設定!$D$5:$D$7,設定!$E$5:$E$7))=0,"",SUMPRODUCT(--(設定!$B$11:$B$60="OS（Linux/Windows）")*--(整形回答!F133:BC133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3" s="10">
        <f>IF(D133="","",IF(SUMPRODUCT(--(設定!$B$11:$B$60="AWS")*XLOOKUP(設定!$B$11:$B$60,設定!$A$5:$A$7,設定!$B$5:$B$7)*XLOOKUP(設定!$C$11:$C$60,設定!$D$5:$D$7,設定!$E$5:$E$7))=0,"",SUMPRODUCT(--(設定!$B$11:$B$60="AWS")*--(整形回答!F133:BC133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3" s="10">
        <f>IF(D133="","",IF(SUMPRODUCT(--(設定!$B$11:$B$60="NW/Security")*XLOOKUP(設定!$B$11:$B$60,設定!$A$5:$A$7,設定!$B$5:$B$7)*XLOOKUP(設定!$C$11:$C$60,設定!$D$5:$D$7,設定!$E$5:$E$7))=0,"",SUMPRODUCT(--(設定!$B$11:$B$60="NW/Security")*--(整形回答!F133:BC133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3" s="8">
        <f>IF(F133="","",IF(F133&gt;=85,"即戦力",IF(F133&gt;=70,"主担当",IF(F133&gt;=55,"サポート","育成"))))</f>
        <v/>
      </c>
      <c r="K133" s="8">
        <f>整形回答!E133</f>
        <v/>
      </c>
    </row>
    <row r="134">
      <c r="A134" s="8">
        <f>整形回答!A134</f>
        <v/>
      </c>
      <c r="B134" s="9">
        <f>整形回答!B134</f>
        <v/>
      </c>
      <c r="C134" s="9">
        <f>整形回答!C134</f>
        <v/>
      </c>
      <c r="D134" s="8">
        <f>IF(B134="","",SUMPRODUCT(--(整形回答!F134:BC134=正解キー!$B$2:$B$51)*XLOOKUP(設定!$B$11:$B$60,設定!$A$5:$A$7,設定!$B$5:$B$7)*XLOOKUP(設定!$C$11:$C$60,設定!$D$5:$D$7,設定!$E$5:$E$7)))</f>
        <v/>
      </c>
      <c r="E134" s="8">
        <f>SUMPRODUCT(XLOOKUP(設定!$B$11:$B$60,設定!$A$5:$A$7,設定!$B$5:$B$7)*XLOOKUP(設定!$C$11:$C$60,設定!$D$5:$D$7,設定!$E$5:$E$7))</f>
        <v/>
      </c>
      <c r="F134" s="10">
        <f>IF(D134="","",D134/E134*100)</f>
        <v/>
      </c>
      <c r="G134" s="10">
        <f>IF(D134="","",IF(SUMPRODUCT(--(設定!$B$11:$B$60="OS（Linux/Windows）")*XLOOKUP(設定!$B$11:$B$60,設定!$A$5:$A$7,設定!$B$5:$B$7)*XLOOKUP(設定!$C$11:$C$60,設定!$D$5:$D$7,設定!$E$5:$E$7))=0,"",SUMPRODUCT(--(設定!$B$11:$B$60="OS（Linux/Windows）")*--(整形回答!F134:BC134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4" s="10">
        <f>IF(D134="","",IF(SUMPRODUCT(--(設定!$B$11:$B$60="AWS")*XLOOKUP(設定!$B$11:$B$60,設定!$A$5:$A$7,設定!$B$5:$B$7)*XLOOKUP(設定!$C$11:$C$60,設定!$D$5:$D$7,設定!$E$5:$E$7))=0,"",SUMPRODUCT(--(設定!$B$11:$B$60="AWS")*--(整形回答!F134:BC134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4" s="10">
        <f>IF(D134="","",IF(SUMPRODUCT(--(設定!$B$11:$B$60="NW/Security")*XLOOKUP(設定!$B$11:$B$60,設定!$A$5:$A$7,設定!$B$5:$B$7)*XLOOKUP(設定!$C$11:$C$60,設定!$D$5:$D$7,設定!$E$5:$E$7))=0,"",SUMPRODUCT(--(設定!$B$11:$B$60="NW/Security")*--(整形回答!F134:BC134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4" s="8">
        <f>IF(F134="","",IF(F134&gt;=85,"即戦力",IF(F134&gt;=70,"主担当",IF(F134&gt;=55,"サポート","育成"))))</f>
        <v/>
      </c>
      <c r="K134" s="8">
        <f>整形回答!E134</f>
        <v/>
      </c>
    </row>
    <row r="135">
      <c r="A135" s="8">
        <f>整形回答!A135</f>
        <v/>
      </c>
      <c r="B135" s="9">
        <f>整形回答!B135</f>
        <v/>
      </c>
      <c r="C135" s="9">
        <f>整形回答!C135</f>
        <v/>
      </c>
      <c r="D135" s="8">
        <f>IF(B135="","",SUMPRODUCT(--(整形回答!F135:BC135=正解キー!$B$2:$B$51)*XLOOKUP(設定!$B$11:$B$60,設定!$A$5:$A$7,設定!$B$5:$B$7)*XLOOKUP(設定!$C$11:$C$60,設定!$D$5:$D$7,設定!$E$5:$E$7)))</f>
        <v/>
      </c>
      <c r="E135" s="8">
        <f>SUMPRODUCT(XLOOKUP(設定!$B$11:$B$60,設定!$A$5:$A$7,設定!$B$5:$B$7)*XLOOKUP(設定!$C$11:$C$60,設定!$D$5:$D$7,設定!$E$5:$E$7))</f>
        <v/>
      </c>
      <c r="F135" s="10">
        <f>IF(D135="","",D135/E135*100)</f>
        <v/>
      </c>
      <c r="G135" s="10">
        <f>IF(D135="","",IF(SUMPRODUCT(--(設定!$B$11:$B$60="OS（Linux/Windows）")*XLOOKUP(設定!$B$11:$B$60,設定!$A$5:$A$7,設定!$B$5:$B$7)*XLOOKUP(設定!$C$11:$C$60,設定!$D$5:$D$7,設定!$E$5:$E$7))=0,"",SUMPRODUCT(--(設定!$B$11:$B$60="OS（Linux/Windows）")*--(整形回答!F135:BC135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5" s="10">
        <f>IF(D135="","",IF(SUMPRODUCT(--(設定!$B$11:$B$60="AWS")*XLOOKUP(設定!$B$11:$B$60,設定!$A$5:$A$7,設定!$B$5:$B$7)*XLOOKUP(設定!$C$11:$C$60,設定!$D$5:$D$7,設定!$E$5:$E$7))=0,"",SUMPRODUCT(--(設定!$B$11:$B$60="AWS")*--(整形回答!F135:BC135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5" s="10">
        <f>IF(D135="","",IF(SUMPRODUCT(--(設定!$B$11:$B$60="NW/Security")*XLOOKUP(設定!$B$11:$B$60,設定!$A$5:$A$7,設定!$B$5:$B$7)*XLOOKUP(設定!$C$11:$C$60,設定!$D$5:$D$7,設定!$E$5:$E$7))=0,"",SUMPRODUCT(--(設定!$B$11:$B$60="NW/Security")*--(整形回答!F135:BC135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5" s="8">
        <f>IF(F135="","",IF(F135&gt;=85,"即戦力",IF(F135&gt;=70,"主担当",IF(F135&gt;=55,"サポート","育成"))))</f>
        <v/>
      </c>
      <c r="K135" s="8">
        <f>整形回答!E135</f>
        <v/>
      </c>
    </row>
    <row r="136">
      <c r="A136" s="8">
        <f>整形回答!A136</f>
        <v/>
      </c>
      <c r="B136" s="9">
        <f>整形回答!B136</f>
        <v/>
      </c>
      <c r="C136" s="9">
        <f>整形回答!C136</f>
        <v/>
      </c>
      <c r="D136" s="8">
        <f>IF(B136="","",SUMPRODUCT(--(整形回答!F136:BC136=正解キー!$B$2:$B$51)*XLOOKUP(設定!$B$11:$B$60,設定!$A$5:$A$7,設定!$B$5:$B$7)*XLOOKUP(設定!$C$11:$C$60,設定!$D$5:$D$7,設定!$E$5:$E$7)))</f>
        <v/>
      </c>
      <c r="E136" s="8">
        <f>SUMPRODUCT(XLOOKUP(設定!$B$11:$B$60,設定!$A$5:$A$7,設定!$B$5:$B$7)*XLOOKUP(設定!$C$11:$C$60,設定!$D$5:$D$7,設定!$E$5:$E$7))</f>
        <v/>
      </c>
      <c r="F136" s="10">
        <f>IF(D136="","",D136/E136*100)</f>
        <v/>
      </c>
      <c r="G136" s="10">
        <f>IF(D136="","",IF(SUMPRODUCT(--(設定!$B$11:$B$60="OS（Linux/Windows）")*XLOOKUP(設定!$B$11:$B$60,設定!$A$5:$A$7,設定!$B$5:$B$7)*XLOOKUP(設定!$C$11:$C$60,設定!$D$5:$D$7,設定!$E$5:$E$7))=0,"",SUMPRODUCT(--(設定!$B$11:$B$60="OS（Linux/Windows）")*--(整形回答!F136:BC136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6" s="10">
        <f>IF(D136="","",IF(SUMPRODUCT(--(設定!$B$11:$B$60="AWS")*XLOOKUP(設定!$B$11:$B$60,設定!$A$5:$A$7,設定!$B$5:$B$7)*XLOOKUP(設定!$C$11:$C$60,設定!$D$5:$D$7,設定!$E$5:$E$7))=0,"",SUMPRODUCT(--(設定!$B$11:$B$60="AWS")*--(整形回答!F136:BC136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6" s="10">
        <f>IF(D136="","",IF(SUMPRODUCT(--(設定!$B$11:$B$60="NW/Security")*XLOOKUP(設定!$B$11:$B$60,設定!$A$5:$A$7,設定!$B$5:$B$7)*XLOOKUP(設定!$C$11:$C$60,設定!$D$5:$D$7,設定!$E$5:$E$7))=0,"",SUMPRODUCT(--(設定!$B$11:$B$60="NW/Security")*--(整形回答!F136:BC136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6" s="8">
        <f>IF(F136="","",IF(F136&gt;=85,"即戦力",IF(F136&gt;=70,"主担当",IF(F136&gt;=55,"サポート","育成"))))</f>
        <v/>
      </c>
      <c r="K136" s="8">
        <f>整形回答!E136</f>
        <v/>
      </c>
    </row>
    <row r="137">
      <c r="A137" s="8">
        <f>整形回答!A137</f>
        <v/>
      </c>
      <c r="B137" s="9">
        <f>整形回答!B137</f>
        <v/>
      </c>
      <c r="C137" s="9">
        <f>整形回答!C137</f>
        <v/>
      </c>
      <c r="D137" s="8">
        <f>IF(B137="","",SUMPRODUCT(--(整形回答!F137:BC137=正解キー!$B$2:$B$51)*XLOOKUP(設定!$B$11:$B$60,設定!$A$5:$A$7,設定!$B$5:$B$7)*XLOOKUP(設定!$C$11:$C$60,設定!$D$5:$D$7,設定!$E$5:$E$7)))</f>
        <v/>
      </c>
      <c r="E137" s="8">
        <f>SUMPRODUCT(XLOOKUP(設定!$B$11:$B$60,設定!$A$5:$A$7,設定!$B$5:$B$7)*XLOOKUP(設定!$C$11:$C$60,設定!$D$5:$D$7,設定!$E$5:$E$7))</f>
        <v/>
      </c>
      <c r="F137" s="10">
        <f>IF(D137="","",D137/E137*100)</f>
        <v/>
      </c>
      <c r="G137" s="10">
        <f>IF(D137="","",IF(SUMPRODUCT(--(設定!$B$11:$B$60="OS（Linux/Windows）")*XLOOKUP(設定!$B$11:$B$60,設定!$A$5:$A$7,設定!$B$5:$B$7)*XLOOKUP(設定!$C$11:$C$60,設定!$D$5:$D$7,設定!$E$5:$E$7))=0,"",SUMPRODUCT(--(設定!$B$11:$B$60="OS（Linux/Windows）")*--(整形回答!F137:BC137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7" s="10">
        <f>IF(D137="","",IF(SUMPRODUCT(--(設定!$B$11:$B$60="AWS")*XLOOKUP(設定!$B$11:$B$60,設定!$A$5:$A$7,設定!$B$5:$B$7)*XLOOKUP(設定!$C$11:$C$60,設定!$D$5:$D$7,設定!$E$5:$E$7))=0,"",SUMPRODUCT(--(設定!$B$11:$B$60="AWS")*--(整形回答!F137:BC137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7" s="10">
        <f>IF(D137="","",IF(SUMPRODUCT(--(設定!$B$11:$B$60="NW/Security")*XLOOKUP(設定!$B$11:$B$60,設定!$A$5:$A$7,設定!$B$5:$B$7)*XLOOKUP(設定!$C$11:$C$60,設定!$D$5:$D$7,設定!$E$5:$E$7))=0,"",SUMPRODUCT(--(設定!$B$11:$B$60="NW/Security")*--(整形回答!F137:BC137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7" s="8">
        <f>IF(F137="","",IF(F137&gt;=85,"即戦力",IF(F137&gt;=70,"主担当",IF(F137&gt;=55,"サポート","育成"))))</f>
        <v/>
      </c>
      <c r="K137" s="8">
        <f>整形回答!E137</f>
        <v/>
      </c>
    </row>
    <row r="138">
      <c r="A138" s="8">
        <f>整形回答!A138</f>
        <v/>
      </c>
      <c r="B138" s="9">
        <f>整形回答!B138</f>
        <v/>
      </c>
      <c r="C138" s="9">
        <f>整形回答!C138</f>
        <v/>
      </c>
      <c r="D138" s="8">
        <f>IF(B138="","",SUMPRODUCT(--(整形回答!F138:BC138=正解キー!$B$2:$B$51)*XLOOKUP(設定!$B$11:$B$60,設定!$A$5:$A$7,設定!$B$5:$B$7)*XLOOKUP(設定!$C$11:$C$60,設定!$D$5:$D$7,設定!$E$5:$E$7)))</f>
        <v/>
      </c>
      <c r="E138" s="8">
        <f>SUMPRODUCT(XLOOKUP(設定!$B$11:$B$60,設定!$A$5:$A$7,設定!$B$5:$B$7)*XLOOKUP(設定!$C$11:$C$60,設定!$D$5:$D$7,設定!$E$5:$E$7))</f>
        <v/>
      </c>
      <c r="F138" s="10">
        <f>IF(D138="","",D138/E138*100)</f>
        <v/>
      </c>
      <c r="G138" s="10">
        <f>IF(D138="","",IF(SUMPRODUCT(--(設定!$B$11:$B$60="OS（Linux/Windows）")*XLOOKUP(設定!$B$11:$B$60,設定!$A$5:$A$7,設定!$B$5:$B$7)*XLOOKUP(設定!$C$11:$C$60,設定!$D$5:$D$7,設定!$E$5:$E$7))=0,"",SUMPRODUCT(--(設定!$B$11:$B$60="OS（Linux/Windows）")*--(整形回答!F138:BC138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8" s="10">
        <f>IF(D138="","",IF(SUMPRODUCT(--(設定!$B$11:$B$60="AWS")*XLOOKUP(設定!$B$11:$B$60,設定!$A$5:$A$7,設定!$B$5:$B$7)*XLOOKUP(設定!$C$11:$C$60,設定!$D$5:$D$7,設定!$E$5:$E$7))=0,"",SUMPRODUCT(--(設定!$B$11:$B$60="AWS")*--(整形回答!F138:BC138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8" s="10">
        <f>IF(D138="","",IF(SUMPRODUCT(--(設定!$B$11:$B$60="NW/Security")*XLOOKUP(設定!$B$11:$B$60,設定!$A$5:$A$7,設定!$B$5:$B$7)*XLOOKUP(設定!$C$11:$C$60,設定!$D$5:$D$7,設定!$E$5:$E$7))=0,"",SUMPRODUCT(--(設定!$B$11:$B$60="NW/Security")*--(整形回答!F138:BC138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8" s="8">
        <f>IF(F138="","",IF(F138&gt;=85,"即戦力",IF(F138&gt;=70,"主担当",IF(F138&gt;=55,"サポート","育成"))))</f>
        <v/>
      </c>
      <c r="K138" s="8">
        <f>整形回答!E138</f>
        <v/>
      </c>
    </row>
    <row r="139">
      <c r="A139" s="8">
        <f>整形回答!A139</f>
        <v/>
      </c>
      <c r="B139" s="9">
        <f>整形回答!B139</f>
        <v/>
      </c>
      <c r="C139" s="9">
        <f>整形回答!C139</f>
        <v/>
      </c>
      <c r="D139" s="8">
        <f>IF(B139="","",SUMPRODUCT(--(整形回答!F139:BC139=正解キー!$B$2:$B$51)*XLOOKUP(設定!$B$11:$B$60,設定!$A$5:$A$7,設定!$B$5:$B$7)*XLOOKUP(設定!$C$11:$C$60,設定!$D$5:$D$7,設定!$E$5:$E$7)))</f>
        <v/>
      </c>
      <c r="E139" s="8">
        <f>SUMPRODUCT(XLOOKUP(設定!$B$11:$B$60,設定!$A$5:$A$7,設定!$B$5:$B$7)*XLOOKUP(設定!$C$11:$C$60,設定!$D$5:$D$7,設定!$E$5:$E$7))</f>
        <v/>
      </c>
      <c r="F139" s="10">
        <f>IF(D139="","",D139/E139*100)</f>
        <v/>
      </c>
      <c r="G139" s="10">
        <f>IF(D139="","",IF(SUMPRODUCT(--(設定!$B$11:$B$60="OS（Linux/Windows）")*XLOOKUP(設定!$B$11:$B$60,設定!$A$5:$A$7,設定!$B$5:$B$7)*XLOOKUP(設定!$C$11:$C$60,設定!$D$5:$D$7,設定!$E$5:$E$7))=0,"",SUMPRODUCT(--(設定!$B$11:$B$60="OS（Linux/Windows）")*--(整形回答!F139:BC139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39" s="10">
        <f>IF(D139="","",IF(SUMPRODUCT(--(設定!$B$11:$B$60="AWS")*XLOOKUP(設定!$B$11:$B$60,設定!$A$5:$A$7,設定!$B$5:$B$7)*XLOOKUP(設定!$C$11:$C$60,設定!$D$5:$D$7,設定!$E$5:$E$7))=0,"",SUMPRODUCT(--(設定!$B$11:$B$60="AWS")*--(整形回答!F139:BC139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39" s="10">
        <f>IF(D139="","",IF(SUMPRODUCT(--(設定!$B$11:$B$60="NW/Security")*XLOOKUP(設定!$B$11:$B$60,設定!$A$5:$A$7,設定!$B$5:$B$7)*XLOOKUP(設定!$C$11:$C$60,設定!$D$5:$D$7,設定!$E$5:$E$7))=0,"",SUMPRODUCT(--(設定!$B$11:$B$60="NW/Security")*--(整形回答!F139:BC139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39" s="8">
        <f>IF(F139="","",IF(F139&gt;=85,"即戦力",IF(F139&gt;=70,"主担当",IF(F139&gt;=55,"サポート","育成"))))</f>
        <v/>
      </c>
      <c r="K139" s="8">
        <f>整形回答!E139</f>
        <v/>
      </c>
    </row>
    <row r="140">
      <c r="A140" s="8">
        <f>整形回答!A140</f>
        <v/>
      </c>
      <c r="B140" s="9">
        <f>整形回答!B140</f>
        <v/>
      </c>
      <c r="C140" s="9">
        <f>整形回答!C140</f>
        <v/>
      </c>
      <c r="D140" s="8">
        <f>IF(B140="","",SUMPRODUCT(--(整形回答!F140:BC140=正解キー!$B$2:$B$51)*XLOOKUP(設定!$B$11:$B$60,設定!$A$5:$A$7,設定!$B$5:$B$7)*XLOOKUP(設定!$C$11:$C$60,設定!$D$5:$D$7,設定!$E$5:$E$7)))</f>
        <v/>
      </c>
      <c r="E140" s="8">
        <f>SUMPRODUCT(XLOOKUP(設定!$B$11:$B$60,設定!$A$5:$A$7,設定!$B$5:$B$7)*XLOOKUP(設定!$C$11:$C$60,設定!$D$5:$D$7,設定!$E$5:$E$7))</f>
        <v/>
      </c>
      <c r="F140" s="10">
        <f>IF(D140="","",D140/E140*100)</f>
        <v/>
      </c>
      <c r="G140" s="10">
        <f>IF(D140="","",IF(SUMPRODUCT(--(設定!$B$11:$B$60="OS（Linux/Windows）")*XLOOKUP(設定!$B$11:$B$60,設定!$A$5:$A$7,設定!$B$5:$B$7)*XLOOKUP(設定!$C$11:$C$60,設定!$D$5:$D$7,設定!$E$5:$E$7))=0,"",SUMPRODUCT(--(設定!$B$11:$B$60="OS（Linux/Windows）")*--(整形回答!F140:BC140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0" s="10">
        <f>IF(D140="","",IF(SUMPRODUCT(--(設定!$B$11:$B$60="AWS")*XLOOKUP(設定!$B$11:$B$60,設定!$A$5:$A$7,設定!$B$5:$B$7)*XLOOKUP(設定!$C$11:$C$60,設定!$D$5:$D$7,設定!$E$5:$E$7))=0,"",SUMPRODUCT(--(設定!$B$11:$B$60="AWS")*--(整形回答!F140:BC140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0" s="10">
        <f>IF(D140="","",IF(SUMPRODUCT(--(設定!$B$11:$B$60="NW/Security")*XLOOKUP(設定!$B$11:$B$60,設定!$A$5:$A$7,設定!$B$5:$B$7)*XLOOKUP(設定!$C$11:$C$60,設定!$D$5:$D$7,設定!$E$5:$E$7))=0,"",SUMPRODUCT(--(設定!$B$11:$B$60="NW/Security")*--(整形回答!F140:BC140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0" s="8">
        <f>IF(F140="","",IF(F140&gt;=85,"即戦力",IF(F140&gt;=70,"主担当",IF(F140&gt;=55,"サポート","育成"))))</f>
        <v/>
      </c>
      <c r="K140" s="8">
        <f>整形回答!E140</f>
        <v/>
      </c>
    </row>
    <row r="141">
      <c r="A141" s="8">
        <f>整形回答!A141</f>
        <v/>
      </c>
      <c r="B141" s="9">
        <f>整形回答!B141</f>
        <v/>
      </c>
      <c r="C141" s="9">
        <f>整形回答!C141</f>
        <v/>
      </c>
      <c r="D141" s="8">
        <f>IF(B141="","",SUMPRODUCT(--(整形回答!F141:BC141=正解キー!$B$2:$B$51)*XLOOKUP(設定!$B$11:$B$60,設定!$A$5:$A$7,設定!$B$5:$B$7)*XLOOKUP(設定!$C$11:$C$60,設定!$D$5:$D$7,設定!$E$5:$E$7)))</f>
        <v/>
      </c>
      <c r="E141" s="8">
        <f>SUMPRODUCT(XLOOKUP(設定!$B$11:$B$60,設定!$A$5:$A$7,設定!$B$5:$B$7)*XLOOKUP(設定!$C$11:$C$60,設定!$D$5:$D$7,設定!$E$5:$E$7))</f>
        <v/>
      </c>
      <c r="F141" s="10">
        <f>IF(D141="","",D141/E141*100)</f>
        <v/>
      </c>
      <c r="G141" s="10">
        <f>IF(D141="","",IF(SUMPRODUCT(--(設定!$B$11:$B$60="OS（Linux/Windows）")*XLOOKUP(設定!$B$11:$B$60,設定!$A$5:$A$7,設定!$B$5:$B$7)*XLOOKUP(設定!$C$11:$C$60,設定!$D$5:$D$7,設定!$E$5:$E$7))=0,"",SUMPRODUCT(--(設定!$B$11:$B$60="OS（Linux/Windows）")*--(整形回答!F141:BC141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1" s="10">
        <f>IF(D141="","",IF(SUMPRODUCT(--(設定!$B$11:$B$60="AWS")*XLOOKUP(設定!$B$11:$B$60,設定!$A$5:$A$7,設定!$B$5:$B$7)*XLOOKUP(設定!$C$11:$C$60,設定!$D$5:$D$7,設定!$E$5:$E$7))=0,"",SUMPRODUCT(--(設定!$B$11:$B$60="AWS")*--(整形回答!F141:BC141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1" s="10">
        <f>IF(D141="","",IF(SUMPRODUCT(--(設定!$B$11:$B$60="NW/Security")*XLOOKUP(設定!$B$11:$B$60,設定!$A$5:$A$7,設定!$B$5:$B$7)*XLOOKUP(設定!$C$11:$C$60,設定!$D$5:$D$7,設定!$E$5:$E$7))=0,"",SUMPRODUCT(--(設定!$B$11:$B$60="NW/Security")*--(整形回答!F141:BC141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1" s="8">
        <f>IF(F141="","",IF(F141&gt;=85,"即戦力",IF(F141&gt;=70,"主担当",IF(F141&gt;=55,"サポート","育成"))))</f>
        <v/>
      </c>
      <c r="K141" s="8">
        <f>整形回答!E141</f>
        <v/>
      </c>
    </row>
    <row r="142">
      <c r="A142" s="8">
        <f>整形回答!A142</f>
        <v/>
      </c>
      <c r="B142" s="9">
        <f>整形回答!B142</f>
        <v/>
      </c>
      <c r="C142" s="9">
        <f>整形回答!C142</f>
        <v/>
      </c>
      <c r="D142" s="8">
        <f>IF(B142="","",SUMPRODUCT(--(整形回答!F142:BC142=正解キー!$B$2:$B$51)*XLOOKUP(設定!$B$11:$B$60,設定!$A$5:$A$7,設定!$B$5:$B$7)*XLOOKUP(設定!$C$11:$C$60,設定!$D$5:$D$7,設定!$E$5:$E$7)))</f>
        <v/>
      </c>
      <c r="E142" s="8">
        <f>SUMPRODUCT(XLOOKUP(設定!$B$11:$B$60,設定!$A$5:$A$7,設定!$B$5:$B$7)*XLOOKUP(設定!$C$11:$C$60,設定!$D$5:$D$7,設定!$E$5:$E$7))</f>
        <v/>
      </c>
      <c r="F142" s="10">
        <f>IF(D142="","",D142/E142*100)</f>
        <v/>
      </c>
      <c r="G142" s="10">
        <f>IF(D142="","",IF(SUMPRODUCT(--(設定!$B$11:$B$60="OS（Linux/Windows）")*XLOOKUP(設定!$B$11:$B$60,設定!$A$5:$A$7,設定!$B$5:$B$7)*XLOOKUP(設定!$C$11:$C$60,設定!$D$5:$D$7,設定!$E$5:$E$7))=0,"",SUMPRODUCT(--(設定!$B$11:$B$60="OS（Linux/Windows）")*--(整形回答!F142:BC142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2" s="10">
        <f>IF(D142="","",IF(SUMPRODUCT(--(設定!$B$11:$B$60="AWS")*XLOOKUP(設定!$B$11:$B$60,設定!$A$5:$A$7,設定!$B$5:$B$7)*XLOOKUP(設定!$C$11:$C$60,設定!$D$5:$D$7,設定!$E$5:$E$7))=0,"",SUMPRODUCT(--(設定!$B$11:$B$60="AWS")*--(整形回答!F142:BC142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2" s="10">
        <f>IF(D142="","",IF(SUMPRODUCT(--(設定!$B$11:$B$60="NW/Security")*XLOOKUP(設定!$B$11:$B$60,設定!$A$5:$A$7,設定!$B$5:$B$7)*XLOOKUP(設定!$C$11:$C$60,設定!$D$5:$D$7,設定!$E$5:$E$7))=0,"",SUMPRODUCT(--(設定!$B$11:$B$60="NW/Security")*--(整形回答!F142:BC142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2" s="8">
        <f>IF(F142="","",IF(F142&gt;=85,"即戦力",IF(F142&gt;=70,"主担当",IF(F142&gt;=55,"サポート","育成"))))</f>
        <v/>
      </c>
      <c r="K142" s="8">
        <f>整形回答!E142</f>
        <v/>
      </c>
    </row>
    <row r="143">
      <c r="A143" s="8">
        <f>整形回答!A143</f>
        <v/>
      </c>
      <c r="B143" s="9">
        <f>整形回答!B143</f>
        <v/>
      </c>
      <c r="C143" s="9">
        <f>整形回答!C143</f>
        <v/>
      </c>
      <c r="D143" s="8">
        <f>IF(B143="","",SUMPRODUCT(--(整形回答!F143:BC143=正解キー!$B$2:$B$51)*XLOOKUP(設定!$B$11:$B$60,設定!$A$5:$A$7,設定!$B$5:$B$7)*XLOOKUP(設定!$C$11:$C$60,設定!$D$5:$D$7,設定!$E$5:$E$7)))</f>
        <v/>
      </c>
      <c r="E143" s="8">
        <f>SUMPRODUCT(XLOOKUP(設定!$B$11:$B$60,設定!$A$5:$A$7,設定!$B$5:$B$7)*XLOOKUP(設定!$C$11:$C$60,設定!$D$5:$D$7,設定!$E$5:$E$7))</f>
        <v/>
      </c>
      <c r="F143" s="10">
        <f>IF(D143="","",D143/E143*100)</f>
        <v/>
      </c>
      <c r="G143" s="10">
        <f>IF(D143="","",IF(SUMPRODUCT(--(設定!$B$11:$B$60="OS（Linux/Windows）")*XLOOKUP(設定!$B$11:$B$60,設定!$A$5:$A$7,設定!$B$5:$B$7)*XLOOKUP(設定!$C$11:$C$60,設定!$D$5:$D$7,設定!$E$5:$E$7))=0,"",SUMPRODUCT(--(設定!$B$11:$B$60="OS（Linux/Windows）")*--(整形回答!F143:BC143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3" s="10">
        <f>IF(D143="","",IF(SUMPRODUCT(--(設定!$B$11:$B$60="AWS")*XLOOKUP(設定!$B$11:$B$60,設定!$A$5:$A$7,設定!$B$5:$B$7)*XLOOKUP(設定!$C$11:$C$60,設定!$D$5:$D$7,設定!$E$5:$E$7))=0,"",SUMPRODUCT(--(設定!$B$11:$B$60="AWS")*--(整形回答!F143:BC143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3" s="10">
        <f>IF(D143="","",IF(SUMPRODUCT(--(設定!$B$11:$B$60="NW/Security")*XLOOKUP(設定!$B$11:$B$60,設定!$A$5:$A$7,設定!$B$5:$B$7)*XLOOKUP(設定!$C$11:$C$60,設定!$D$5:$D$7,設定!$E$5:$E$7))=0,"",SUMPRODUCT(--(設定!$B$11:$B$60="NW/Security")*--(整形回答!F143:BC143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3" s="8">
        <f>IF(F143="","",IF(F143&gt;=85,"即戦力",IF(F143&gt;=70,"主担当",IF(F143&gt;=55,"サポート","育成"))))</f>
        <v/>
      </c>
      <c r="K143" s="8">
        <f>整形回答!E143</f>
        <v/>
      </c>
    </row>
    <row r="144">
      <c r="A144" s="8">
        <f>整形回答!A144</f>
        <v/>
      </c>
      <c r="B144" s="9">
        <f>整形回答!B144</f>
        <v/>
      </c>
      <c r="C144" s="9">
        <f>整形回答!C144</f>
        <v/>
      </c>
      <c r="D144" s="8">
        <f>IF(B144="","",SUMPRODUCT(--(整形回答!F144:BC144=正解キー!$B$2:$B$51)*XLOOKUP(設定!$B$11:$B$60,設定!$A$5:$A$7,設定!$B$5:$B$7)*XLOOKUP(設定!$C$11:$C$60,設定!$D$5:$D$7,設定!$E$5:$E$7)))</f>
        <v/>
      </c>
      <c r="E144" s="8">
        <f>SUMPRODUCT(XLOOKUP(設定!$B$11:$B$60,設定!$A$5:$A$7,設定!$B$5:$B$7)*XLOOKUP(設定!$C$11:$C$60,設定!$D$5:$D$7,設定!$E$5:$E$7))</f>
        <v/>
      </c>
      <c r="F144" s="10">
        <f>IF(D144="","",D144/E144*100)</f>
        <v/>
      </c>
      <c r="G144" s="10">
        <f>IF(D144="","",IF(SUMPRODUCT(--(設定!$B$11:$B$60="OS（Linux/Windows）")*XLOOKUP(設定!$B$11:$B$60,設定!$A$5:$A$7,設定!$B$5:$B$7)*XLOOKUP(設定!$C$11:$C$60,設定!$D$5:$D$7,設定!$E$5:$E$7))=0,"",SUMPRODUCT(--(設定!$B$11:$B$60="OS（Linux/Windows）")*--(整形回答!F144:BC144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4" s="10">
        <f>IF(D144="","",IF(SUMPRODUCT(--(設定!$B$11:$B$60="AWS")*XLOOKUP(設定!$B$11:$B$60,設定!$A$5:$A$7,設定!$B$5:$B$7)*XLOOKUP(設定!$C$11:$C$60,設定!$D$5:$D$7,設定!$E$5:$E$7))=0,"",SUMPRODUCT(--(設定!$B$11:$B$60="AWS")*--(整形回答!F144:BC144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4" s="10">
        <f>IF(D144="","",IF(SUMPRODUCT(--(設定!$B$11:$B$60="NW/Security")*XLOOKUP(設定!$B$11:$B$60,設定!$A$5:$A$7,設定!$B$5:$B$7)*XLOOKUP(設定!$C$11:$C$60,設定!$D$5:$D$7,設定!$E$5:$E$7))=0,"",SUMPRODUCT(--(設定!$B$11:$B$60="NW/Security")*--(整形回答!F144:BC144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4" s="8">
        <f>IF(F144="","",IF(F144&gt;=85,"即戦力",IF(F144&gt;=70,"主担当",IF(F144&gt;=55,"サポート","育成"))))</f>
        <v/>
      </c>
      <c r="K144" s="8">
        <f>整形回答!E144</f>
        <v/>
      </c>
    </row>
    <row r="145">
      <c r="A145" s="8">
        <f>整形回答!A145</f>
        <v/>
      </c>
      <c r="B145" s="9">
        <f>整形回答!B145</f>
        <v/>
      </c>
      <c r="C145" s="9">
        <f>整形回答!C145</f>
        <v/>
      </c>
      <c r="D145" s="8">
        <f>IF(B145="","",SUMPRODUCT(--(整形回答!F145:BC145=正解キー!$B$2:$B$51)*XLOOKUP(設定!$B$11:$B$60,設定!$A$5:$A$7,設定!$B$5:$B$7)*XLOOKUP(設定!$C$11:$C$60,設定!$D$5:$D$7,設定!$E$5:$E$7)))</f>
        <v/>
      </c>
      <c r="E145" s="8">
        <f>SUMPRODUCT(XLOOKUP(設定!$B$11:$B$60,設定!$A$5:$A$7,設定!$B$5:$B$7)*XLOOKUP(設定!$C$11:$C$60,設定!$D$5:$D$7,設定!$E$5:$E$7))</f>
        <v/>
      </c>
      <c r="F145" s="10">
        <f>IF(D145="","",D145/E145*100)</f>
        <v/>
      </c>
      <c r="G145" s="10">
        <f>IF(D145="","",IF(SUMPRODUCT(--(設定!$B$11:$B$60="OS（Linux/Windows）")*XLOOKUP(設定!$B$11:$B$60,設定!$A$5:$A$7,設定!$B$5:$B$7)*XLOOKUP(設定!$C$11:$C$60,設定!$D$5:$D$7,設定!$E$5:$E$7))=0,"",SUMPRODUCT(--(設定!$B$11:$B$60="OS（Linux/Windows）")*--(整形回答!F145:BC145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5" s="10">
        <f>IF(D145="","",IF(SUMPRODUCT(--(設定!$B$11:$B$60="AWS")*XLOOKUP(設定!$B$11:$B$60,設定!$A$5:$A$7,設定!$B$5:$B$7)*XLOOKUP(設定!$C$11:$C$60,設定!$D$5:$D$7,設定!$E$5:$E$7))=0,"",SUMPRODUCT(--(設定!$B$11:$B$60="AWS")*--(整形回答!F145:BC145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5" s="10">
        <f>IF(D145="","",IF(SUMPRODUCT(--(設定!$B$11:$B$60="NW/Security")*XLOOKUP(設定!$B$11:$B$60,設定!$A$5:$A$7,設定!$B$5:$B$7)*XLOOKUP(設定!$C$11:$C$60,設定!$D$5:$D$7,設定!$E$5:$E$7))=0,"",SUMPRODUCT(--(設定!$B$11:$B$60="NW/Security")*--(整形回答!F145:BC145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5" s="8">
        <f>IF(F145="","",IF(F145&gt;=85,"即戦力",IF(F145&gt;=70,"主担当",IF(F145&gt;=55,"サポート","育成"))))</f>
        <v/>
      </c>
      <c r="K145" s="8">
        <f>整形回答!E145</f>
        <v/>
      </c>
    </row>
    <row r="146">
      <c r="A146" s="8">
        <f>整形回答!A146</f>
        <v/>
      </c>
      <c r="B146" s="9">
        <f>整形回答!B146</f>
        <v/>
      </c>
      <c r="C146" s="9">
        <f>整形回答!C146</f>
        <v/>
      </c>
      <c r="D146" s="8">
        <f>IF(B146="","",SUMPRODUCT(--(整形回答!F146:BC146=正解キー!$B$2:$B$51)*XLOOKUP(設定!$B$11:$B$60,設定!$A$5:$A$7,設定!$B$5:$B$7)*XLOOKUP(設定!$C$11:$C$60,設定!$D$5:$D$7,設定!$E$5:$E$7)))</f>
        <v/>
      </c>
      <c r="E146" s="8">
        <f>SUMPRODUCT(XLOOKUP(設定!$B$11:$B$60,設定!$A$5:$A$7,設定!$B$5:$B$7)*XLOOKUP(設定!$C$11:$C$60,設定!$D$5:$D$7,設定!$E$5:$E$7))</f>
        <v/>
      </c>
      <c r="F146" s="10">
        <f>IF(D146="","",D146/E146*100)</f>
        <v/>
      </c>
      <c r="G146" s="10">
        <f>IF(D146="","",IF(SUMPRODUCT(--(設定!$B$11:$B$60="OS（Linux/Windows）")*XLOOKUP(設定!$B$11:$B$60,設定!$A$5:$A$7,設定!$B$5:$B$7)*XLOOKUP(設定!$C$11:$C$60,設定!$D$5:$D$7,設定!$E$5:$E$7))=0,"",SUMPRODUCT(--(設定!$B$11:$B$60="OS（Linux/Windows）")*--(整形回答!F146:BC146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6" s="10">
        <f>IF(D146="","",IF(SUMPRODUCT(--(設定!$B$11:$B$60="AWS")*XLOOKUP(設定!$B$11:$B$60,設定!$A$5:$A$7,設定!$B$5:$B$7)*XLOOKUP(設定!$C$11:$C$60,設定!$D$5:$D$7,設定!$E$5:$E$7))=0,"",SUMPRODUCT(--(設定!$B$11:$B$60="AWS")*--(整形回答!F146:BC146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6" s="10">
        <f>IF(D146="","",IF(SUMPRODUCT(--(設定!$B$11:$B$60="NW/Security")*XLOOKUP(設定!$B$11:$B$60,設定!$A$5:$A$7,設定!$B$5:$B$7)*XLOOKUP(設定!$C$11:$C$60,設定!$D$5:$D$7,設定!$E$5:$E$7))=0,"",SUMPRODUCT(--(設定!$B$11:$B$60="NW/Security")*--(整形回答!F146:BC146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6" s="8">
        <f>IF(F146="","",IF(F146&gt;=85,"即戦力",IF(F146&gt;=70,"主担当",IF(F146&gt;=55,"サポート","育成"))))</f>
        <v/>
      </c>
      <c r="K146" s="8">
        <f>整形回答!E146</f>
        <v/>
      </c>
    </row>
    <row r="147">
      <c r="A147" s="8">
        <f>整形回答!A147</f>
        <v/>
      </c>
      <c r="B147" s="9">
        <f>整形回答!B147</f>
        <v/>
      </c>
      <c r="C147" s="9">
        <f>整形回答!C147</f>
        <v/>
      </c>
      <c r="D147" s="8">
        <f>IF(B147="","",SUMPRODUCT(--(整形回答!F147:BC147=正解キー!$B$2:$B$51)*XLOOKUP(設定!$B$11:$B$60,設定!$A$5:$A$7,設定!$B$5:$B$7)*XLOOKUP(設定!$C$11:$C$60,設定!$D$5:$D$7,設定!$E$5:$E$7)))</f>
        <v/>
      </c>
      <c r="E147" s="8">
        <f>SUMPRODUCT(XLOOKUP(設定!$B$11:$B$60,設定!$A$5:$A$7,設定!$B$5:$B$7)*XLOOKUP(設定!$C$11:$C$60,設定!$D$5:$D$7,設定!$E$5:$E$7))</f>
        <v/>
      </c>
      <c r="F147" s="10">
        <f>IF(D147="","",D147/E147*100)</f>
        <v/>
      </c>
      <c r="G147" s="10">
        <f>IF(D147="","",IF(SUMPRODUCT(--(設定!$B$11:$B$60="OS（Linux/Windows）")*XLOOKUP(設定!$B$11:$B$60,設定!$A$5:$A$7,設定!$B$5:$B$7)*XLOOKUP(設定!$C$11:$C$60,設定!$D$5:$D$7,設定!$E$5:$E$7))=0,"",SUMPRODUCT(--(設定!$B$11:$B$60="OS（Linux/Windows）")*--(整形回答!F147:BC147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7" s="10">
        <f>IF(D147="","",IF(SUMPRODUCT(--(設定!$B$11:$B$60="AWS")*XLOOKUP(設定!$B$11:$B$60,設定!$A$5:$A$7,設定!$B$5:$B$7)*XLOOKUP(設定!$C$11:$C$60,設定!$D$5:$D$7,設定!$E$5:$E$7))=0,"",SUMPRODUCT(--(設定!$B$11:$B$60="AWS")*--(整形回答!F147:BC147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7" s="10">
        <f>IF(D147="","",IF(SUMPRODUCT(--(設定!$B$11:$B$60="NW/Security")*XLOOKUP(設定!$B$11:$B$60,設定!$A$5:$A$7,設定!$B$5:$B$7)*XLOOKUP(設定!$C$11:$C$60,設定!$D$5:$D$7,設定!$E$5:$E$7))=0,"",SUMPRODUCT(--(設定!$B$11:$B$60="NW/Security")*--(整形回答!F147:BC147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7" s="8">
        <f>IF(F147="","",IF(F147&gt;=85,"即戦力",IF(F147&gt;=70,"主担当",IF(F147&gt;=55,"サポート","育成"))))</f>
        <v/>
      </c>
      <c r="K147" s="8">
        <f>整形回答!E147</f>
        <v/>
      </c>
    </row>
    <row r="148">
      <c r="A148" s="8">
        <f>整形回答!A148</f>
        <v/>
      </c>
      <c r="B148" s="9">
        <f>整形回答!B148</f>
        <v/>
      </c>
      <c r="C148" s="9">
        <f>整形回答!C148</f>
        <v/>
      </c>
      <c r="D148" s="8">
        <f>IF(B148="","",SUMPRODUCT(--(整形回答!F148:BC148=正解キー!$B$2:$B$51)*XLOOKUP(設定!$B$11:$B$60,設定!$A$5:$A$7,設定!$B$5:$B$7)*XLOOKUP(設定!$C$11:$C$60,設定!$D$5:$D$7,設定!$E$5:$E$7)))</f>
        <v/>
      </c>
      <c r="E148" s="8">
        <f>SUMPRODUCT(XLOOKUP(設定!$B$11:$B$60,設定!$A$5:$A$7,設定!$B$5:$B$7)*XLOOKUP(設定!$C$11:$C$60,設定!$D$5:$D$7,設定!$E$5:$E$7))</f>
        <v/>
      </c>
      <c r="F148" s="10">
        <f>IF(D148="","",D148/E148*100)</f>
        <v/>
      </c>
      <c r="G148" s="10">
        <f>IF(D148="","",IF(SUMPRODUCT(--(設定!$B$11:$B$60="OS（Linux/Windows）")*XLOOKUP(設定!$B$11:$B$60,設定!$A$5:$A$7,設定!$B$5:$B$7)*XLOOKUP(設定!$C$11:$C$60,設定!$D$5:$D$7,設定!$E$5:$E$7))=0,"",SUMPRODUCT(--(設定!$B$11:$B$60="OS（Linux/Windows）")*--(整形回答!F148:BC148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8" s="10">
        <f>IF(D148="","",IF(SUMPRODUCT(--(設定!$B$11:$B$60="AWS")*XLOOKUP(設定!$B$11:$B$60,設定!$A$5:$A$7,設定!$B$5:$B$7)*XLOOKUP(設定!$C$11:$C$60,設定!$D$5:$D$7,設定!$E$5:$E$7))=0,"",SUMPRODUCT(--(設定!$B$11:$B$60="AWS")*--(整形回答!F148:BC148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8" s="10">
        <f>IF(D148="","",IF(SUMPRODUCT(--(設定!$B$11:$B$60="NW/Security")*XLOOKUP(設定!$B$11:$B$60,設定!$A$5:$A$7,設定!$B$5:$B$7)*XLOOKUP(設定!$C$11:$C$60,設定!$D$5:$D$7,設定!$E$5:$E$7))=0,"",SUMPRODUCT(--(設定!$B$11:$B$60="NW/Security")*--(整形回答!F148:BC148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8" s="8">
        <f>IF(F148="","",IF(F148&gt;=85,"即戦力",IF(F148&gt;=70,"主担当",IF(F148&gt;=55,"サポート","育成"))))</f>
        <v/>
      </c>
      <c r="K148" s="8">
        <f>整形回答!E148</f>
        <v/>
      </c>
    </row>
    <row r="149">
      <c r="A149" s="8">
        <f>整形回答!A149</f>
        <v/>
      </c>
      <c r="B149" s="9">
        <f>整形回答!B149</f>
        <v/>
      </c>
      <c r="C149" s="9">
        <f>整形回答!C149</f>
        <v/>
      </c>
      <c r="D149" s="8">
        <f>IF(B149="","",SUMPRODUCT(--(整形回答!F149:BC149=正解キー!$B$2:$B$51)*XLOOKUP(設定!$B$11:$B$60,設定!$A$5:$A$7,設定!$B$5:$B$7)*XLOOKUP(設定!$C$11:$C$60,設定!$D$5:$D$7,設定!$E$5:$E$7)))</f>
        <v/>
      </c>
      <c r="E149" s="8">
        <f>SUMPRODUCT(XLOOKUP(設定!$B$11:$B$60,設定!$A$5:$A$7,設定!$B$5:$B$7)*XLOOKUP(設定!$C$11:$C$60,設定!$D$5:$D$7,設定!$E$5:$E$7))</f>
        <v/>
      </c>
      <c r="F149" s="10">
        <f>IF(D149="","",D149/E149*100)</f>
        <v/>
      </c>
      <c r="G149" s="10">
        <f>IF(D149="","",IF(SUMPRODUCT(--(設定!$B$11:$B$60="OS（Linux/Windows）")*XLOOKUP(設定!$B$11:$B$60,設定!$A$5:$A$7,設定!$B$5:$B$7)*XLOOKUP(設定!$C$11:$C$60,設定!$D$5:$D$7,設定!$E$5:$E$7))=0,"",SUMPRODUCT(--(設定!$B$11:$B$60="OS（Linux/Windows）")*--(整形回答!F149:BC149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49" s="10">
        <f>IF(D149="","",IF(SUMPRODUCT(--(設定!$B$11:$B$60="AWS")*XLOOKUP(設定!$B$11:$B$60,設定!$A$5:$A$7,設定!$B$5:$B$7)*XLOOKUP(設定!$C$11:$C$60,設定!$D$5:$D$7,設定!$E$5:$E$7))=0,"",SUMPRODUCT(--(設定!$B$11:$B$60="AWS")*--(整形回答!F149:BC149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49" s="10">
        <f>IF(D149="","",IF(SUMPRODUCT(--(設定!$B$11:$B$60="NW/Security")*XLOOKUP(設定!$B$11:$B$60,設定!$A$5:$A$7,設定!$B$5:$B$7)*XLOOKUP(設定!$C$11:$C$60,設定!$D$5:$D$7,設定!$E$5:$E$7))=0,"",SUMPRODUCT(--(設定!$B$11:$B$60="NW/Security")*--(整形回答!F149:BC149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49" s="8">
        <f>IF(F149="","",IF(F149&gt;=85,"即戦力",IF(F149&gt;=70,"主担当",IF(F149&gt;=55,"サポート","育成"))))</f>
        <v/>
      </c>
      <c r="K149" s="8">
        <f>整形回答!E149</f>
        <v/>
      </c>
    </row>
    <row r="150">
      <c r="A150" s="8">
        <f>整形回答!A150</f>
        <v/>
      </c>
      <c r="B150" s="9">
        <f>整形回答!B150</f>
        <v/>
      </c>
      <c r="C150" s="9">
        <f>整形回答!C150</f>
        <v/>
      </c>
      <c r="D150" s="8">
        <f>IF(B150="","",SUMPRODUCT(--(整形回答!F150:BC150=正解キー!$B$2:$B$51)*XLOOKUP(設定!$B$11:$B$60,設定!$A$5:$A$7,設定!$B$5:$B$7)*XLOOKUP(設定!$C$11:$C$60,設定!$D$5:$D$7,設定!$E$5:$E$7)))</f>
        <v/>
      </c>
      <c r="E150" s="8">
        <f>SUMPRODUCT(XLOOKUP(設定!$B$11:$B$60,設定!$A$5:$A$7,設定!$B$5:$B$7)*XLOOKUP(設定!$C$11:$C$60,設定!$D$5:$D$7,設定!$E$5:$E$7))</f>
        <v/>
      </c>
      <c r="F150" s="10">
        <f>IF(D150="","",D150/E150*100)</f>
        <v/>
      </c>
      <c r="G150" s="10">
        <f>IF(D150="","",IF(SUMPRODUCT(--(設定!$B$11:$B$60="OS（Linux/Windows）")*XLOOKUP(設定!$B$11:$B$60,設定!$A$5:$A$7,設定!$B$5:$B$7)*XLOOKUP(設定!$C$11:$C$60,設定!$D$5:$D$7,設定!$E$5:$E$7))=0,"",SUMPRODUCT(--(設定!$B$11:$B$60="OS（Linux/Windows）")*--(整形回答!F150:BC150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0" s="10">
        <f>IF(D150="","",IF(SUMPRODUCT(--(設定!$B$11:$B$60="AWS")*XLOOKUP(設定!$B$11:$B$60,設定!$A$5:$A$7,設定!$B$5:$B$7)*XLOOKUP(設定!$C$11:$C$60,設定!$D$5:$D$7,設定!$E$5:$E$7))=0,"",SUMPRODUCT(--(設定!$B$11:$B$60="AWS")*--(整形回答!F150:BC150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0" s="10">
        <f>IF(D150="","",IF(SUMPRODUCT(--(設定!$B$11:$B$60="NW/Security")*XLOOKUP(設定!$B$11:$B$60,設定!$A$5:$A$7,設定!$B$5:$B$7)*XLOOKUP(設定!$C$11:$C$60,設定!$D$5:$D$7,設定!$E$5:$E$7))=0,"",SUMPRODUCT(--(設定!$B$11:$B$60="NW/Security")*--(整形回答!F150:BC150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0" s="8">
        <f>IF(F150="","",IF(F150&gt;=85,"即戦力",IF(F150&gt;=70,"主担当",IF(F150&gt;=55,"サポート","育成"))))</f>
        <v/>
      </c>
      <c r="K150" s="8">
        <f>整形回答!E150</f>
        <v/>
      </c>
    </row>
    <row r="151">
      <c r="A151" s="8">
        <f>整形回答!A151</f>
        <v/>
      </c>
      <c r="B151" s="9">
        <f>整形回答!B151</f>
        <v/>
      </c>
      <c r="C151" s="9">
        <f>整形回答!C151</f>
        <v/>
      </c>
      <c r="D151" s="8">
        <f>IF(B151="","",SUMPRODUCT(--(整形回答!F151:BC151=正解キー!$B$2:$B$51)*XLOOKUP(設定!$B$11:$B$60,設定!$A$5:$A$7,設定!$B$5:$B$7)*XLOOKUP(設定!$C$11:$C$60,設定!$D$5:$D$7,設定!$E$5:$E$7)))</f>
        <v/>
      </c>
      <c r="E151" s="8">
        <f>SUMPRODUCT(XLOOKUP(設定!$B$11:$B$60,設定!$A$5:$A$7,設定!$B$5:$B$7)*XLOOKUP(設定!$C$11:$C$60,設定!$D$5:$D$7,設定!$E$5:$E$7))</f>
        <v/>
      </c>
      <c r="F151" s="10">
        <f>IF(D151="","",D151/E151*100)</f>
        <v/>
      </c>
      <c r="G151" s="10">
        <f>IF(D151="","",IF(SUMPRODUCT(--(設定!$B$11:$B$60="OS（Linux/Windows）")*XLOOKUP(設定!$B$11:$B$60,設定!$A$5:$A$7,設定!$B$5:$B$7)*XLOOKUP(設定!$C$11:$C$60,設定!$D$5:$D$7,設定!$E$5:$E$7))=0,"",SUMPRODUCT(--(設定!$B$11:$B$60="OS（Linux/Windows）")*--(整形回答!F151:BC151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1" s="10">
        <f>IF(D151="","",IF(SUMPRODUCT(--(設定!$B$11:$B$60="AWS")*XLOOKUP(設定!$B$11:$B$60,設定!$A$5:$A$7,設定!$B$5:$B$7)*XLOOKUP(設定!$C$11:$C$60,設定!$D$5:$D$7,設定!$E$5:$E$7))=0,"",SUMPRODUCT(--(設定!$B$11:$B$60="AWS")*--(整形回答!F151:BC151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1" s="10">
        <f>IF(D151="","",IF(SUMPRODUCT(--(設定!$B$11:$B$60="NW/Security")*XLOOKUP(設定!$B$11:$B$60,設定!$A$5:$A$7,設定!$B$5:$B$7)*XLOOKUP(設定!$C$11:$C$60,設定!$D$5:$D$7,設定!$E$5:$E$7))=0,"",SUMPRODUCT(--(設定!$B$11:$B$60="NW/Security")*--(整形回答!F151:BC151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1" s="8">
        <f>IF(F151="","",IF(F151&gt;=85,"即戦力",IF(F151&gt;=70,"主担当",IF(F151&gt;=55,"サポート","育成"))))</f>
        <v/>
      </c>
      <c r="K151" s="8">
        <f>整形回答!E151</f>
        <v/>
      </c>
    </row>
    <row r="152">
      <c r="A152" s="8">
        <f>整形回答!A152</f>
        <v/>
      </c>
      <c r="B152" s="9">
        <f>整形回答!B152</f>
        <v/>
      </c>
      <c r="C152" s="9">
        <f>整形回答!C152</f>
        <v/>
      </c>
      <c r="D152" s="8">
        <f>IF(B152="","",SUMPRODUCT(--(整形回答!F152:BC152=正解キー!$B$2:$B$51)*XLOOKUP(設定!$B$11:$B$60,設定!$A$5:$A$7,設定!$B$5:$B$7)*XLOOKUP(設定!$C$11:$C$60,設定!$D$5:$D$7,設定!$E$5:$E$7)))</f>
        <v/>
      </c>
      <c r="E152" s="8">
        <f>SUMPRODUCT(XLOOKUP(設定!$B$11:$B$60,設定!$A$5:$A$7,設定!$B$5:$B$7)*XLOOKUP(設定!$C$11:$C$60,設定!$D$5:$D$7,設定!$E$5:$E$7))</f>
        <v/>
      </c>
      <c r="F152" s="10">
        <f>IF(D152="","",D152/E152*100)</f>
        <v/>
      </c>
      <c r="G152" s="10">
        <f>IF(D152="","",IF(SUMPRODUCT(--(設定!$B$11:$B$60="OS（Linux/Windows）")*XLOOKUP(設定!$B$11:$B$60,設定!$A$5:$A$7,設定!$B$5:$B$7)*XLOOKUP(設定!$C$11:$C$60,設定!$D$5:$D$7,設定!$E$5:$E$7))=0,"",SUMPRODUCT(--(設定!$B$11:$B$60="OS（Linux/Windows）")*--(整形回答!F152:BC152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2" s="10">
        <f>IF(D152="","",IF(SUMPRODUCT(--(設定!$B$11:$B$60="AWS")*XLOOKUP(設定!$B$11:$B$60,設定!$A$5:$A$7,設定!$B$5:$B$7)*XLOOKUP(設定!$C$11:$C$60,設定!$D$5:$D$7,設定!$E$5:$E$7))=0,"",SUMPRODUCT(--(設定!$B$11:$B$60="AWS")*--(整形回答!F152:BC152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2" s="10">
        <f>IF(D152="","",IF(SUMPRODUCT(--(設定!$B$11:$B$60="NW/Security")*XLOOKUP(設定!$B$11:$B$60,設定!$A$5:$A$7,設定!$B$5:$B$7)*XLOOKUP(設定!$C$11:$C$60,設定!$D$5:$D$7,設定!$E$5:$E$7))=0,"",SUMPRODUCT(--(設定!$B$11:$B$60="NW/Security")*--(整形回答!F152:BC152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2" s="8">
        <f>IF(F152="","",IF(F152&gt;=85,"即戦力",IF(F152&gt;=70,"主担当",IF(F152&gt;=55,"サポート","育成"))))</f>
        <v/>
      </c>
      <c r="K152" s="8">
        <f>整形回答!E152</f>
        <v/>
      </c>
    </row>
    <row r="153">
      <c r="A153" s="8">
        <f>整形回答!A153</f>
        <v/>
      </c>
      <c r="B153" s="9">
        <f>整形回答!B153</f>
        <v/>
      </c>
      <c r="C153" s="9">
        <f>整形回答!C153</f>
        <v/>
      </c>
      <c r="D153" s="8">
        <f>IF(B153="","",SUMPRODUCT(--(整形回答!F153:BC153=正解キー!$B$2:$B$51)*XLOOKUP(設定!$B$11:$B$60,設定!$A$5:$A$7,設定!$B$5:$B$7)*XLOOKUP(設定!$C$11:$C$60,設定!$D$5:$D$7,設定!$E$5:$E$7)))</f>
        <v/>
      </c>
      <c r="E153" s="8">
        <f>SUMPRODUCT(XLOOKUP(設定!$B$11:$B$60,設定!$A$5:$A$7,設定!$B$5:$B$7)*XLOOKUP(設定!$C$11:$C$60,設定!$D$5:$D$7,設定!$E$5:$E$7))</f>
        <v/>
      </c>
      <c r="F153" s="10">
        <f>IF(D153="","",D153/E153*100)</f>
        <v/>
      </c>
      <c r="G153" s="10">
        <f>IF(D153="","",IF(SUMPRODUCT(--(設定!$B$11:$B$60="OS（Linux/Windows）")*XLOOKUP(設定!$B$11:$B$60,設定!$A$5:$A$7,設定!$B$5:$B$7)*XLOOKUP(設定!$C$11:$C$60,設定!$D$5:$D$7,設定!$E$5:$E$7))=0,"",SUMPRODUCT(--(設定!$B$11:$B$60="OS（Linux/Windows）")*--(整形回答!F153:BC153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3" s="10">
        <f>IF(D153="","",IF(SUMPRODUCT(--(設定!$B$11:$B$60="AWS")*XLOOKUP(設定!$B$11:$B$60,設定!$A$5:$A$7,設定!$B$5:$B$7)*XLOOKUP(設定!$C$11:$C$60,設定!$D$5:$D$7,設定!$E$5:$E$7))=0,"",SUMPRODUCT(--(設定!$B$11:$B$60="AWS")*--(整形回答!F153:BC153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3" s="10">
        <f>IF(D153="","",IF(SUMPRODUCT(--(設定!$B$11:$B$60="NW/Security")*XLOOKUP(設定!$B$11:$B$60,設定!$A$5:$A$7,設定!$B$5:$B$7)*XLOOKUP(設定!$C$11:$C$60,設定!$D$5:$D$7,設定!$E$5:$E$7))=0,"",SUMPRODUCT(--(設定!$B$11:$B$60="NW/Security")*--(整形回答!F153:BC153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3" s="8">
        <f>IF(F153="","",IF(F153&gt;=85,"即戦力",IF(F153&gt;=70,"主担当",IF(F153&gt;=55,"サポート","育成"))))</f>
        <v/>
      </c>
      <c r="K153" s="8">
        <f>整形回答!E153</f>
        <v/>
      </c>
    </row>
    <row r="154">
      <c r="A154" s="8">
        <f>整形回答!A154</f>
        <v/>
      </c>
      <c r="B154" s="9">
        <f>整形回答!B154</f>
        <v/>
      </c>
      <c r="C154" s="9">
        <f>整形回答!C154</f>
        <v/>
      </c>
      <c r="D154" s="8">
        <f>IF(B154="","",SUMPRODUCT(--(整形回答!F154:BC154=正解キー!$B$2:$B$51)*XLOOKUP(設定!$B$11:$B$60,設定!$A$5:$A$7,設定!$B$5:$B$7)*XLOOKUP(設定!$C$11:$C$60,設定!$D$5:$D$7,設定!$E$5:$E$7)))</f>
        <v/>
      </c>
      <c r="E154" s="8">
        <f>SUMPRODUCT(XLOOKUP(設定!$B$11:$B$60,設定!$A$5:$A$7,設定!$B$5:$B$7)*XLOOKUP(設定!$C$11:$C$60,設定!$D$5:$D$7,設定!$E$5:$E$7))</f>
        <v/>
      </c>
      <c r="F154" s="10">
        <f>IF(D154="","",D154/E154*100)</f>
        <v/>
      </c>
      <c r="G154" s="10">
        <f>IF(D154="","",IF(SUMPRODUCT(--(設定!$B$11:$B$60="OS（Linux/Windows）")*XLOOKUP(設定!$B$11:$B$60,設定!$A$5:$A$7,設定!$B$5:$B$7)*XLOOKUP(設定!$C$11:$C$60,設定!$D$5:$D$7,設定!$E$5:$E$7))=0,"",SUMPRODUCT(--(設定!$B$11:$B$60="OS（Linux/Windows）")*--(整形回答!F154:BC154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4" s="10">
        <f>IF(D154="","",IF(SUMPRODUCT(--(設定!$B$11:$B$60="AWS")*XLOOKUP(設定!$B$11:$B$60,設定!$A$5:$A$7,設定!$B$5:$B$7)*XLOOKUP(設定!$C$11:$C$60,設定!$D$5:$D$7,設定!$E$5:$E$7))=0,"",SUMPRODUCT(--(設定!$B$11:$B$60="AWS")*--(整形回答!F154:BC154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4" s="10">
        <f>IF(D154="","",IF(SUMPRODUCT(--(設定!$B$11:$B$60="NW/Security")*XLOOKUP(設定!$B$11:$B$60,設定!$A$5:$A$7,設定!$B$5:$B$7)*XLOOKUP(設定!$C$11:$C$60,設定!$D$5:$D$7,設定!$E$5:$E$7))=0,"",SUMPRODUCT(--(設定!$B$11:$B$60="NW/Security")*--(整形回答!F154:BC154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4" s="8">
        <f>IF(F154="","",IF(F154&gt;=85,"即戦力",IF(F154&gt;=70,"主担当",IF(F154&gt;=55,"サポート","育成"))))</f>
        <v/>
      </c>
      <c r="K154" s="8">
        <f>整形回答!E154</f>
        <v/>
      </c>
    </row>
    <row r="155">
      <c r="A155" s="8">
        <f>整形回答!A155</f>
        <v/>
      </c>
      <c r="B155" s="9">
        <f>整形回答!B155</f>
        <v/>
      </c>
      <c r="C155" s="9">
        <f>整形回答!C155</f>
        <v/>
      </c>
      <c r="D155" s="8">
        <f>IF(B155="","",SUMPRODUCT(--(整形回答!F155:BC155=正解キー!$B$2:$B$51)*XLOOKUP(設定!$B$11:$B$60,設定!$A$5:$A$7,設定!$B$5:$B$7)*XLOOKUP(設定!$C$11:$C$60,設定!$D$5:$D$7,設定!$E$5:$E$7)))</f>
        <v/>
      </c>
      <c r="E155" s="8">
        <f>SUMPRODUCT(XLOOKUP(設定!$B$11:$B$60,設定!$A$5:$A$7,設定!$B$5:$B$7)*XLOOKUP(設定!$C$11:$C$60,設定!$D$5:$D$7,設定!$E$5:$E$7))</f>
        <v/>
      </c>
      <c r="F155" s="10">
        <f>IF(D155="","",D155/E155*100)</f>
        <v/>
      </c>
      <c r="G155" s="10">
        <f>IF(D155="","",IF(SUMPRODUCT(--(設定!$B$11:$B$60="OS（Linux/Windows）")*XLOOKUP(設定!$B$11:$B$60,設定!$A$5:$A$7,設定!$B$5:$B$7)*XLOOKUP(設定!$C$11:$C$60,設定!$D$5:$D$7,設定!$E$5:$E$7))=0,"",SUMPRODUCT(--(設定!$B$11:$B$60="OS（Linux/Windows）")*--(整形回答!F155:BC155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5" s="10">
        <f>IF(D155="","",IF(SUMPRODUCT(--(設定!$B$11:$B$60="AWS")*XLOOKUP(設定!$B$11:$B$60,設定!$A$5:$A$7,設定!$B$5:$B$7)*XLOOKUP(設定!$C$11:$C$60,設定!$D$5:$D$7,設定!$E$5:$E$7))=0,"",SUMPRODUCT(--(設定!$B$11:$B$60="AWS")*--(整形回答!F155:BC155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5" s="10">
        <f>IF(D155="","",IF(SUMPRODUCT(--(設定!$B$11:$B$60="NW/Security")*XLOOKUP(設定!$B$11:$B$60,設定!$A$5:$A$7,設定!$B$5:$B$7)*XLOOKUP(設定!$C$11:$C$60,設定!$D$5:$D$7,設定!$E$5:$E$7))=0,"",SUMPRODUCT(--(設定!$B$11:$B$60="NW/Security")*--(整形回答!F155:BC155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5" s="8">
        <f>IF(F155="","",IF(F155&gt;=85,"即戦力",IF(F155&gt;=70,"主担当",IF(F155&gt;=55,"サポート","育成"))))</f>
        <v/>
      </c>
      <c r="K155" s="8">
        <f>整形回答!E155</f>
        <v/>
      </c>
    </row>
    <row r="156">
      <c r="A156" s="8">
        <f>整形回答!A156</f>
        <v/>
      </c>
      <c r="B156" s="9">
        <f>整形回答!B156</f>
        <v/>
      </c>
      <c r="C156" s="9">
        <f>整形回答!C156</f>
        <v/>
      </c>
      <c r="D156" s="8">
        <f>IF(B156="","",SUMPRODUCT(--(整形回答!F156:BC156=正解キー!$B$2:$B$51)*XLOOKUP(設定!$B$11:$B$60,設定!$A$5:$A$7,設定!$B$5:$B$7)*XLOOKUP(設定!$C$11:$C$60,設定!$D$5:$D$7,設定!$E$5:$E$7)))</f>
        <v/>
      </c>
      <c r="E156" s="8">
        <f>SUMPRODUCT(XLOOKUP(設定!$B$11:$B$60,設定!$A$5:$A$7,設定!$B$5:$B$7)*XLOOKUP(設定!$C$11:$C$60,設定!$D$5:$D$7,設定!$E$5:$E$7))</f>
        <v/>
      </c>
      <c r="F156" s="10">
        <f>IF(D156="","",D156/E156*100)</f>
        <v/>
      </c>
      <c r="G156" s="10">
        <f>IF(D156="","",IF(SUMPRODUCT(--(設定!$B$11:$B$60="OS（Linux/Windows）")*XLOOKUP(設定!$B$11:$B$60,設定!$A$5:$A$7,設定!$B$5:$B$7)*XLOOKUP(設定!$C$11:$C$60,設定!$D$5:$D$7,設定!$E$5:$E$7))=0,"",SUMPRODUCT(--(設定!$B$11:$B$60="OS（Linux/Windows）")*--(整形回答!F156:BC156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6" s="10">
        <f>IF(D156="","",IF(SUMPRODUCT(--(設定!$B$11:$B$60="AWS")*XLOOKUP(設定!$B$11:$B$60,設定!$A$5:$A$7,設定!$B$5:$B$7)*XLOOKUP(設定!$C$11:$C$60,設定!$D$5:$D$7,設定!$E$5:$E$7))=0,"",SUMPRODUCT(--(設定!$B$11:$B$60="AWS")*--(整形回答!F156:BC156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6" s="10">
        <f>IF(D156="","",IF(SUMPRODUCT(--(設定!$B$11:$B$60="NW/Security")*XLOOKUP(設定!$B$11:$B$60,設定!$A$5:$A$7,設定!$B$5:$B$7)*XLOOKUP(設定!$C$11:$C$60,設定!$D$5:$D$7,設定!$E$5:$E$7))=0,"",SUMPRODUCT(--(設定!$B$11:$B$60="NW/Security")*--(整形回答!F156:BC156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6" s="8">
        <f>IF(F156="","",IF(F156&gt;=85,"即戦力",IF(F156&gt;=70,"主担当",IF(F156&gt;=55,"サポート","育成"))))</f>
        <v/>
      </c>
      <c r="K156" s="8">
        <f>整形回答!E156</f>
        <v/>
      </c>
    </row>
    <row r="157">
      <c r="A157" s="8">
        <f>整形回答!A157</f>
        <v/>
      </c>
      <c r="B157" s="9">
        <f>整形回答!B157</f>
        <v/>
      </c>
      <c r="C157" s="9">
        <f>整形回答!C157</f>
        <v/>
      </c>
      <c r="D157" s="8">
        <f>IF(B157="","",SUMPRODUCT(--(整形回答!F157:BC157=正解キー!$B$2:$B$51)*XLOOKUP(設定!$B$11:$B$60,設定!$A$5:$A$7,設定!$B$5:$B$7)*XLOOKUP(設定!$C$11:$C$60,設定!$D$5:$D$7,設定!$E$5:$E$7)))</f>
        <v/>
      </c>
      <c r="E157" s="8">
        <f>SUMPRODUCT(XLOOKUP(設定!$B$11:$B$60,設定!$A$5:$A$7,設定!$B$5:$B$7)*XLOOKUP(設定!$C$11:$C$60,設定!$D$5:$D$7,設定!$E$5:$E$7))</f>
        <v/>
      </c>
      <c r="F157" s="10">
        <f>IF(D157="","",D157/E157*100)</f>
        <v/>
      </c>
      <c r="G157" s="10">
        <f>IF(D157="","",IF(SUMPRODUCT(--(設定!$B$11:$B$60="OS（Linux/Windows）")*XLOOKUP(設定!$B$11:$B$60,設定!$A$5:$A$7,設定!$B$5:$B$7)*XLOOKUP(設定!$C$11:$C$60,設定!$D$5:$D$7,設定!$E$5:$E$7))=0,"",SUMPRODUCT(--(設定!$B$11:$B$60="OS（Linux/Windows）")*--(整形回答!F157:BC157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7" s="10">
        <f>IF(D157="","",IF(SUMPRODUCT(--(設定!$B$11:$B$60="AWS")*XLOOKUP(設定!$B$11:$B$60,設定!$A$5:$A$7,設定!$B$5:$B$7)*XLOOKUP(設定!$C$11:$C$60,設定!$D$5:$D$7,設定!$E$5:$E$7))=0,"",SUMPRODUCT(--(設定!$B$11:$B$60="AWS")*--(整形回答!F157:BC157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7" s="10">
        <f>IF(D157="","",IF(SUMPRODUCT(--(設定!$B$11:$B$60="NW/Security")*XLOOKUP(設定!$B$11:$B$60,設定!$A$5:$A$7,設定!$B$5:$B$7)*XLOOKUP(設定!$C$11:$C$60,設定!$D$5:$D$7,設定!$E$5:$E$7))=0,"",SUMPRODUCT(--(設定!$B$11:$B$60="NW/Security")*--(整形回答!F157:BC157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7" s="8">
        <f>IF(F157="","",IF(F157&gt;=85,"即戦力",IF(F157&gt;=70,"主担当",IF(F157&gt;=55,"サポート","育成"))))</f>
        <v/>
      </c>
      <c r="K157" s="8">
        <f>整形回答!E157</f>
        <v/>
      </c>
    </row>
    <row r="158">
      <c r="A158" s="8">
        <f>整形回答!A158</f>
        <v/>
      </c>
      <c r="B158" s="9">
        <f>整形回答!B158</f>
        <v/>
      </c>
      <c r="C158" s="9">
        <f>整形回答!C158</f>
        <v/>
      </c>
      <c r="D158" s="8">
        <f>IF(B158="","",SUMPRODUCT(--(整形回答!F158:BC158=正解キー!$B$2:$B$51)*XLOOKUP(設定!$B$11:$B$60,設定!$A$5:$A$7,設定!$B$5:$B$7)*XLOOKUP(設定!$C$11:$C$60,設定!$D$5:$D$7,設定!$E$5:$E$7)))</f>
        <v/>
      </c>
      <c r="E158" s="8">
        <f>SUMPRODUCT(XLOOKUP(設定!$B$11:$B$60,設定!$A$5:$A$7,設定!$B$5:$B$7)*XLOOKUP(設定!$C$11:$C$60,設定!$D$5:$D$7,設定!$E$5:$E$7))</f>
        <v/>
      </c>
      <c r="F158" s="10">
        <f>IF(D158="","",D158/E158*100)</f>
        <v/>
      </c>
      <c r="G158" s="10">
        <f>IF(D158="","",IF(SUMPRODUCT(--(設定!$B$11:$B$60="OS（Linux/Windows）")*XLOOKUP(設定!$B$11:$B$60,設定!$A$5:$A$7,設定!$B$5:$B$7)*XLOOKUP(設定!$C$11:$C$60,設定!$D$5:$D$7,設定!$E$5:$E$7))=0,"",SUMPRODUCT(--(設定!$B$11:$B$60="OS（Linux/Windows）")*--(整形回答!F158:BC158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8" s="10">
        <f>IF(D158="","",IF(SUMPRODUCT(--(設定!$B$11:$B$60="AWS")*XLOOKUP(設定!$B$11:$B$60,設定!$A$5:$A$7,設定!$B$5:$B$7)*XLOOKUP(設定!$C$11:$C$60,設定!$D$5:$D$7,設定!$E$5:$E$7))=0,"",SUMPRODUCT(--(設定!$B$11:$B$60="AWS")*--(整形回答!F158:BC158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8" s="10">
        <f>IF(D158="","",IF(SUMPRODUCT(--(設定!$B$11:$B$60="NW/Security")*XLOOKUP(設定!$B$11:$B$60,設定!$A$5:$A$7,設定!$B$5:$B$7)*XLOOKUP(設定!$C$11:$C$60,設定!$D$5:$D$7,設定!$E$5:$E$7))=0,"",SUMPRODUCT(--(設定!$B$11:$B$60="NW/Security")*--(整形回答!F158:BC158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8" s="8">
        <f>IF(F158="","",IF(F158&gt;=85,"即戦力",IF(F158&gt;=70,"主担当",IF(F158&gt;=55,"サポート","育成"))))</f>
        <v/>
      </c>
      <c r="K158" s="8">
        <f>整形回答!E158</f>
        <v/>
      </c>
    </row>
    <row r="159">
      <c r="A159" s="8">
        <f>整形回答!A159</f>
        <v/>
      </c>
      <c r="B159" s="9">
        <f>整形回答!B159</f>
        <v/>
      </c>
      <c r="C159" s="9">
        <f>整形回答!C159</f>
        <v/>
      </c>
      <c r="D159" s="8">
        <f>IF(B159="","",SUMPRODUCT(--(整形回答!F159:BC159=正解キー!$B$2:$B$51)*XLOOKUP(設定!$B$11:$B$60,設定!$A$5:$A$7,設定!$B$5:$B$7)*XLOOKUP(設定!$C$11:$C$60,設定!$D$5:$D$7,設定!$E$5:$E$7)))</f>
        <v/>
      </c>
      <c r="E159" s="8">
        <f>SUMPRODUCT(XLOOKUP(設定!$B$11:$B$60,設定!$A$5:$A$7,設定!$B$5:$B$7)*XLOOKUP(設定!$C$11:$C$60,設定!$D$5:$D$7,設定!$E$5:$E$7))</f>
        <v/>
      </c>
      <c r="F159" s="10">
        <f>IF(D159="","",D159/E159*100)</f>
        <v/>
      </c>
      <c r="G159" s="10">
        <f>IF(D159="","",IF(SUMPRODUCT(--(設定!$B$11:$B$60="OS（Linux/Windows）")*XLOOKUP(設定!$B$11:$B$60,設定!$A$5:$A$7,設定!$B$5:$B$7)*XLOOKUP(設定!$C$11:$C$60,設定!$D$5:$D$7,設定!$E$5:$E$7))=0,"",SUMPRODUCT(--(設定!$B$11:$B$60="OS（Linux/Windows）")*--(整形回答!F159:BC159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59" s="10">
        <f>IF(D159="","",IF(SUMPRODUCT(--(設定!$B$11:$B$60="AWS")*XLOOKUP(設定!$B$11:$B$60,設定!$A$5:$A$7,設定!$B$5:$B$7)*XLOOKUP(設定!$C$11:$C$60,設定!$D$5:$D$7,設定!$E$5:$E$7))=0,"",SUMPRODUCT(--(設定!$B$11:$B$60="AWS")*--(整形回答!F159:BC159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59" s="10">
        <f>IF(D159="","",IF(SUMPRODUCT(--(設定!$B$11:$B$60="NW/Security")*XLOOKUP(設定!$B$11:$B$60,設定!$A$5:$A$7,設定!$B$5:$B$7)*XLOOKUP(設定!$C$11:$C$60,設定!$D$5:$D$7,設定!$E$5:$E$7))=0,"",SUMPRODUCT(--(設定!$B$11:$B$60="NW/Security")*--(整形回答!F159:BC159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59" s="8">
        <f>IF(F159="","",IF(F159&gt;=85,"即戦力",IF(F159&gt;=70,"主担当",IF(F159&gt;=55,"サポート","育成"))))</f>
        <v/>
      </c>
      <c r="K159" s="8">
        <f>整形回答!E159</f>
        <v/>
      </c>
    </row>
    <row r="160">
      <c r="A160" s="8">
        <f>整形回答!A160</f>
        <v/>
      </c>
      <c r="B160" s="9">
        <f>整形回答!B160</f>
        <v/>
      </c>
      <c r="C160" s="9">
        <f>整形回答!C160</f>
        <v/>
      </c>
      <c r="D160" s="8">
        <f>IF(B160="","",SUMPRODUCT(--(整形回答!F160:BC160=正解キー!$B$2:$B$51)*XLOOKUP(設定!$B$11:$B$60,設定!$A$5:$A$7,設定!$B$5:$B$7)*XLOOKUP(設定!$C$11:$C$60,設定!$D$5:$D$7,設定!$E$5:$E$7)))</f>
        <v/>
      </c>
      <c r="E160" s="8">
        <f>SUMPRODUCT(XLOOKUP(設定!$B$11:$B$60,設定!$A$5:$A$7,設定!$B$5:$B$7)*XLOOKUP(設定!$C$11:$C$60,設定!$D$5:$D$7,設定!$E$5:$E$7))</f>
        <v/>
      </c>
      <c r="F160" s="10">
        <f>IF(D160="","",D160/E160*100)</f>
        <v/>
      </c>
      <c r="G160" s="10">
        <f>IF(D160="","",IF(SUMPRODUCT(--(設定!$B$11:$B$60="OS（Linux/Windows）")*XLOOKUP(設定!$B$11:$B$60,設定!$A$5:$A$7,設定!$B$5:$B$7)*XLOOKUP(設定!$C$11:$C$60,設定!$D$5:$D$7,設定!$E$5:$E$7))=0,"",SUMPRODUCT(--(設定!$B$11:$B$60="OS（Linux/Windows）")*--(整形回答!F160:BC160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0" s="10">
        <f>IF(D160="","",IF(SUMPRODUCT(--(設定!$B$11:$B$60="AWS")*XLOOKUP(設定!$B$11:$B$60,設定!$A$5:$A$7,設定!$B$5:$B$7)*XLOOKUP(設定!$C$11:$C$60,設定!$D$5:$D$7,設定!$E$5:$E$7))=0,"",SUMPRODUCT(--(設定!$B$11:$B$60="AWS")*--(整形回答!F160:BC160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0" s="10">
        <f>IF(D160="","",IF(SUMPRODUCT(--(設定!$B$11:$B$60="NW/Security")*XLOOKUP(設定!$B$11:$B$60,設定!$A$5:$A$7,設定!$B$5:$B$7)*XLOOKUP(設定!$C$11:$C$60,設定!$D$5:$D$7,設定!$E$5:$E$7))=0,"",SUMPRODUCT(--(設定!$B$11:$B$60="NW/Security")*--(整形回答!F160:BC160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0" s="8">
        <f>IF(F160="","",IF(F160&gt;=85,"即戦力",IF(F160&gt;=70,"主担当",IF(F160&gt;=55,"サポート","育成"))))</f>
        <v/>
      </c>
      <c r="K160" s="8">
        <f>整形回答!E160</f>
        <v/>
      </c>
    </row>
    <row r="161">
      <c r="A161" s="8">
        <f>整形回答!A161</f>
        <v/>
      </c>
      <c r="B161" s="9">
        <f>整形回答!B161</f>
        <v/>
      </c>
      <c r="C161" s="9">
        <f>整形回答!C161</f>
        <v/>
      </c>
      <c r="D161" s="8">
        <f>IF(B161="","",SUMPRODUCT(--(整形回答!F161:BC161=正解キー!$B$2:$B$51)*XLOOKUP(設定!$B$11:$B$60,設定!$A$5:$A$7,設定!$B$5:$B$7)*XLOOKUP(設定!$C$11:$C$60,設定!$D$5:$D$7,設定!$E$5:$E$7)))</f>
        <v/>
      </c>
      <c r="E161" s="8">
        <f>SUMPRODUCT(XLOOKUP(設定!$B$11:$B$60,設定!$A$5:$A$7,設定!$B$5:$B$7)*XLOOKUP(設定!$C$11:$C$60,設定!$D$5:$D$7,設定!$E$5:$E$7))</f>
        <v/>
      </c>
      <c r="F161" s="10">
        <f>IF(D161="","",D161/E161*100)</f>
        <v/>
      </c>
      <c r="G161" s="10">
        <f>IF(D161="","",IF(SUMPRODUCT(--(設定!$B$11:$B$60="OS（Linux/Windows）")*XLOOKUP(設定!$B$11:$B$60,設定!$A$5:$A$7,設定!$B$5:$B$7)*XLOOKUP(設定!$C$11:$C$60,設定!$D$5:$D$7,設定!$E$5:$E$7))=0,"",SUMPRODUCT(--(設定!$B$11:$B$60="OS（Linux/Windows）")*--(整形回答!F161:BC161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1" s="10">
        <f>IF(D161="","",IF(SUMPRODUCT(--(設定!$B$11:$B$60="AWS")*XLOOKUP(設定!$B$11:$B$60,設定!$A$5:$A$7,設定!$B$5:$B$7)*XLOOKUP(設定!$C$11:$C$60,設定!$D$5:$D$7,設定!$E$5:$E$7))=0,"",SUMPRODUCT(--(設定!$B$11:$B$60="AWS")*--(整形回答!F161:BC161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1" s="10">
        <f>IF(D161="","",IF(SUMPRODUCT(--(設定!$B$11:$B$60="NW/Security")*XLOOKUP(設定!$B$11:$B$60,設定!$A$5:$A$7,設定!$B$5:$B$7)*XLOOKUP(設定!$C$11:$C$60,設定!$D$5:$D$7,設定!$E$5:$E$7))=0,"",SUMPRODUCT(--(設定!$B$11:$B$60="NW/Security")*--(整形回答!F161:BC161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1" s="8">
        <f>IF(F161="","",IF(F161&gt;=85,"即戦力",IF(F161&gt;=70,"主担当",IF(F161&gt;=55,"サポート","育成"))))</f>
        <v/>
      </c>
      <c r="K161" s="8">
        <f>整形回答!E161</f>
        <v/>
      </c>
    </row>
    <row r="162">
      <c r="A162" s="8">
        <f>整形回答!A162</f>
        <v/>
      </c>
      <c r="B162" s="9">
        <f>整形回答!B162</f>
        <v/>
      </c>
      <c r="C162" s="9">
        <f>整形回答!C162</f>
        <v/>
      </c>
      <c r="D162" s="8">
        <f>IF(B162="","",SUMPRODUCT(--(整形回答!F162:BC162=正解キー!$B$2:$B$51)*XLOOKUP(設定!$B$11:$B$60,設定!$A$5:$A$7,設定!$B$5:$B$7)*XLOOKUP(設定!$C$11:$C$60,設定!$D$5:$D$7,設定!$E$5:$E$7)))</f>
        <v/>
      </c>
      <c r="E162" s="8">
        <f>SUMPRODUCT(XLOOKUP(設定!$B$11:$B$60,設定!$A$5:$A$7,設定!$B$5:$B$7)*XLOOKUP(設定!$C$11:$C$60,設定!$D$5:$D$7,設定!$E$5:$E$7))</f>
        <v/>
      </c>
      <c r="F162" s="10">
        <f>IF(D162="","",D162/E162*100)</f>
        <v/>
      </c>
      <c r="G162" s="10">
        <f>IF(D162="","",IF(SUMPRODUCT(--(設定!$B$11:$B$60="OS（Linux/Windows）")*XLOOKUP(設定!$B$11:$B$60,設定!$A$5:$A$7,設定!$B$5:$B$7)*XLOOKUP(設定!$C$11:$C$60,設定!$D$5:$D$7,設定!$E$5:$E$7))=0,"",SUMPRODUCT(--(設定!$B$11:$B$60="OS（Linux/Windows）")*--(整形回答!F162:BC162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2" s="10">
        <f>IF(D162="","",IF(SUMPRODUCT(--(設定!$B$11:$B$60="AWS")*XLOOKUP(設定!$B$11:$B$60,設定!$A$5:$A$7,設定!$B$5:$B$7)*XLOOKUP(設定!$C$11:$C$60,設定!$D$5:$D$7,設定!$E$5:$E$7))=0,"",SUMPRODUCT(--(設定!$B$11:$B$60="AWS")*--(整形回答!F162:BC162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2" s="10">
        <f>IF(D162="","",IF(SUMPRODUCT(--(設定!$B$11:$B$60="NW/Security")*XLOOKUP(設定!$B$11:$B$60,設定!$A$5:$A$7,設定!$B$5:$B$7)*XLOOKUP(設定!$C$11:$C$60,設定!$D$5:$D$7,設定!$E$5:$E$7))=0,"",SUMPRODUCT(--(設定!$B$11:$B$60="NW/Security")*--(整形回答!F162:BC162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2" s="8">
        <f>IF(F162="","",IF(F162&gt;=85,"即戦力",IF(F162&gt;=70,"主担当",IF(F162&gt;=55,"サポート","育成"))))</f>
        <v/>
      </c>
      <c r="K162" s="8">
        <f>整形回答!E162</f>
        <v/>
      </c>
    </row>
    <row r="163">
      <c r="A163" s="8">
        <f>整形回答!A163</f>
        <v/>
      </c>
      <c r="B163" s="9">
        <f>整形回答!B163</f>
        <v/>
      </c>
      <c r="C163" s="9">
        <f>整形回答!C163</f>
        <v/>
      </c>
      <c r="D163" s="8">
        <f>IF(B163="","",SUMPRODUCT(--(整形回答!F163:BC163=正解キー!$B$2:$B$51)*XLOOKUP(設定!$B$11:$B$60,設定!$A$5:$A$7,設定!$B$5:$B$7)*XLOOKUP(設定!$C$11:$C$60,設定!$D$5:$D$7,設定!$E$5:$E$7)))</f>
        <v/>
      </c>
      <c r="E163" s="8">
        <f>SUMPRODUCT(XLOOKUP(設定!$B$11:$B$60,設定!$A$5:$A$7,設定!$B$5:$B$7)*XLOOKUP(設定!$C$11:$C$60,設定!$D$5:$D$7,設定!$E$5:$E$7))</f>
        <v/>
      </c>
      <c r="F163" s="10">
        <f>IF(D163="","",D163/E163*100)</f>
        <v/>
      </c>
      <c r="G163" s="10">
        <f>IF(D163="","",IF(SUMPRODUCT(--(設定!$B$11:$B$60="OS（Linux/Windows）")*XLOOKUP(設定!$B$11:$B$60,設定!$A$5:$A$7,設定!$B$5:$B$7)*XLOOKUP(設定!$C$11:$C$60,設定!$D$5:$D$7,設定!$E$5:$E$7))=0,"",SUMPRODUCT(--(設定!$B$11:$B$60="OS（Linux/Windows）")*--(整形回答!F163:BC163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3" s="10">
        <f>IF(D163="","",IF(SUMPRODUCT(--(設定!$B$11:$B$60="AWS")*XLOOKUP(設定!$B$11:$B$60,設定!$A$5:$A$7,設定!$B$5:$B$7)*XLOOKUP(設定!$C$11:$C$60,設定!$D$5:$D$7,設定!$E$5:$E$7))=0,"",SUMPRODUCT(--(設定!$B$11:$B$60="AWS")*--(整形回答!F163:BC163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3" s="10">
        <f>IF(D163="","",IF(SUMPRODUCT(--(設定!$B$11:$B$60="NW/Security")*XLOOKUP(設定!$B$11:$B$60,設定!$A$5:$A$7,設定!$B$5:$B$7)*XLOOKUP(設定!$C$11:$C$60,設定!$D$5:$D$7,設定!$E$5:$E$7))=0,"",SUMPRODUCT(--(設定!$B$11:$B$60="NW/Security")*--(整形回答!F163:BC163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3" s="8">
        <f>IF(F163="","",IF(F163&gt;=85,"即戦力",IF(F163&gt;=70,"主担当",IF(F163&gt;=55,"サポート","育成"))))</f>
        <v/>
      </c>
      <c r="K163" s="8">
        <f>整形回答!E163</f>
        <v/>
      </c>
    </row>
    <row r="164">
      <c r="A164" s="8">
        <f>整形回答!A164</f>
        <v/>
      </c>
      <c r="B164" s="9">
        <f>整形回答!B164</f>
        <v/>
      </c>
      <c r="C164" s="9">
        <f>整形回答!C164</f>
        <v/>
      </c>
      <c r="D164" s="8">
        <f>IF(B164="","",SUMPRODUCT(--(整形回答!F164:BC164=正解キー!$B$2:$B$51)*XLOOKUP(設定!$B$11:$B$60,設定!$A$5:$A$7,設定!$B$5:$B$7)*XLOOKUP(設定!$C$11:$C$60,設定!$D$5:$D$7,設定!$E$5:$E$7)))</f>
        <v/>
      </c>
      <c r="E164" s="8">
        <f>SUMPRODUCT(XLOOKUP(設定!$B$11:$B$60,設定!$A$5:$A$7,設定!$B$5:$B$7)*XLOOKUP(設定!$C$11:$C$60,設定!$D$5:$D$7,設定!$E$5:$E$7))</f>
        <v/>
      </c>
      <c r="F164" s="10">
        <f>IF(D164="","",D164/E164*100)</f>
        <v/>
      </c>
      <c r="G164" s="10">
        <f>IF(D164="","",IF(SUMPRODUCT(--(設定!$B$11:$B$60="OS（Linux/Windows）")*XLOOKUP(設定!$B$11:$B$60,設定!$A$5:$A$7,設定!$B$5:$B$7)*XLOOKUP(設定!$C$11:$C$60,設定!$D$5:$D$7,設定!$E$5:$E$7))=0,"",SUMPRODUCT(--(設定!$B$11:$B$60="OS（Linux/Windows）")*--(整形回答!F164:BC164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4" s="10">
        <f>IF(D164="","",IF(SUMPRODUCT(--(設定!$B$11:$B$60="AWS")*XLOOKUP(設定!$B$11:$B$60,設定!$A$5:$A$7,設定!$B$5:$B$7)*XLOOKUP(設定!$C$11:$C$60,設定!$D$5:$D$7,設定!$E$5:$E$7))=0,"",SUMPRODUCT(--(設定!$B$11:$B$60="AWS")*--(整形回答!F164:BC164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4" s="10">
        <f>IF(D164="","",IF(SUMPRODUCT(--(設定!$B$11:$B$60="NW/Security")*XLOOKUP(設定!$B$11:$B$60,設定!$A$5:$A$7,設定!$B$5:$B$7)*XLOOKUP(設定!$C$11:$C$60,設定!$D$5:$D$7,設定!$E$5:$E$7))=0,"",SUMPRODUCT(--(設定!$B$11:$B$60="NW/Security")*--(整形回答!F164:BC164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4" s="8">
        <f>IF(F164="","",IF(F164&gt;=85,"即戦力",IF(F164&gt;=70,"主担当",IF(F164&gt;=55,"サポート","育成"))))</f>
        <v/>
      </c>
      <c r="K164" s="8">
        <f>整形回答!E164</f>
        <v/>
      </c>
    </row>
    <row r="165">
      <c r="A165" s="8">
        <f>整形回答!A165</f>
        <v/>
      </c>
      <c r="B165" s="9">
        <f>整形回答!B165</f>
        <v/>
      </c>
      <c r="C165" s="9">
        <f>整形回答!C165</f>
        <v/>
      </c>
      <c r="D165" s="8">
        <f>IF(B165="","",SUMPRODUCT(--(整形回答!F165:BC165=正解キー!$B$2:$B$51)*XLOOKUP(設定!$B$11:$B$60,設定!$A$5:$A$7,設定!$B$5:$B$7)*XLOOKUP(設定!$C$11:$C$60,設定!$D$5:$D$7,設定!$E$5:$E$7)))</f>
        <v/>
      </c>
      <c r="E165" s="8">
        <f>SUMPRODUCT(XLOOKUP(設定!$B$11:$B$60,設定!$A$5:$A$7,設定!$B$5:$B$7)*XLOOKUP(設定!$C$11:$C$60,設定!$D$5:$D$7,設定!$E$5:$E$7))</f>
        <v/>
      </c>
      <c r="F165" s="10">
        <f>IF(D165="","",D165/E165*100)</f>
        <v/>
      </c>
      <c r="G165" s="10">
        <f>IF(D165="","",IF(SUMPRODUCT(--(設定!$B$11:$B$60="OS（Linux/Windows）")*XLOOKUP(設定!$B$11:$B$60,設定!$A$5:$A$7,設定!$B$5:$B$7)*XLOOKUP(設定!$C$11:$C$60,設定!$D$5:$D$7,設定!$E$5:$E$7))=0,"",SUMPRODUCT(--(設定!$B$11:$B$60="OS（Linux/Windows）")*--(整形回答!F165:BC165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5" s="10">
        <f>IF(D165="","",IF(SUMPRODUCT(--(設定!$B$11:$B$60="AWS")*XLOOKUP(設定!$B$11:$B$60,設定!$A$5:$A$7,設定!$B$5:$B$7)*XLOOKUP(設定!$C$11:$C$60,設定!$D$5:$D$7,設定!$E$5:$E$7))=0,"",SUMPRODUCT(--(設定!$B$11:$B$60="AWS")*--(整形回答!F165:BC165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5" s="10">
        <f>IF(D165="","",IF(SUMPRODUCT(--(設定!$B$11:$B$60="NW/Security")*XLOOKUP(設定!$B$11:$B$60,設定!$A$5:$A$7,設定!$B$5:$B$7)*XLOOKUP(設定!$C$11:$C$60,設定!$D$5:$D$7,設定!$E$5:$E$7))=0,"",SUMPRODUCT(--(設定!$B$11:$B$60="NW/Security")*--(整形回答!F165:BC165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5" s="8">
        <f>IF(F165="","",IF(F165&gt;=85,"即戦力",IF(F165&gt;=70,"主担当",IF(F165&gt;=55,"サポート","育成"))))</f>
        <v/>
      </c>
      <c r="K165" s="8">
        <f>整形回答!E165</f>
        <v/>
      </c>
    </row>
    <row r="166">
      <c r="A166" s="8">
        <f>整形回答!A166</f>
        <v/>
      </c>
      <c r="B166" s="9">
        <f>整形回答!B166</f>
        <v/>
      </c>
      <c r="C166" s="9">
        <f>整形回答!C166</f>
        <v/>
      </c>
      <c r="D166" s="8">
        <f>IF(B166="","",SUMPRODUCT(--(整形回答!F166:BC166=正解キー!$B$2:$B$51)*XLOOKUP(設定!$B$11:$B$60,設定!$A$5:$A$7,設定!$B$5:$B$7)*XLOOKUP(設定!$C$11:$C$60,設定!$D$5:$D$7,設定!$E$5:$E$7)))</f>
        <v/>
      </c>
      <c r="E166" s="8">
        <f>SUMPRODUCT(XLOOKUP(設定!$B$11:$B$60,設定!$A$5:$A$7,設定!$B$5:$B$7)*XLOOKUP(設定!$C$11:$C$60,設定!$D$5:$D$7,設定!$E$5:$E$7))</f>
        <v/>
      </c>
      <c r="F166" s="10">
        <f>IF(D166="","",D166/E166*100)</f>
        <v/>
      </c>
      <c r="G166" s="10">
        <f>IF(D166="","",IF(SUMPRODUCT(--(設定!$B$11:$B$60="OS（Linux/Windows）")*XLOOKUP(設定!$B$11:$B$60,設定!$A$5:$A$7,設定!$B$5:$B$7)*XLOOKUP(設定!$C$11:$C$60,設定!$D$5:$D$7,設定!$E$5:$E$7))=0,"",SUMPRODUCT(--(設定!$B$11:$B$60="OS（Linux/Windows）")*--(整形回答!F166:BC166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6" s="10">
        <f>IF(D166="","",IF(SUMPRODUCT(--(設定!$B$11:$B$60="AWS")*XLOOKUP(設定!$B$11:$B$60,設定!$A$5:$A$7,設定!$B$5:$B$7)*XLOOKUP(設定!$C$11:$C$60,設定!$D$5:$D$7,設定!$E$5:$E$7))=0,"",SUMPRODUCT(--(設定!$B$11:$B$60="AWS")*--(整形回答!F166:BC166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6" s="10">
        <f>IF(D166="","",IF(SUMPRODUCT(--(設定!$B$11:$B$60="NW/Security")*XLOOKUP(設定!$B$11:$B$60,設定!$A$5:$A$7,設定!$B$5:$B$7)*XLOOKUP(設定!$C$11:$C$60,設定!$D$5:$D$7,設定!$E$5:$E$7))=0,"",SUMPRODUCT(--(設定!$B$11:$B$60="NW/Security")*--(整形回答!F166:BC166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6" s="8">
        <f>IF(F166="","",IF(F166&gt;=85,"即戦力",IF(F166&gt;=70,"主担当",IF(F166&gt;=55,"サポート","育成"))))</f>
        <v/>
      </c>
      <c r="K166" s="8">
        <f>整形回答!E166</f>
        <v/>
      </c>
    </row>
    <row r="167">
      <c r="A167" s="8">
        <f>整形回答!A167</f>
        <v/>
      </c>
      <c r="B167" s="9">
        <f>整形回答!B167</f>
        <v/>
      </c>
      <c r="C167" s="9">
        <f>整形回答!C167</f>
        <v/>
      </c>
      <c r="D167" s="8">
        <f>IF(B167="","",SUMPRODUCT(--(整形回答!F167:BC167=正解キー!$B$2:$B$51)*XLOOKUP(設定!$B$11:$B$60,設定!$A$5:$A$7,設定!$B$5:$B$7)*XLOOKUP(設定!$C$11:$C$60,設定!$D$5:$D$7,設定!$E$5:$E$7)))</f>
        <v/>
      </c>
      <c r="E167" s="8">
        <f>SUMPRODUCT(XLOOKUP(設定!$B$11:$B$60,設定!$A$5:$A$7,設定!$B$5:$B$7)*XLOOKUP(設定!$C$11:$C$60,設定!$D$5:$D$7,設定!$E$5:$E$7))</f>
        <v/>
      </c>
      <c r="F167" s="10">
        <f>IF(D167="","",D167/E167*100)</f>
        <v/>
      </c>
      <c r="G167" s="10">
        <f>IF(D167="","",IF(SUMPRODUCT(--(設定!$B$11:$B$60="OS（Linux/Windows）")*XLOOKUP(設定!$B$11:$B$60,設定!$A$5:$A$7,設定!$B$5:$B$7)*XLOOKUP(設定!$C$11:$C$60,設定!$D$5:$D$7,設定!$E$5:$E$7))=0,"",SUMPRODUCT(--(設定!$B$11:$B$60="OS（Linux/Windows）")*--(整形回答!F167:BC167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7" s="10">
        <f>IF(D167="","",IF(SUMPRODUCT(--(設定!$B$11:$B$60="AWS")*XLOOKUP(設定!$B$11:$B$60,設定!$A$5:$A$7,設定!$B$5:$B$7)*XLOOKUP(設定!$C$11:$C$60,設定!$D$5:$D$7,設定!$E$5:$E$7))=0,"",SUMPRODUCT(--(設定!$B$11:$B$60="AWS")*--(整形回答!F167:BC167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7" s="10">
        <f>IF(D167="","",IF(SUMPRODUCT(--(設定!$B$11:$B$60="NW/Security")*XLOOKUP(設定!$B$11:$B$60,設定!$A$5:$A$7,設定!$B$5:$B$7)*XLOOKUP(設定!$C$11:$C$60,設定!$D$5:$D$7,設定!$E$5:$E$7))=0,"",SUMPRODUCT(--(設定!$B$11:$B$60="NW/Security")*--(整形回答!F167:BC167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7" s="8">
        <f>IF(F167="","",IF(F167&gt;=85,"即戦力",IF(F167&gt;=70,"主担当",IF(F167&gt;=55,"サポート","育成"))))</f>
        <v/>
      </c>
      <c r="K167" s="8">
        <f>整形回答!E167</f>
        <v/>
      </c>
    </row>
    <row r="168">
      <c r="A168" s="8">
        <f>整形回答!A168</f>
        <v/>
      </c>
      <c r="B168" s="9">
        <f>整形回答!B168</f>
        <v/>
      </c>
      <c r="C168" s="9">
        <f>整形回答!C168</f>
        <v/>
      </c>
      <c r="D168" s="8">
        <f>IF(B168="","",SUMPRODUCT(--(整形回答!F168:BC168=正解キー!$B$2:$B$51)*XLOOKUP(設定!$B$11:$B$60,設定!$A$5:$A$7,設定!$B$5:$B$7)*XLOOKUP(設定!$C$11:$C$60,設定!$D$5:$D$7,設定!$E$5:$E$7)))</f>
        <v/>
      </c>
      <c r="E168" s="8">
        <f>SUMPRODUCT(XLOOKUP(設定!$B$11:$B$60,設定!$A$5:$A$7,設定!$B$5:$B$7)*XLOOKUP(設定!$C$11:$C$60,設定!$D$5:$D$7,設定!$E$5:$E$7))</f>
        <v/>
      </c>
      <c r="F168" s="10">
        <f>IF(D168="","",D168/E168*100)</f>
        <v/>
      </c>
      <c r="G168" s="10">
        <f>IF(D168="","",IF(SUMPRODUCT(--(設定!$B$11:$B$60="OS（Linux/Windows）")*XLOOKUP(設定!$B$11:$B$60,設定!$A$5:$A$7,設定!$B$5:$B$7)*XLOOKUP(設定!$C$11:$C$60,設定!$D$5:$D$7,設定!$E$5:$E$7))=0,"",SUMPRODUCT(--(設定!$B$11:$B$60="OS（Linux/Windows）")*--(整形回答!F168:BC168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8" s="10">
        <f>IF(D168="","",IF(SUMPRODUCT(--(設定!$B$11:$B$60="AWS")*XLOOKUP(設定!$B$11:$B$60,設定!$A$5:$A$7,設定!$B$5:$B$7)*XLOOKUP(設定!$C$11:$C$60,設定!$D$5:$D$7,設定!$E$5:$E$7))=0,"",SUMPRODUCT(--(設定!$B$11:$B$60="AWS")*--(整形回答!F168:BC168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8" s="10">
        <f>IF(D168="","",IF(SUMPRODUCT(--(設定!$B$11:$B$60="NW/Security")*XLOOKUP(設定!$B$11:$B$60,設定!$A$5:$A$7,設定!$B$5:$B$7)*XLOOKUP(設定!$C$11:$C$60,設定!$D$5:$D$7,設定!$E$5:$E$7))=0,"",SUMPRODUCT(--(設定!$B$11:$B$60="NW/Security")*--(整形回答!F168:BC168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8" s="8">
        <f>IF(F168="","",IF(F168&gt;=85,"即戦力",IF(F168&gt;=70,"主担当",IF(F168&gt;=55,"サポート","育成"))))</f>
        <v/>
      </c>
      <c r="K168" s="8">
        <f>整形回答!E168</f>
        <v/>
      </c>
    </row>
    <row r="169">
      <c r="A169" s="8">
        <f>整形回答!A169</f>
        <v/>
      </c>
      <c r="B169" s="9">
        <f>整形回答!B169</f>
        <v/>
      </c>
      <c r="C169" s="9">
        <f>整形回答!C169</f>
        <v/>
      </c>
      <c r="D169" s="8">
        <f>IF(B169="","",SUMPRODUCT(--(整形回答!F169:BC169=正解キー!$B$2:$B$51)*XLOOKUP(設定!$B$11:$B$60,設定!$A$5:$A$7,設定!$B$5:$B$7)*XLOOKUP(設定!$C$11:$C$60,設定!$D$5:$D$7,設定!$E$5:$E$7)))</f>
        <v/>
      </c>
      <c r="E169" s="8">
        <f>SUMPRODUCT(XLOOKUP(設定!$B$11:$B$60,設定!$A$5:$A$7,設定!$B$5:$B$7)*XLOOKUP(設定!$C$11:$C$60,設定!$D$5:$D$7,設定!$E$5:$E$7))</f>
        <v/>
      </c>
      <c r="F169" s="10">
        <f>IF(D169="","",D169/E169*100)</f>
        <v/>
      </c>
      <c r="G169" s="10">
        <f>IF(D169="","",IF(SUMPRODUCT(--(設定!$B$11:$B$60="OS（Linux/Windows）")*XLOOKUP(設定!$B$11:$B$60,設定!$A$5:$A$7,設定!$B$5:$B$7)*XLOOKUP(設定!$C$11:$C$60,設定!$D$5:$D$7,設定!$E$5:$E$7))=0,"",SUMPRODUCT(--(設定!$B$11:$B$60="OS（Linux/Windows）")*--(整形回答!F169:BC169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69" s="10">
        <f>IF(D169="","",IF(SUMPRODUCT(--(設定!$B$11:$B$60="AWS")*XLOOKUP(設定!$B$11:$B$60,設定!$A$5:$A$7,設定!$B$5:$B$7)*XLOOKUP(設定!$C$11:$C$60,設定!$D$5:$D$7,設定!$E$5:$E$7))=0,"",SUMPRODUCT(--(設定!$B$11:$B$60="AWS")*--(整形回答!F169:BC169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69" s="10">
        <f>IF(D169="","",IF(SUMPRODUCT(--(設定!$B$11:$B$60="NW/Security")*XLOOKUP(設定!$B$11:$B$60,設定!$A$5:$A$7,設定!$B$5:$B$7)*XLOOKUP(設定!$C$11:$C$60,設定!$D$5:$D$7,設定!$E$5:$E$7))=0,"",SUMPRODUCT(--(設定!$B$11:$B$60="NW/Security")*--(整形回答!F169:BC169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69" s="8">
        <f>IF(F169="","",IF(F169&gt;=85,"即戦力",IF(F169&gt;=70,"主担当",IF(F169&gt;=55,"サポート","育成"))))</f>
        <v/>
      </c>
      <c r="K169" s="8">
        <f>整形回答!E169</f>
        <v/>
      </c>
    </row>
    <row r="170">
      <c r="A170" s="8">
        <f>整形回答!A170</f>
        <v/>
      </c>
      <c r="B170" s="9">
        <f>整形回答!B170</f>
        <v/>
      </c>
      <c r="C170" s="9">
        <f>整形回答!C170</f>
        <v/>
      </c>
      <c r="D170" s="8">
        <f>IF(B170="","",SUMPRODUCT(--(整形回答!F170:BC170=正解キー!$B$2:$B$51)*XLOOKUP(設定!$B$11:$B$60,設定!$A$5:$A$7,設定!$B$5:$B$7)*XLOOKUP(設定!$C$11:$C$60,設定!$D$5:$D$7,設定!$E$5:$E$7)))</f>
        <v/>
      </c>
      <c r="E170" s="8">
        <f>SUMPRODUCT(XLOOKUP(設定!$B$11:$B$60,設定!$A$5:$A$7,設定!$B$5:$B$7)*XLOOKUP(設定!$C$11:$C$60,設定!$D$5:$D$7,設定!$E$5:$E$7))</f>
        <v/>
      </c>
      <c r="F170" s="10">
        <f>IF(D170="","",D170/E170*100)</f>
        <v/>
      </c>
      <c r="G170" s="10">
        <f>IF(D170="","",IF(SUMPRODUCT(--(設定!$B$11:$B$60="OS（Linux/Windows）")*XLOOKUP(設定!$B$11:$B$60,設定!$A$5:$A$7,設定!$B$5:$B$7)*XLOOKUP(設定!$C$11:$C$60,設定!$D$5:$D$7,設定!$E$5:$E$7))=0,"",SUMPRODUCT(--(設定!$B$11:$B$60="OS（Linux/Windows）")*--(整形回答!F170:BC170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0" s="10">
        <f>IF(D170="","",IF(SUMPRODUCT(--(設定!$B$11:$B$60="AWS")*XLOOKUP(設定!$B$11:$B$60,設定!$A$5:$A$7,設定!$B$5:$B$7)*XLOOKUP(設定!$C$11:$C$60,設定!$D$5:$D$7,設定!$E$5:$E$7))=0,"",SUMPRODUCT(--(設定!$B$11:$B$60="AWS")*--(整形回答!F170:BC170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0" s="10">
        <f>IF(D170="","",IF(SUMPRODUCT(--(設定!$B$11:$B$60="NW/Security")*XLOOKUP(設定!$B$11:$B$60,設定!$A$5:$A$7,設定!$B$5:$B$7)*XLOOKUP(設定!$C$11:$C$60,設定!$D$5:$D$7,設定!$E$5:$E$7))=0,"",SUMPRODUCT(--(設定!$B$11:$B$60="NW/Security")*--(整形回答!F170:BC170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0" s="8">
        <f>IF(F170="","",IF(F170&gt;=85,"即戦力",IF(F170&gt;=70,"主担当",IF(F170&gt;=55,"サポート","育成"))))</f>
        <v/>
      </c>
      <c r="K170" s="8">
        <f>整形回答!E170</f>
        <v/>
      </c>
    </row>
    <row r="171">
      <c r="A171" s="8">
        <f>整形回答!A171</f>
        <v/>
      </c>
      <c r="B171" s="9">
        <f>整形回答!B171</f>
        <v/>
      </c>
      <c r="C171" s="9">
        <f>整形回答!C171</f>
        <v/>
      </c>
      <c r="D171" s="8">
        <f>IF(B171="","",SUMPRODUCT(--(整形回答!F171:BC171=正解キー!$B$2:$B$51)*XLOOKUP(設定!$B$11:$B$60,設定!$A$5:$A$7,設定!$B$5:$B$7)*XLOOKUP(設定!$C$11:$C$60,設定!$D$5:$D$7,設定!$E$5:$E$7)))</f>
        <v/>
      </c>
      <c r="E171" s="8">
        <f>SUMPRODUCT(XLOOKUP(設定!$B$11:$B$60,設定!$A$5:$A$7,設定!$B$5:$B$7)*XLOOKUP(設定!$C$11:$C$60,設定!$D$5:$D$7,設定!$E$5:$E$7))</f>
        <v/>
      </c>
      <c r="F171" s="10">
        <f>IF(D171="","",D171/E171*100)</f>
        <v/>
      </c>
      <c r="G171" s="10">
        <f>IF(D171="","",IF(SUMPRODUCT(--(設定!$B$11:$B$60="OS（Linux/Windows）")*XLOOKUP(設定!$B$11:$B$60,設定!$A$5:$A$7,設定!$B$5:$B$7)*XLOOKUP(設定!$C$11:$C$60,設定!$D$5:$D$7,設定!$E$5:$E$7))=0,"",SUMPRODUCT(--(設定!$B$11:$B$60="OS（Linux/Windows）")*--(整形回答!F171:BC171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1" s="10">
        <f>IF(D171="","",IF(SUMPRODUCT(--(設定!$B$11:$B$60="AWS")*XLOOKUP(設定!$B$11:$B$60,設定!$A$5:$A$7,設定!$B$5:$B$7)*XLOOKUP(設定!$C$11:$C$60,設定!$D$5:$D$7,設定!$E$5:$E$7))=0,"",SUMPRODUCT(--(設定!$B$11:$B$60="AWS")*--(整形回答!F171:BC171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1" s="10">
        <f>IF(D171="","",IF(SUMPRODUCT(--(設定!$B$11:$B$60="NW/Security")*XLOOKUP(設定!$B$11:$B$60,設定!$A$5:$A$7,設定!$B$5:$B$7)*XLOOKUP(設定!$C$11:$C$60,設定!$D$5:$D$7,設定!$E$5:$E$7))=0,"",SUMPRODUCT(--(設定!$B$11:$B$60="NW/Security")*--(整形回答!F171:BC171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1" s="8">
        <f>IF(F171="","",IF(F171&gt;=85,"即戦力",IF(F171&gt;=70,"主担当",IF(F171&gt;=55,"サポート","育成"))))</f>
        <v/>
      </c>
      <c r="K171" s="8">
        <f>整形回答!E171</f>
        <v/>
      </c>
    </row>
    <row r="172">
      <c r="A172" s="8">
        <f>整形回答!A172</f>
        <v/>
      </c>
      <c r="B172" s="9">
        <f>整形回答!B172</f>
        <v/>
      </c>
      <c r="C172" s="9">
        <f>整形回答!C172</f>
        <v/>
      </c>
      <c r="D172" s="8">
        <f>IF(B172="","",SUMPRODUCT(--(整形回答!F172:BC172=正解キー!$B$2:$B$51)*XLOOKUP(設定!$B$11:$B$60,設定!$A$5:$A$7,設定!$B$5:$B$7)*XLOOKUP(設定!$C$11:$C$60,設定!$D$5:$D$7,設定!$E$5:$E$7)))</f>
        <v/>
      </c>
      <c r="E172" s="8">
        <f>SUMPRODUCT(XLOOKUP(設定!$B$11:$B$60,設定!$A$5:$A$7,設定!$B$5:$B$7)*XLOOKUP(設定!$C$11:$C$60,設定!$D$5:$D$7,設定!$E$5:$E$7))</f>
        <v/>
      </c>
      <c r="F172" s="10">
        <f>IF(D172="","",D172/E172*100)</f>
        <v/>
      </c>
      <c r="G172" s="10">
        <f>IF(D172="","",IF(SUMPRODUCT(--(設定!$B$11:$B$60="OS（Linux/Windows）")*XLOOKUP(設定!$B$11:$B$60,設定!$A$5:$A$7,設定!$B$5:$B$7)*XLOOKUP(設定!$C$11:$C$60,設定!$D$5:$D$7,設定!$E$5:$E$7))=0,"",SUMPRODUCT(--(設定!$B$11:$B$60="OS（Linux/Windows）")*--(整形回答!F172:BC172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2" s="10">
        <f>IF(D172="","",IF(SUMPRODUCT(--(設定!$B$11:$B$60="AWS")*XLOOKUP(設定!$B$11:$B$60,設定!$A$5:$A$7,設定!$B$5:$B$7)*XLOOKUP(設定!$C$11:$C$60,設定!$D$5:$D$7,設定!$E$5:$E$7))=0,"",SUMPRODUCT(--(設定!$B$11:$B$60="AWS")*--(整形回答!F172:BC172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2" s="10">
        <f>IF(D172="","",IF(SUMPRODUCT(--(設定!$B$11:$B$60="NW/Security")*XLOOKUP(設定!$B$11:$B$60,設定!$A$5:$A$7,設定!$B$5:$B$7)*XLOOKUP(設定!$C$11:$C$60,設定!$D$5:$D$7,設定!$E$5:$E$7))=0,"",SUMPRODUCT(--(設定!$B$11:$B$60="NW/Security")*--(整形回答!F172:BC172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2" s="8">
        <f>IF(F172="","",IF(F172&gt;=85,"即戦力",IF(F172&gt;=70,"主担当",IF(F172&gt;=55,"サポート","育成"))))</f>
        <v/>
      </c>
      <c r="K172" s="8">
        <f>整形回答!E172</f>
        <v/>
      </c>
    </row>
    <row r="173">
      <c r="A173" s="8">
        <f>整形回答!A173</f>
        <v/>
      </c>
      <c r="B173" s="9">
        <f>整形回答!B173</f>
        <v/>
      </c>
      <c r="C173" s="9">
        <f>整形回答!C173</f>
        <v/>
      </c>
      <c r="D173" s="8">
        <f>IF(B173="","",SUMPRODUCT(--(整形回答!F173:BC173=正解キー!$B$2:$B$51)*XLOOKUP(設定!$B$11:$B$60,設定!$A$5:$A$7,設定!$B$5:$B$7)*XLOOKUP(設定!$C$11:$C$60,設定!$D$5:$D$7,設定!$E$5:$E$7)))</f>
        <v/>
      </c>
      <c r="E173" s="8">
        <f>SUMPRODUCT(XLOOKUP(設定!$B$11:$B$60,設定!$A$5:$A$7,設定!$B$5:$B$7)*XLOOKUP(設定!$C$11:$C$60,設定!$D$5:$D$7,設定!$E$5:$E$7))</f>
        <v/>
      </c>
      <c r="F173" s="10">
        <f>IF(D173="","",D173/E173*100)</f>
        <v/>
      </c>
      <c r="G173" s="10">
        <f>IF(D173="","",IF(SUMPRODUCT(--(設定!$B$11:$B$60="OS（Linux/Windows）")*XLOOKUP(設定!$B$11:$B$60,設定!$A$5:$A$7,設定!$B$5:$B$7)*XLOOKUP(設定!$C$11:$C$60,設定!$D$5:$D$7,設定!$E$5:$E$7))=0,"",SUMPRODUCT(--(設定!$B$11:$B$60="OS（Linux/Windows）")*--(整形回答!F173:BC173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3" s="10">
        <f>IF(D173="","",IF(SUMPRODUCT(--(設定!$B$11:$B$60="AWS")*XLOOKUP(設定!$B$11:$B$60,設定!$A$5:$A$7,設定!$B$5:$B$7)*XLOOKUP(設定!$C$11:$C$60,設定!$D$5:$D$7,設定!$E$5:$E$7))=0,"",SUMPRODUCT(--(設定!$B$11:$B$60="AWS")*--(整形回答!F173:BC173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3" s="10">
        <f>IF(D173="","",IF(SUMPRODUCT(--(設定!$B$11:$B$60="NW/Security")*XLOOKUP(設定!$B$11:$B$60,設定!$A$5:$A$7,設定!$B$5:$B$7)*XLOOKUP(設定!$C$11:$C$60,設定!$D$5:$D$7,設定!$E$5:$E$7))=0,"",SUMPRODUCT(--(設定!$B$11:$B$60="NW/Security")*--(整形回答!F173:BC173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3" s="8">
        <f>IF(F173="","",IF(F173&gt;=85,"即戦力",IF(F173&gt;=70,"主担当",IF(F173&gt;=55,"サポート","育成"))))</f>
        <v/>
      </c>
      <c r="K173" s="8">
        <f>整形回答!E173</f>
        <v/>
      </c>
    </row>
    <row r="174">
      <c r="A174" s="8">
        <f>整形回答!A174</f>
        <v/>
      </c>
      <c r="B174" s="9">
        <f>整形回答!B174</f>
        <v/>
      </c>
      <c r="C174" s="9">
        <f>整形回答!C174</f>
        <v/>
      </c>
      <c r="D174" s="8">
        <f>IF(B174="","",SUMPRODUCT(--(整形回答!F174:BC174=正解キー!$B$2:$B$51)*XLOOKUP(設定!$B$11:$B$60,設定!$A$5:$A$7,設定!$B$5:$B$7)*XLOOKUP(設定!$C$11:$C$60,設定!$D$5:$D$7,設定!$E$5:$E$7)))</f>
        <v/>
      </c>
      <c r="E174" s="8">
        <f>SUMPRODUCT(XLOOKUP(設定!$B$11:$B$60,設定!$A$5:$A$7,設定!$B$5:$B$7)*XLOOKUP(設定!$C$11:$C$60,設定!$D$5:$D$7,設定!$E$5:$E$7))</f>
        <v/>
      </c>
      <c r="F174" s="10">
        <f>IF(D174="","",D174/E174*100)</f>
        <v/>
      </c>
      <c r="G174" s="10">
        <f>IF(D174="","",IF(SUMPRODUCT(--(設定!$B$11:$B$60="OS（Linux/Windows）")*XLOOKUP(設定!$B$11:$B$60,設定!$A$5:$A$7,設定!$B$5:$B$7)*XLOOKUP(設定!$C$11:$C$60,設定!$D$5:$D$7,設定!$E$5:$E$7))=0,"",SUMPRODUCT(--(設定!$B$11:$B$60="OS（Linux/Windows）")*--(整形回答!F174:BC174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4" s="10">
        <f>IF(D174="","",IF(SUMPRODUCT(--(設定!$B$11:$B$60="AWS")*XLOOKUP(設定!$B$11:$B$60,設定!$A$5:$A$7,設定!$B$5:$B$7)*XLOOKUP(設定!$C$11:$C$60,設定!$D$5:$D$7,設定!$E$5:$E$7))=0,"",SUMPRODUCT(--(設定!$B$11:$B$60="AWS")*--(整形回答!F174:BC174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4" s="10">
        <f>IF(D174="","",IF(SUMPRODUCT(--(設定!$B$11:$B$60="NW/Security")*XLOOKUP(設定!$B$11:$B$60,設定!$A$5:$A$7,設定!$B$5:$B$7)*XLOOKUP(設定!$C$11:$C$60,設定!$D$5:$D$7,設定!$E$5:$E$7))=0,"",SUMPRODUCT(--(設定!$B$11:$B$60="NW/Security")*--(整形回答!F174:BC174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4" s="8">
        <f>IF(F174="","",IF(F174&gt;=85,"即戦力",IF(F174&gt;=70,"主担当",IF(F174&gt;=55,"サポート","育成"))))</f>
        <v/>
      </c>
      <c r="K174" s="8">
        <f>整形回答!E174</f>
        <v/>
      </c>
    </row>
    <row r="175">
      <c r="A175" s="8">
        <f>整形回答!A175</f>
        <v/>
      </c>
      <c r="B175" s="9">
        <f>整形回答!B175</f>
        <v/>
      </c>
      <c r="C175" s="9">
        <f>整形回答!C175</f>
        <v/>
      </c>
      <c r="D175" s="8">
        <f>IF(B175="","",SUMPRODUCT(--(整形回答!F175:BC175=正解キー!$B$2:$B$51)*XLOOKUP(設定!$B$11:$B$60,設定!$A$5:$A$7,設定!$B$5:$B$7)*XLOOKUP(設定!$C$11:$C$60,設定!$D$5:$D$7,設定!$E$5:$E$7)))</f>
        <v/>
      </c>
      <c r="E175" s="8">
        <f>SUMPRODUCT(XLOOKUP(設定!$B$11:$B$60,設定!$A$5:$A$7,設定!$B$5:$B$7)*XLOOKUP(設定!$C$11:$C$60,設定!$D$5:$D$7,設定!$E$5:$E$7))</f>
        <v/>
      </c>
      <c r="F175" s="10">
        <f>IF(D175="","",D175/E175*100)</f>
        <v/>
      </c>
      <c r="G175" s="10">
        <f>IF(D175="","",IF(SUMPRODUCT(--(設定!$B$11:$B$60="OS（Linux/Windows）")*XLOOKUP(設定!$B$11:$B$60,設定!$A$5:$A$7,設定!$B$5:$B$7)*XLOOKUP(設定!$C$11:$C$60,設定!$D$5:$D$7,設定!$E$5:$E$7))=0,"",SUMPRODUCT(--(設定!$B$11:$B$60="OS（Linux/Windows）")*--(整形回答!F175:BC175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5" s="10">
        <f>IF(D175="","",IF(SUMPRODUCT(--(設定!$B$11:$B$60="AWS")*XLOOKUP(設定!$B$11:$B$60,設定!$A$5:$A$7,設定!$B$5:$B$7)*XLOOKUP(設定!$C$11:$C$60,設定!$D$5:$D$7,設定!$E$5:$E$7))=0,"",SUMPRODUCT(--(設定!$B$11:$B$60="AWS")*--(整形回答!F175:BC175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5" s="10">
        <f>IF(D175="","",IF(SUMPRODUCT(--(設定!$B$11:$B$60="NW/Security")*XLOOKUP(設定!$B$11:$B$60,設定!$A$5:$A$7,設定!$B$5:$B$7)*XLOOKUP(設定!$C$11:$C$60,設定!$D$5:$D$7,設定!$E$5:$E$7))=0,"",SUMPRODUCT(--(設定!$B$11:$B$60="NW/Security")*--(整形回答!F175:BC175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5" s="8">
        <f>IF(F175="","",IF(F175&gt;=85,"即戦力",IF(F175&gt;=70,"主担当",IF(F175&gt;=55,"サポート","育成"))))</f>
        <v/>
      </c>
      <c r="K175" s="8">
        <f>整形回答!E175</f>
        <v/>
      </c>
    </row>
    <row r="176">
      <c r="A176" s="8">
        <f>整形回答!A176</f>
        <v/>
      </c>
      <c r="B176" s="9">
        <f>整形回答!B176</f>
        <v/>
      </c>
      <c r="C176" s="9">
        <f>整形回答!C176</f>
        <v/>
      </c>
      <c r="D176" s="8">
        <f>IF(B176="","",SUMPRODUCT(--(整形回答!F176:BC176=正解キー!$B$2:$B$51)*XLOOKUP(設定!$B$11:$B$60,設定!$A$5:$A$7,設定!$B$5:$B$7)*XLOOKUP(設定!$C$11:$C$60,設定!$D$5:$D$7,設定!$E$5:$E$7)))</f>
        <v/>
      </c>
      <c r="E176" s="8">
        <f>SUMPRODUCT(XLOOKUP(設定!$B$11:$B$60,設定!$A$5:$A$7,設定!$B$5:$B$7)*XLOOKUP(設定!$C$11:$C$60,設定!$D$5:$D$7,設定!$E$5:$E$7))</f>
        <v/>
      </c>
      <c r="F176" s="10">
        <f>IF(D176="","",D176/E176*100)</f>
        <v/>
      </c>
      <c r="G176" s="10">
        <f>IF(D176="","",IF(SUMPRODUCT(--(設定!$B$11:$B$60="OS（Linux/Windows）")*XLOOKUP(設定!$B$11:$B$60,設定!$A$5:$A$7,設定!$B$5:$B$7)*XLOOKUP(設定!$C$11:$C$60,設定!$D$5:$D$7,設定!$E$5:$E$7))=0,"",SUMPRODUCT(--(設定!$B$11:$B$60="OS（Linux/Windows）")*--(整形回答!F176:BC176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6" s="10">
        <f>IF(D176="","",IF(SUMPRODUCT(--(設定!$B$11:$B$60="AWS")*XLOOKUP(設定!$B$11:$B$60,設定!$A$5:$A$7,設定!$B$5:$B$7)*XLOOKUP(設定!$C$11:$C$60,設定!$D$5:$D$7,設定!$E$5:$E$7))=0,"",SUMPRODUCT(--(設定!$B$11:$B$60="AWS")*--(整形回答!F176:BC176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6" s="10">
        <f>IF(D176="","",IF(SUMPRODUCT(--(設定!$B$11:$B$60="NW/Security")*XLOOKUP(設定!$B$11:$B$60,設定!$A$5:$A$7,設定!$B$5:$B$7)*XLOOKUP(設定!$C$11:$C$60,設定!$D$5:$D$7,設定!$E$5:$E$7))=0,"",SUMPRODUCT(--(設定!$B$11:$B$60="NW/Security")*--(整形回答!F176:BC176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6" s="8">
        <f>IF(F176="","",IF(F176&gt;=85,"即戦力",IF(F176&gt;=70,"主担当",IF(F176&gt;=55,"サポート","育成"))))</f>
        <v/>
      </c>
      <c r="K176" s="8">
        <f>整形回答!E176</f>
        <v/>
      </c>
    </row>
    <row r="177">
      <c r="A177" s="8">
        <f>整形回答!A177</f>
        <v/>
      </c>
      <c r="B177" s="9">
        <f>整形回答!B177</f>
        <v/>
      </c>
      <c r="C177" s="9">
        <f>整形回答!C177</f>
        <v/>
      </c>
      <c r="D177" s="8">
        <f>IF(B177="","",SUMPRODUCT(--(整形回答!F177:BC177=正解キー!$B$2:$B$51)*XLOOKUP(設定!$B$11:$B$60,設定!$A$5:$A$7,設定!$B$5:$B$7)*XLOOKUP(設定!$C$11:$C$60,設定!$D$5:$D$7,設定!$E$5:$E$7)))</f>
        <v/>
      </c>
      <c r="E177" s="8">
        <f>SUMPRODUCT(XLOOKUP(設定!$B$11:$B$60,設定!$A$5:$A$7,設定!$B$5:$B$7)*XLOOKUP(設定!$C$11:$C$60,設定!$D$5:$D$7,設定!$E$5:$E$7))</f>
        <v/>
      </c>
      <c r="F177" s="10">
        <f>IF(D177="","",D177/E177*100)</f>
        <v/>
      </c>
      <c r="G177" s="10">
        <f>IF(D177="","",IF(SUMPRODUCT(--(設定!$B$11:$B$60="OS（Linux/Windows）")*XLOOKUP(設定!$B$11:$B$60,設定!$A$5:$A$7,設定!$B$5:$B$7)*XLOOKUP(設定!$C$11:$C$60,設定!$D$5:$D$7,設定!$E$5:$E$7))=0,"",SUMPRODUCT(--(設定!$B$11:$B$60="OS（Linux/Windows）")*--(整形回答!F177:BC177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7" s="10">
        <f>IF(D177="","",IF(SUMPRODUCT(--(設定!$B$11:$B$60="AWS")*XLOOKUP(設定!$B$11:$B$60,設定!$A$5:$A$7,設定!$B$5:$B$7)*XLOOKUP(設定!$C$11:$C$60,設定!$D$5:$D$7,設定!$E$5:$E$7))=0,"",SUMPRODUCT(--(設定!$B$11:$B$60="AWS")*--(整形回答!F177:BC177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7" s="10">
        <f>IF(D177="","",IF(SUMPRODUCT(--(設定!$B$11:$B$60="NW/Security")*XLOOKUP(設定!$B$11:$B$60,設定!$A$5:$A$7,設定!$B$5:$B$7)*XLOOKUP(設定!$C$11:$C$60,設定!$D$5:$D$7,設定!$E$5:$E$7))=0,"",SUMPRODUCT(--(設定!$B$11:$B$60="NW/Security")*--(整形回答!F177:BC177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7" s="8">
        <f>IF(F177="","",IF(F177&gt;=85,"即戦力",IF(F177&gt;=70,"主担当",IF(F177&gt;=55,"サポート","育成"))))</f>
        <v/>
      </c>
      <c r="K177" s="8">
        <f>整形回答!E177</f>
        <v/>
      </c>
    </row>
    <row r="178">
      <c r="A178" s="8">
        <f>整形回答!A178</f>
        <v/>
      </c>
      <c r="B178" s="9">
        <f>整形回答!B178</f>
        <v/>
      </c>
      <c r="C178" s="9">
        <f>整形回答!C178</f>
        <v/>
      </c>
      <c r="D178" s="8">
        <f>IF(B178="","",SUMPRODUCT(--(整形回答!F178:BC178=正解キー!$B$2:$B$51)*XLOOKUP(設定!$B$11:$B$60,設定!$A$5:$A$7,設定!$B$5:$B$7)*XLOOKUP(設定!$C$11:$C$60,設定!$D$5:$D$7,設定!$E$5:$E$7)))</f>
        <v/>
      </c>
      <c r="E178" s="8">
        <f>SUMPRODUCT(XLOOKUP(設定!$B$11:$B$60,設定!$A$5:$A$7,設定!$B$5:$B$7)*XLOOKUP(設定!$C$11:$C$60,設定!$D$5:$D$7,設定!$E$5:$E$7))</f>
        <v/>
      </c>
      <c r="F178" s="10">
        <f>IF(D178="","",D178/E178*100)</f>
        <v/>
      </c>
      <c r="G178" s="10">
        <f>IF(D178="","",IF(SUMPRODUCT(--(設定!$B$11:$B$60="OS（Linux/Windows）")*XLOOKUP(設定!$B$11:$B$60,設定!$A$5:$A$7,設定!$B$5:$B$7)*XLOOKUP(設定!$C$11:$C$60,設定!$D$5:$D$7,設定!$E$5:$E$7))=0,"",SUMPRODUCT(--(設定!$B$11:$B$60="OS（Linux/Windows）")*--(整形回答!F178:BC178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8" s="10">
        <f>IF(D178="","",IF(SUMPRODUCT(--(設定!$B$11:$B$60="AWS")*XLOOKUP(設定!$B$11:$B$60,設定!$A$5:$A$7,設定!$B$5:$B$7)*XLOOKUP(設定!$C$11:$C$60,設定!$D$5:$D$7,設定!$E$5:$E$7))=0,"",SUMPRODUCT(--(設定!$B$11:$B$60="AWS")*--(整形回答!F178:BC178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8" s="10">
        <f>IF(D178="","",IF(SUMPRODUCT(--(設定!$B$11:$B$60="NW/Security")*XLOOKUP(設定!$B$11:$B$60,設定!$A$5:$A$7,設定!$B$5:$B$7)*XLOOKUP(設定!$C$11:$C$60,設定!$D$5:$D$7,設定!$E$5:$E$7))=0,"",SUMPRODUCT(--(設定!$B$11:$B$60="NW/Security")*--(整形回答!F178:BC178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8" s="8">
        <f>IF(F178="","",IF(F178&gt;=85,"即戦力",IF(F178&gt;=70,"主担当",IF(F178&gt;=55,"サポート","育成"))))</f>
        <v/>
      </c>
      <c r="K178" s="8">
        <f>整形回答!E178</f>
        <v/>
      </c>
    </row>
    <row r="179">
      <c r="A179" s="8">
        <f>整形回答!A179</f>
        <v/>
      </c>
      <c r="B179" s="9">
        <f>整形回答!B179</f>
        <v/>
      </c>
      <c r="C179" s="9">
        <f>整形回答!C179</f>
        <v/>
      </c>
      <c r="D179" s="8">
        <f>IF(B179="","",SUMPRODUCT(--(整形回答!F179:BC179=正解キー!$B$2:$B$51)*XLOOKUP(設定!$B$11:$B$60,設定!$A$5:$A$7,設定!$B$5:$B$7)*XLOOKUP(設定!$C$11:$C$60,設定!$D$5:$D$7,設定!$E$5:$E$7)))</f>
        <v/>
      </c>
      <c r="E179" s="8">
        <f>SUMPRODUCT(XLOOKUP(設定!$B$11:$B$60,設定!$A$5:$A$7,設定!$B$5:$B$7)*XLOOKUP(設定!$C$11:$C$60,設定!$D$5:$D$7,設定!$E$5:$E$7))</f>
        <v/>
      </c>
      <c r="F179" s="10">
        <f>IF(D179="","",D179/E179*100)</f>
        <v/>
      </c>
      <c r="G179" s="10">
        <f>IF(D179="","",IF(SUMPRODUCT(--(設定!$B$11:$B$60="OS（Linux/Windows）")*XLOOKUP(設定!$B$11:$B$60,設定!$A$5:$A$7,設定!$B$5:$B$7)*XLOOKUP(設定!$C$11:$C$60,設定!$D$5:$D$7,設定!$E$5:$E$7))=0,"",SUMPRODUCT(--(設定!$B$11:$B$60="OS（Linux/Windows）")*--(整形回答!F179:BC179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79" s="10">
        <f>IF(D179="","",IF(SUMPRODUCT(--(設定!$B$11:$B$60="AWS")*XLOOKUP(設定!$B$11:$B$60,設定!$A$5:$A$7,設定!$B$5:$B$7)*XLOOKUP(設定!$C$11:$C$60,設定!$D$5:$D$7,設定!$E$5:$E$7))=0,"",SUMPRODUCT(--(設定!$B$11:$B$60="AWS")*--(整形回答!F179:BC179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79" s="10">
        <f>IF(D179="","",IF(SUMPRODUCT(--(設定!$B$11:$B$60="NW/Security")*XLOOKUP(設定!$B$11:$B$60,設定!$A$5:$A$7,設定!$B$5:$B$7)*XLOOKUP(設定!$C$11:$C$60,設定!$D$5:$D$7,設定!$E$5:$E$7))=0,"",SUMPRODUCT(--(設定!$B$11:$B$60="NW/Security")*--(整形回答!F179:BC179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79" s="8">
        <f>IF(F179="","",IF(F179&gt;=85,"即戦力",IF(F179&gt;=70,"主担当",IF(F179&gt;=55,"サポート","育成"))))</f>
        <v/>
      </c>
      <c r="K179" s="8">
        <f>整形回答!E179</f>
        <v/>
      </c>
    </row>
    <row r="180">
      <c r="A180" s="8">
        <f>整形回答!A180</f>
        <v/>
      </c>
      <c r="B180" s="9">
        <f>整形回答!B180</f>
        <v/>
      </c>
      <c r="C180" s="9">
        <f>整形回答!C180</f>
        <v/>
      </c>
      <c r="D180" s="8">
        <f>IF(B180="","",SUMPRODUCT(--(整形回答!F180:BC180=正解キー!$B$2:$B$51)*XLOOKUP(設定!$B$11:$B$60,設定!$A$5:$A$7,設定!$B$5:$B$7)*XLOOKUP(設定!$C$11:$C$60,設定!$D$5:$D$7,設定!$E$5:$E$7)))</f>
        <v/>
      </c>
      <c r="E180" s="8">
        <f>SUMPRODUCT(XLOOKUP(設定!$B$11:$B$60,設定!$A$5:$A$7,設定!$B$5:$B$7)*XLOOKUP(設定!$C$11:$C$60,設定!$D$5:$D$7,設定!$E$5:$E$7))</f>
        <v/>
      </c>
      <c r="F180" s="10">
        <f>IF(D180="","",D180/E180*100)</f>
        <v/>
      </c>
      <c r="G180" s="10">
        <f>IF(D180="","",IF(SUMPRODUCT(--(設定!$B$11:$B$60="OS（Linux/Windows）")*XLOOKUP(設定!$B$11:$B$60,設定!$A$5:$A$7,設定!$B$5:$B$7)*XLOOKUP(設定!$C$11:$C$60,設定!$D$5:$D$7,設定!$E$5:$E$7))=0,"",SUMPRODUCT(--(設定!$B$11:$B$60="OS（Linux/Windows）")*--(整形回答!F180:BC180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0" s="10">
        <f>IF(D180="","",IF(SUMPRODUCT(--(設定!$B$11:$B$60="AWS")*XLOOKUP(設定!$B$11:$B$60,設定!$A$5:$A$7,設定!$B$5:$B$7)*XLOOKUP(設定!$C$11:$C$60,設定!$D$5:$D$7,設定!$E$5:$E$7))=0,"",SUMPRODUCT(--(設定!$B$11:$B$60="AWS")*--(整形回答!F180:BC180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0" s="10">
        <f>IF(D180="","",IF(SUMPRODUCT(--(設定!$B$11:$B$60="NW/Security")*XLOOKUP(設定!$B$11:$B$60,設定!$A$5:$A$7,設定!$B$5:$B$7)*XLOOKUP(設定!$C$11:$C$60,設定!$D$5:$D$7,設定!$E$5:$E$7))=0,"",SUMPRODUCT(--(設定!$B$11:$B$60="NW/Security")*--(整形回答!F180:BC180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0" s="8">
        <f>IF(F180="","",IF(F180&gt;=85,"即戦力",IF(F180&gt;=70,"主担当",IF(F180&gt;=55,"サポート","育成"))))</f>
        <v/>
      </c>
      <c r="K180" s="8">
        <f>整形回答!E180</f>
        <v/>
      </c>
    </row>
    <row r="181">
      <c r="A181" s="8">
        <f>整形回答!A181</f>
        <v/>
      </c>
      <c r="B181" s="9">
        <f>整形回答!B181</f>
        <v/>
      </c>
      <c r="C181" s="9">
        <f>整形回答!C181</f>
        <v/>
      </c>
      <c r="D181" s="8">
        <f>IF(B181="","",SUMPRODUCT(--(整形回答!F181:BC181=正解キー!$B$2:$B$51)*XLOOKUP(設定!$B$11:$B$60,設定!$A$5:$A$7,設定!$B$5:$B$7)*XLOOKUP(設定!$C$11:$C$60,設定!$D$5:$D$7,設定!$E$5:$E$7)))</f>
        <v/>
      </c>
      <c r="E181" s="8">
        <f>SUMPRODUCT(XLOOKUP(設定!$B$11:$B$60,設定!$A$5:$A$7,設定!$B$5:$B$7)*XLOOKUP(設定!$C$11:$C$60,設定!$D$5:$D$7,設定!$E$5:$E$7))</f>
        <v/>
      </c>
      <c r="F181" s="10">
        <f>IF(D181="","",D181/E181*100)</f>
        <v/>
      </c>
      <c r="G181" s="10">
        <f>IF(D181="","",IF(SUMPRODUCT(--(設定!$B$11:$B$60="OS（Linux/Windows）")*XLOOKUP(設定!$B$11:$B$60,設定!$A$5:$A$7,設定!$B$5:$B$7)*XLOOKUP(設定!$C$11:$C$60,設定!$D$5:$D$7,設定!$E$5:$E$7))=0,"",SUMPRODUCT(--(設定!$B$11:$B$60="OS（Linux/Windows）")*--(整形回答!F181:BC181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1" s="10">
        <f>IF(D181="","",IF(SUMPRODUCT(--(設定!$B$11:$B$60="AWS")*XLOOKUP(設定!$B$11:$B$60,設定!$A$5:$A$7,設定!$B$5:$B$7)*XLOOKUP(設定!$C$11:$C$60,設定!$D$5:$D$7,設定!$E$5:$E$7))=0,"",SUMPRODUCT(--(設定!$B$11:$B$60="AWS")*--(整形回答!F181:BC181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1" s="10">
        <f>IF(D181="","",IF(SUMPRODUCT(--(設定!$B$11:$B$60="NW/Security")*XLOOKUP(設定!$B$11:$B$60,設定!$A$5:$A$7,設定!$B$5:$B$7)*XLOOKUP(設定!$C$11:$C$60,設定!$D$5:$D$7,設定!$E$5:$E$7))=0,"",SUMPRODUCT(--(設定!$B$11:$B$60="NW/Security")*--(整形回答!F181:BC181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1" s="8">
        <f>IF(F181="","",IF(F181&gt;=85,"即戦力",IF(F181&gt;=70,"主担当",IF(F181&gt;=55,"サポート","育成"))))</f>
        <v/>
      </c>
      <c r="K181" s="8">
        <f>整形回答!E181</f>
        <v/>
      </c>
    </row>
    <row r="182">
      <c r="A182" s="8">
        <f>整形回答!A182</f>
        <v/>
      </c>
      <c r="B182" s="9">
        <f>整形回答!B182</f>
        <v/>
      </c>
      <c r="C182" s="9">
        <f>整形回答!C182</f>
        <v/>
      </c>
      <c r="D182" s="8">
        <f>IF(B182="","",SUMPRODUCT(--(整形回答!F182:BC182=正解キー!$B$2:$B$51)*XLOOKUP(設定!$B$11:$B$60,設定!$A$5:$A$7,設定!$B$5:$B$7)*XLOOKUP(設定!$C$11:$C$60,設定!$D$5:$D$7,設定!$E$5:$E$7)))</f>
        <v/>
      </c>
      <c r="E182" s="8">
        <f>SUMPRODUCT(XLOOKUP(設定!$B$11:$B$60,設定!$A$5:$A$7,設定!$B$5:$B$7)*XLOOKUP(設定!$C$11:$C$60,設定!$D$5:$D$7,設定!$E$5:$E$7))</f>
        <v/>
      </c>
      <c r="F182" s="10">
        <f>IF(D182="","",D182/E182*100)</f>
        <v/>
      </c>
      <c r="G182" s="10">
        <f>IF(D182="","",IF(SUMPRODUCT(--(設定!$B$11:$B$60="OS（Linux/Windows）")*XLOOKUP(設定!$B$11:$B$60,設定!$A$5:$A$7,設定!$B$5:$B$7)*XLOOKUP(設定!$C$11:$C$60,設定!$D$5:$D$7,設定!$E$5:$E$7))=0,"",SUMPRODUCT(--(設定!$B$11:$B$60="OS（Linux/Windows）")*--(整形回答!F182:BC182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2" s="10">
        <f>IF(D182="","",IF(SUMPRODUCT(--(設定!$B$11:$B$60="AWS")*XLOOKUP(設定!$B$11:$B$60,設定!$A$5:$A$7,設定!$B$5:$B$7)*XLOOKUP(設定!$C$11:$C$60,設定!$D$5:$D$7,設定!$E$5:$E$7))=0,"",SUMPRODUCT(--(設定!$B$11:$B$60="AWS")*--(整形回答!F182:BC182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2" s="10">
        <f>IF(D182="","",IF(SUMPRODUCT(--(設定!$B$11:$B$60="NW/Security")*XLOOKUP(設定!$B$11:$B$60,設定!$A$5:$A$7,設定!$B$5:$B$7)*XLOOKUP(設定!$C$11:$C$60,設定!$D$5:$D$7,設定!$E$5:$E$7))=0,"",SUMPRODUCT(--(設定!$B$11:$B$60="NW/Security")*--(整形回答!F182:BC182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2" s="8">
        <f>IF(F182="","",IF(F182&gt;=85,"即戦力",IF(F182&gt;=70,"主担当",IF(F182&gt;=55,"サポート","育成"))))</f>
        <v/>
      </c>
      <c r="K182" s="8">
        <f>整形回答!E182</f>
        <v/>
      </c>
    </row>
    <row r="183">
      <c r="A183" s="8">
        <f>整形回答!A183</f>
        <v/>
      </c>
      <c r="B183" s="9">
        <f>整形回答!B183</f>
        <v/>
      </c>
      <c r="C183" s="9">
        <f>整形回答!C183</f>
        <v/>
      </c>
      <c r="D183" s="8">
        <f>IF(B183="","",SUMPRODUCT(--(整形回答!F183:BC183=正解キー!$B$2:$B$51)*XLOOKUP(設定!$B$11:$B$60,設定!$A$5:$A$7,設定!$B$5:$B$7)*XLOOKUP(設定!$C$11:$C$60,設定!$D$5:$D$7,設定!$E$5:$E$7)))</f>
        <v/>
      </c>
      <c r="E183" s="8">
        <f>SUMPRODUCT(XLOOKUP(設定!$B$11:$B$60,設定!$A$5:$A$7,設定!$B$5:$B$7)*XLOOKUP(設定!$C$11:$C$60,設定!$D$5:$D$7,設定!$E$5:$E$7))</f>
        <v/>
      </c>
      <c r="F183" s="10">
        <f>IF(D183="","",D183/E183*100)</f>
        <v/>
      </c>
      <c r="G183" s="10">
        <f>IF(D183="","",IF(SUMPRODUCT(--(設定!$B$11:$B$60="OS（Linux/Windows）")*XLOOKUP(設定!$B$11:$B$60,設定!$A$5:$A$7,設定!$B$5:$B$7)*XLOOKUP(設定!$C$11:$C$60,設定!$D$5:$D$7,設定!$E$5:$E$7))=0,"",SUMPRODUCT(--(設定!$B$11:$B$60="OS（Linux/Windows）")*--(整形回答!F183:BC183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3" s="10">
        <f>IF(D183="","",IF(SUMPRODUCT(--(設定!$B$11:$B$60="AWS")*XLOOKUP(設定!$B$11:$B$60,設定!$A$5:$A$7,設定!$B$5:$B$7)*XLOOKUP(設定!$C$11:$C$60,設定!$D$5:$D$7,設定!$E$5:$E$7))=0,"",SUMPRODUCT(--(設定!$B$11:$B$60="AWS")*--(整形回答!F183:BC183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3" s="10">
        <f>IF(D183="","",IF(SUMPRODUCT(--(設定!$B$11:$B$60="NW/Security")*XLOOKUP(設定!$B$11:$B$60,設定!$A$5:$A$7,設定!$B$5:$B$7)*XLOOKUP(設定!$C$11:$C$60,設定!$D$5:$D$7,設定!$E$5:$E$7))=0,"",SUMPRODUCT(--(設定!$B$11:$B$60="NW/Security")*--(整形回答!F183:BC183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3" s="8">
        <f>IF(F183="","",IF(F183&gt;=85,"即戦力",IF(F183&gt;=70,"主担当",IF(F183&gt;=55,"サポート","育成"))))</f>
        <v/>
      </c>
      <c r="K183" s="8">
        <f>整形回答!E183</f>
        <v/>
      </c>
    </row>
    <row r="184">
      <c r="A184" s="8">
        <f>整形回答!A184</f>
        <v/>
      </c>
      <c r="B184" s="9">
        <f>整形回答!B184</f>
        <v/>
      </c>
      <c r="C184" s="9">
        <f>整形回答!C184</f>
        <v/>
      </c>
      <c r="D184" s="8">
        <f>IF(B184="","",SUMPRODUCT(--(整形回答!F184:BC184=正解キー!$B$2:$B$51)*XLOOKUP(設定!$B$11:$B$60,設定!$A$5:$A$7,設定!$B$5:$B$7)*XLOOKUP(設定!$C$11:$C$60,設定!$D$5:$D$7,設定!$E$5:$E$7)))</f>
        <v/>
      </c>
      <c r="E184" s="8">
        <f>SUMPRODUCT(XLOOKUP(設定!$B$11:$B$60,設定!$A$5:$A$7,設定!$B$5:$B$7)*XLOOKUP(設定!$C$11:$C$60,設定!$D$5:$D$7,設定!$E$5:$E$7))</f>
        <v/>
      </c>
      <c r="F184" s="10">
        <f>IF(D184="","",D184/E184*100)</f>
        <v/>
      </c>
      <c r="G184" s="10">
        <f>IF(D184="","",IF(SUMPRODUCT(--(設定!$B$11:$B$60="OS（Linux/Windows）")*XLOOKUP(設定!$B$11:$B$60,設定!$A$5:$A$7,設定!$B$5:$B$7)*XLOOKUP(設定!$C$11:$C$60,設定!$D$5:$D$7,設定!$E$5:$E$7))=0,"",SUMPRODUCT(--(設定!$B$11:$B$60="OS（Linux/Windows）")*--(整形回答!F184:BC184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4" s="10">
        <f>IF(D184="","",IF(SUMPRODUCT(--(設定!$B$11:$B$60="AWS")*XLOOKUP(設定!$B$11:$B$60,設定!$A$5:$A$7,設定!$B$5:$B$7)*XLOOKUP(設定!$C$11:$C$60,設定!$D$5:$D$7,設定!$E$5:$E$7))=0,"",SUMPRODUCT(--(設定!$B$11:$B$60="AWS")*--(整形回答!F184:BC184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4" s="10">
        <f>IF(D184="","",IF(SUMPRODUCT(--(設定!$B$11:$B$60="NW/Security")*XLOOKUP(設定!$B$11:$B$60,設定!$A$5:$A$7,設定!$B$5:$B$7)*XLOOKUP(設定!$C$11:$C$60,設定!$D$5:$D$7,設定!$E$5:$E$7))=0,"",SUMPRODUCT(--(設定!$B$11:$B$60="NW/Security")*--(整形回答!F184:BC184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4" s="8">
        <f>IF(F184="","",IF(F184&gt;=85,"即戦力",IF(F184&gt;=70,"主担当",IF(F184&gt;=55,"サポート","育成"))))</f>
        <v/>
      </c>
      <c r="K184" s="8">
        <f>整形回答!E184</f>
        <v/>
      </c>
    </row>
    <row r="185">
      <c r="A185" s="8">
        <f>整形回答!A185</f>
        <v/>
      </c>
      <c r="B185" s="9">
        <f>整形回答!B185</f>
        <v/>
      </c>
      <c r="C185" s="9">
        <f>整形回答!C185</f>
        <v/>
      </c>
      <c r="D185" s="8">
        <f>IF(B185="","",SUMPRODUCT(--(整形回答!F185:BC185=正解キー!$B$2:$B$51)*XLOOKUP(設定!$B$11:$B$60,設定!$A$5:$A$7,設定!$B$5:$B$7)*XLOOKUP(設定!$C$11:$C$60,設定!$D$5:$D$7,設定!$E$5:$E$7)))</f>
        <v/>
      </c>
      <c r="E185" s="8">
        <f>SUMPRODUCT(XLOOKUP(設定!$B$11:$B$60,設定!$A$5:$A$7,設定!$B$5:$B$7)*XLOOKUP(設定!$C$11:$C$60,設定!$D$5:$D$7,設定!$E$5:$E$7))</f>
        <v/>
      </c>
      <c r="F185" s="10">
        <f>IF(D185="","",D185/E185*100)</f>
        <v/>
      </c>
      <c r="G185" s="10">
        <f>IF(D185="","",IF(SUMPRODUCT(--(設定!$B$11:$B$60="OS（Linux/Windows）")*XLOOKUP(設定!$B$11:$B$60,設定!$A$5:$A$7,設定!$B$5:$B$7)*XLOOKUP(設定!$C$11:$C$60,設定!$D$5:$D$7,設定!$E$5:$E$7))=0,"",SUMPRODUCT(--(設定!$B$11:$B$60="OS（Linux/Windows）")*--(整形回答!F185:BC185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5" s="10">
        <f>IF(D185="","",IF(SUMPRODUCT(--(設定!$B$11:$B$60="AWS")*XLOOKUP(設定!$B$11:$B$60,設定!$A$5:$A$7,設定!$B$5:$B$7)*XLOOKUP(設定!$C$11:$C$60,設定!$D$5:$D$7,設定!$E$5:$E$7))=0,"",SUMPRODUCT(--(設定!$B$11:$B$60="AWS")*--(整形回答!F185:BC185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5" s="10">
        <f>IF(D185="","",IF(SUMPRODUCT(--(設定!$B$11:$B$60="NW/Security")*XLOOKUP(設定!$B$11:$B$60,設定!$A$5:$A$7,設定!$B$5:$B$7)*XLOOKUP(設定!$C$11:$C$60,設定!$D$5:$D$7,設定!$E$5:$E$7))=0,"",SUMPRODUCT(--(設定!$B$11:$B$60="NW/Security")*--(整形回答!F185:BC185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5" s="8">
        <f>IF(F185="","",IF(F185&gt;=85,"即戦力",IF(F185&gt;=70,"主担当",IF(F185&gt;=55,"サポート","育成"))))</f>
        <v/>
      </c>
      <c r="K185" s="8">
        <f>整形回答!E185</f>
        <v/>
      </c>
    </row>
    <row r="186">
      <c r="A186" s="8">
        <f>整形回答!A186</f>
        <v/>
      </c>
      <c r="B186" s="9">
        <f>整形回答!B186</f>
        <v/>
      </c>
      <c r="C186" s="9">
        <f>整形回答!C186</f>
        <v/>
      </c>
      <c r="D186" s="8">
        <f>IF(B186="","",SUMPRODUCT(--(整形回答!F186:BC186=正解キー!$B$2:$B$51)*XLOOKUP(設定!$B$11:$B$60,設定!$A$5:$A$7,設定!$B$5:$B$7)*XLOOKUP(設定!$C$11:$C$60,設定!$D$5:$D$7,設定!$E$5:$E$7)))</f>
        <v/>
      </c>
      <c r="E186" s="8">
        <f>SUMPRODUCT(XLOOKUP(設定!$B$11:$B$60,設定!$A$5:$A$7,設定!$B$5:$B$7)*XLOOKUP(設定!$C$11:$C$60,設定!$D$5:$D$7,設定!$E$5:$E$7))</f>
        <v/>
      </c>
      <c r="F186" s="10">
        <f>IF(D186="","",D186/E186*100)</f>
        <v/>
      </c>
      <c r="G186" s="10">
        <f>IF(D186="","",IF(SUMPRODUCT(--(設定!$B$11:$B$60="OS（Linux/Windows）")*XLOOKUP(設定!$B$11:$B$60,設定!$A$5:$A$7,設定!$B$5:$B$7)*XLOOKUP(設定!$C$11:$C$60,設定!$D$5:$D$7,設定!$E$5:$E$7))=0,"",SUMPRODUCT(--(設定!$B$11:$B$60="OS（Linux/Windows）")*--(整形回答!F186:BC186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6" s="10">
        <f>IF(D186="","",IF(SUMPRODUCT(--(設定!$B$11:$B$60="AWS")*XLOOKUP(設定!$B$11:$B$60,設定!$A$5:$A$7,設定!$B$5:$B$7)*XLOOKUP(設定!$C$11:$C$60,設定!$D$5:$D$7,設定!$E$5:$E$7))=0,"",SUMPRODUCT(--(設定!$B$11:$B$60="AWS")*--(整形回答!F186:BC186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6" s="10">
        <f>IF(D186="","",IF(SUMPRODUCT(--(設定!$B$11:$B$60="NW/Security")*XLOOKUP(設定!$B$11:$B$60,設定!$A$5:$A$7,設定!$B$5:$B$7)*XLOOKUP(設定!$C$11:$C$60,設定!$D$5:$D$7,設定!$E$5:$E$7))=0,"",SUMPRODUCT(--(設定!$B$11:$B$60="NW/Security")*--(整形回答!F186:BC186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6" s="8">
        <f>IF(F186="","",IF(F186&gt;=85,"即戦力",IF(F186&gt;=70,"主担当",IF(F186&gt;=55,"サポート","育成"))))</f>
        <v/>
      </c>
      <c r="K186" s="8">
        <f>整形回答!E186</f>
        <v/>
      </c>
    </row>
    <row r="187">
      <c r="A187" s="8">
        <f>整形回答!A187</f>
        <v/>
      </c>
      <c r="B187" s="9">
        <f>整形回答!B187</f>
        <v/>
      </c>
      <c r="C187" s="9">
        <f>整形回答!C187</f>
        <v/>
      </c>
      <c r="D187" s="8">
        <f>IF(B187="","",SUMPRODUCT(--(整形回答!F187:BC187=正解キー!$B$2:$B$51)*XLOOKUP(設定!$B$11:$B$60,設定!$A$5:$A$7,設定!$B$5:$B$7)*XLOOKUP(設定!$C$11:$C$60,設定!$D$5:$D$7,設定!$E$5:$E$7)))</f>
        <v/>
      </c>
      <c r="E187" s="8">
        <f>SUMPRODUCT(XLOOKUP(設定!$B$11:$B$60,設定!$A$5:$A$7,設定!$B$5:$B$7)*XLOOKUP(設定!$C$11:$C$60,設定!$D$5:$D$7,設定!$E$5:$E$7))</f>
        <v/>
      </c>
      <c r="F187" s="10">
        <f>IF(D187="","",D187/E187*100)</f>
        <v/>
      </c>
      <c r="G187" s="10">
        <f>IF(D187="","",IF(SUMPRODUCT(--(設定!$B$11:$B$60="OS（Linux/Windows）")*XLOOKUP(設定!$B$11:$B$60,設定!$A$5:$A$7,設定!$B$5:$B$7)*XLOOKUP(設定!$C$11:$C$60,設定!$D$5:$D$7,設定!$E$5:$E$7))=0,"",SUMPRODUCT(--(設定!$B$11:$B$60="OS（Linux/Windows）")*--(整形回答!F187:BC187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7" s="10">
        <f>IF(D187="","",IF(SUMPRODUCT(--(設定!$B$11:$B$60="AWS")*XLOOKUP(設定!$B$11:$B$60,設定!$A$5:$A$7,設定!$B$5:$B$7)*XLOOKUP(設定!$C$11:$C$60,設定!$D$5:$D$7,設定!$E$5:$E$7))=0,"",SUMPRODUCT(--(設定!$B$11:$B$60="AWS")*--(整形回答!F187:BC187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7" s="10">
        <f>IF(D187="","",IF(SUMPRODUCT(--(設定!$B$11:$B$60="NW/Security")*XLOOKUP(設定!$B$11:$B$60,設定!$A$5:$A$7,設定!$B$5:$B$7)*XLOOKUP(設定!$C$11:$C$60,設定!$D$5:$D$7,設定!$E$5:$E$7))=0,"",SUMPRODUCT(--(設定!$B$11:$B$60="NW/Security")*--(整形回答!F187:BC187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7" s="8">
        <f>IF(F187="","",IF(F187&gt;=85,"即戦力",IF(F187&gt;=70,"主担当",IF(F187&gt;=55,"サポート","育成"))))</f>
        <v/>
      </c>
      <c r="K187" s="8">
        <f>整形回答!E187</f>
        <v/>
      </c>
    </row>
    <row r="188">
      <c r="A188" s="8">
        <f>整形回答!A188</f>
        <v/>
      </c>
      <c r="B188" s="9">
        <f>整形回答!B188</f>
        <v/>
      </c>
      <c r="C188" s="9">
        <f>整形回答!C188</f>
        <v/>
      </c>
      <c r="D188" s="8">
        <f>IF(B188="","",SUMPRODUCT(--(整形回答!F188:BC188=正解キー!$B$2:$B$51)*XLOOKUP(設定!$B$11:$B$60,設定!$A$5:$A$7,設定!$B$5:$B$7)*XLOOKUP(設定!$C$11:$C$60,設定!$D$5:$D$7,設定!$E$5:$E$7)))</f>
        <v/>
      </c>
      <c r="E188" s="8">
        <f>SUMPRODUCT(XLOOKUP(設定!$B$11:$B$60,設定!$A$5:$A$7,設定!$B$5:$B$7)*XLOOKUP(設定!$C$11:$C$60,設定!$D$5:$D$7,設定!$E$5:$E$7))</f>
        <v/>
      </c>
      <c r="F188" s="10">
        <f>IF(D188="","",D188/E188*100)</f>
        <v/>
      </c>
      <c r="G188" s="10">
        <f>IF(D188="","",IF(SUMPRODUCT(--(設定!$B$11:$B$60="OS（Linux/Windows）")*XLOOKUP(設定!$B$11:$B$60,設定!$A$5:$A$7,設定!$B$5:$B$7)*XLOOKUP(設定!$C$11:$C$60,設定!$D$5:$D$7,設定!$E$5:$E$7))=0,"",SUMPRODUCT(--(設定!$B$11:$B$60="OS（Linux/Windows）")*--(整形回答!F188:BC188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8" s="10">
        <f>IF(D188="","",IF(SUMPRODUCT(--(設定!$B$11:$B$60="AWS")*XLOOKUP(設定!$B$11:$B$60,設定!$A$5:$A$7,設定!$B$5:$B$7)*XLOOKUP(設定!$C$11:$C$60,設定!$D$5:$D$7,設定!$E$5:$E$7))=0,"",SUMPRODUCT(--(設定!$B$11:$B$60="AWS")*--(整形回答!F188:BC188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8" s="10">
        <f>IF(D188="","",IF(SUMPRODUCT(--(設定!$B$11:$B$60="NW/Security")*XLOOKUP(設定!$B$11:$B$60,設定!$A$5:$A$7,設定!$B$5:$B$7)*XLOOKUP(設定!$C$11:$C$60,設定!$D$5:$D$7,設定!$E$5:$E$7))=0,"",SUMPRODUCT(--(設定!$B$11:$B$60="NW/Security")*--(整形回答!F188:BC188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8" s="8">
        <f>IF(F188="","",IF(F188&gt;=85,"即戦力",IF(F188&gt;=70,"主担当",IF(F188&gt;=55,"サポート","育成"))))</f>
        <v/>
      </c>
      <c r="K188" s="8">
        <f>整形回答!E188</f>
        <v/>
      </c>
    </row>
    <row r="189">
      <c r="A189" s="8">
        <f>整形回答!A189</f>
        <v/>
      </c>
      <c r="B189" s="9">
        <f>整形回答!B189</f>
        <v/>
      </c>
      <c r="C189" s="9">
        <f>整形回答!C189</f>
        <v/>
      </c>
      <c r="D189" s="8">
        <f>IF(B189="","",SUMPRODUCT(--(整形回答!F189:BC189=正解キー!$B$2:$B$51)*XLOOKUP(設定!$B$11:$B$60,設定!$A$5:$A$7,設定!$B$5:$B$7)*XLOOKUP(設定!$C$11:$C$60,設定!$D$5:$D$7,設定!$E$5:$E$7)))</f>
        <v/>
      </c>
      <c r="E189" s="8">
        <f>SUMPRODUCT(XLOOKUP(設定!$B$11:$B$60,設定!$A$5:$A$7,設定!$B$5:$B$7)*XLOOKUP(設定!$C$11:$C$60,設定!$D$5:$D$7,設定!$E$5:$E$7))</f>
        <v/>
      </c>
      <c r="F189" s="10">
        <f>IF(D189="","",D189/E189*100)</f>
        <v/>
      </c>
      <c r="G189" s="10">
        <f>IF(D189="","",IF(SUMPRODUCT(--(設定!$B$11:$B$60="OS（Linux/Windows）")*XLOOKUP(設定!$B$11:$B$60,設定!$A$5:$A$7,設定!$B$5:$B$7)*XLOOKUP(設定!$C$11:$C$60,設定!$D$5:$D$7,設定!$E$5:$E$7))=0,"",SUMPRODUCT(--(設定!$B$11:$B$60="OS（Linux/Windows）")*--(整形回答!F189:BC189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89" s="10">
        <f>IF(D189="","",IF(SUMPRODUCT(--(設定!$B$11:$B$60="AWS")*XLOOKUP(設定!$B$11:$B$60,設定!$A$5:$A$7,設定!$B$5:$B$7)*XLOOKUP(設定!$C$11:$C$60,設定!$D$5:$D$7,設定!$E$5:$E$7))=0,"",SUMPRODUCT(--(設定!$B$11:$B$60="AWS")*--(整形回答!F189:BC189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89" s="10">
        <f>IF(D189="","",IF(SUMPRODUCT(--(設定!$B$11:$B$60="NW/Security")*XLOOKUP(設定!$B$11:$B$60,設定!$A$5:$A$7,設定!$B$5:$B$7)*XLOOKUP(設定!$C$11:$C$60,設定!$D$5:$D$7,設定!$E$5:$E$7))=0,"",SUMPRODUCT(--(設定!$B$11:$B$60="NW/Security")*--(整形回答!F189:BC189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89" s="8">
        <f>IF(F189="","",IF(F189&gt;=85,"即戦力",IF(F189&gt;=70,"主担当",IF(F189&gt;=55,"サポート","育成"))))</f>
        <v/>
      </c>
      <c r="K189" s="8">
        <f>整形回答!E189</f>
        <v/>
      </c>
    </row>
    <row r="190">
      <c r="A190" s="8">
        <f>整形回答!A190</f>
        <v/>
      </c>
      <c r="B190" s="9">
        <f>整形回答!B190</f>
        <v/>
      </c>
      <c r="C190" s="9">
        <f>整形回答!C190</f>
        <v/>
      </c>
      <c r="D190" s="8">
        <f>IF(B190="","",SUMPRODUCT(--(整形回答!F190:BC190=正解キー!$B$2:$B$51)*XLOOKUP(設定!$B$11:$B$60,設定!$A$5:$A$7,設定!$B$5:$B$7)*XLOOKUP(設定!$C$11:$C$60,設定!$D$5:$D$7,設定!$E$5:$E$7)))</f>
        <v/>
      </c>
      <c r="E190" s="8">
        <f>SUMPRODUCT(XLOOKUP(設定!$B$11:$B$60,設定!$A$5:$A$7,設定!$B$5:$B$7)*XLOOKUP(設定!$C$11:$C$60,設定!$D$5:$D$7,設定!$E$5:$E$7))</f>
        <v/>
      </c>
      <c r="F190" s="10">
        <f>IF(D190="","",D190/E190*100)</f>
        <v/>
      </c>
      <c r="G190" s="10">
        <f>IF(D190="","",IF(SUMPRODUCT(--(設定!$B$11:$B$60="OS（Linux/Windows）")*XLOOKUP(設定!$B$11:$B$60,設定!$A$5:$A$7,設定!$B$5:$B$7)*XLOOKUP(設定!$C$11:$C$60,設定!$D$5:$D$7,設定!$E$5:$E$7))=0,"",SUMPRODUCT(--(設定!$B$11:$B$60="OS（Linux/Windows）")*--(整形回答!F190:BC190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0" s="10">
        <f>IF(D190="","",IF(SUMPRODUCT(--(設定!$B$11:$B$60="AWS")*XLOOKUP(設定!$B$11:$B$60,設定!$A$5:$A$7,設定!$B$5:$B$7)*XLOOKUP(設定!$C$11:$C$60,設定!$D$5:$D$7,設定!$E$5:$E$7))=0,"",SUMPRODUCT(--(設定!$B$11:$B$60="AWS")*--(整形回答!F190:BC190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0" s="10">
        <f>IF(D190="","",IF(SUMPRODUCT(--(設定!$B$11:$B$60="NW/Security")*XLOOKUP(設定!$B$11:$B$60,設定!$A$5:$A$7,設定!$B$5:$B$7)*XLOOKUP(設定!$C$11:$C$60,設定!$D$5:$D$7,設定!$E$5:$E$7))=0,"",SUMPRODUCT(--(設定!$B$11:$B$60="NW/Security")*--(整形回答!F190:BC190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0" s="8">
        <f>IF(F190="","",IF(F190&gt;=85,"即戦力",IF(F190&gt;=70,"主担当",IF(F190&gt;=55,"サポート","育成"))))</f>
        <v/>
      </c>
      <c r="K190" s="8">
        <f>整形回答!E190</f>
        <v/>
      </c>
    </row>
    <row r="191">
      <c r="A191" s="8">
        <f>整形回答!A191</f>
        <v/>
      </c>
      <c r="B191" s="9">
        <f>整形回答!B191</f>
        <v/>
      </c>
      <c r="C191" s="9">
        <f>整形回答!C191</f>
        <v/>
      </c>
      <c r="D191" s="8">
        <f>IF(B191="","",SUMPRODUCT(--(整形回答!F191:BC191=正解キー!$B$2:$B$51)*XLOOKUP(設定!$B$11:$B$60,設定!$A$5:$A$7,設定!$B$5:$B$7)*XLOOKUP(設定!$C$11:$C$60,設定!$D$5:$D$7,設定!$E$5:$E$7)))</f>
        <v/>
      </c>
      <c r="E191" s="8">
        <f>SUMPRODUCT(XLOOKUP(設定!$B$11:$B$60,設定!$A$5:$A$7,設定!$B$5:$B$7)*XLOOKUP(設定!$C$11:$C$60,設定!$D$5:$D$7,設定!$E$5:$E$7))</f>
        <v/>
      </c>
      <c r="F191" s="10">
        <f>IF(D191="","",D191/E191*100)</f>
        <v/>
      </c>
      <c r="G191" s="10">
        <f>IF(D191="","",IF(SUMPRODUCT(--(設定!$B$11:$B$60="OS（Linux/Windows）")*XLOOKUP(設定!$B$11:$B$60,設定!$A$5:$A$7,設定!$B$5:$B$7)*XLOOKUP(設定!$C$11:$C$60,設定!$D$5:$D$7,設定!$E$5:$E$7))=0,"",SUMPRODUCT(--(設定!$B$11:$B$60="OS（Linux/Windows）")*--(整形回答!F191:BC191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1" s="10">
        <f>IF(D191="","",IF(SUMPRODUCT(--(設定!$B$11:$B$60="AWS")*XLOOKUP(設定!$B$11:$B$60,設定!$A$5:$A$7,設定!$B$5:$B$7)*XLOOKUP(設定!$C$11:$C$60,設定!$D$5:$D$7,設定!$E$5:$E$7))=0,"",SUMPRODUCT(--(設定!$B$11:$B$60="AWS")*--(整形回答!F191:BC191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1" s="10">
        <f>IF(D191="","",IF(SUMPRODUCT(--(設定!$B$11:$B$60="NW/Security")*XLOOKUP(設定!$B$11:$B$60,設定!$A$5:$A$7,設定!$B$5:$B$7)*XLOOKUP(設定!$C$11:$C$60,設定!$D$5:$D$7,設定!$E$5:$E$7))=0,"",SUMPRODUCT(--(設定!$B$11:$B$60="NW/Security")*--(整形回答!F191:BC191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1" s="8">
        <f>IF(F191="","",IF(F191&gt;=85,"即戦力",IF(F191&gt;=70,"主担当",IF(F191&gt;=55,"サポート","育成"))))</f>
        <v/>
      </c>
      <c r="K191" s="8">
        <f>整形回答!E191</f>
        <v/>
      </c>
    </row>
    <row r="192">
      <c r="A192" s="8">
        <f>整形回答!A192</f>
        <v/>
      </c>
      <c r="B192" s="9">
        <f>整形回答!B192</f>
        <v/>
      </c>
      <c r="C192" s="9">
        <f>整形回答!C192</f>
        <v/>
      </c>
      <c r="D192" s="8">
        <f>IF(B192="","",SUMPRODUCT(--(整形回答!F192:BC192=正解キー!$B$2:$B$51)*XLOOKUP(設定!$B$11:$B$60,設定!$A$5:$A$7,設定!$B$5:$B$7)*XLOOKUP(設定!$C$11:$C$60,設定!$D$5:$D$7,設定!$E$5:$E$7)))</f>
        <v/>
      </c>
      <c r="E192" s="8">
        <f>SUMPRODUCT(XLOOKUP(設定!$B$11:$B$60,設定!$A$5:$A$7,設定!$B$5:$B$7)*XLOOKUP(設定!$C$11:$C$60,設定!$D$5:$D$7,設定!$E$5:$E$7))</f>
        <v/>
      </c>
      <c r="F192" s="10">
        <f>IF(D192="","",D192/E192*100)</f>
        <v/>
      </c>
      <c r="G192" s="10">
        <f>IF(D192="","",IF(SUMPRODUCT(--(設定!$B$11:$B$60="OS（Linux/Windows）")*XLOOKUP(設定!$B$11:$B$60,設定!$A$5:$A$7,設定!$B$5:$B$7)*XLOOKUP(設定!$C$11:$C$60,設定!$D$5:$D$7,設定!$E$5:$E$7))=0,"",SUMPRODUCT(--(設定!$B$11:$B$60="OS（Linux/Windows）")*--(整形回答!F192:BC192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2" s="10">
        <f>IF(D192="","",IF(SUMPRODUCT(--(設定!$B$11:$B$60="AWS")*XLOOKUP(設定!$B$11:$B$60,設定!$A$5:$A$7,設定!$B$5:$B$7)*XLOOKUP(設定!$C$11:$C$60,設定!$D$5:$D$7,設定!$E$5:$E$7))=0,"",SUMPRODUCT(--(設定!$B$11:$B$60="AWS")*--(整形回答!F192:BC192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2" s="10">
        <f>IF(D192="","",IF(SUMPRODUCT(--(設定!$B$11:$B$60="NW/Security")*XLOOKUP(設定!$B$11:$B$60,設定!$A$5:$A$7,設定!$B$5:$B$7)*XLOOKUP(設定!$C$11:$C$60,設定!$D$5:$D$7,設定!$E$5:$E$7))=0,"",SUMPRODUCT(--(設定!$B$11:$B$60="NW/Security")*--(整形回答!F192:BC192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2" s="8">
        <f>IF(F192="","",IF(F192&gt;=85,"即戦力",IF(F192&gt;=70,"主担当",IF(F192&gt;=55,"サポート","育成"))))</f>
        <v/>
      </c>
      <c r="K192" s="8">
        <f>整形回答!E192</f>
        <v/>
      </c>
    </row>
    <row r="193">
      <c r="A193" s="8">
        <f>整形回答!A193</f>
        <v/>
      </c>
      <c r="B193" s="9">
        <f>整形回答!B193</f>
        <v/>
      </c>
      <c r="C193" s="9">
        <f>整形回答!C193</f>
        <v/>
      </c>
      <c r="D193" s="8">
        <f>IF(B193="","",SUMPRODUCT(--(整形回答!F193:BC193=正解キー!$B$2:$B$51)*XLOOKUP(設定!$B$11:$B$60,設定!$A$5:$A$7,設定!$B$5:$B$7)*XLOOKUP(設定!$C$11:$C$60,設定!$D$5:$D$7,設定!$E$5:$E$7)))</f>
        <v/>
      </c>
      <c r="E193" s="8">
        <f>SUMPRODUCT(XLOOKUP(設定!$B$11:$B$60,設定!$A$5:$A$7,設定!$B$5:$B$7)*XLOOKUP(設定!$C$11:$C$60,設定!$D$5:$D$7,設定!$E$5:$E$7))</f>
        <v/>
      </c>
      <c r="F193" s="10">
        <f>IF(D193="","",D193/E193*100)</f>
        <v/>
      </c>
      <c r="G193" s="10">
        <f>IF(D193="","",IF(SUMPRODUCT(--(設定!$B$11:$B$60="OS（Linux/Windows）")*XLOOKUP(設定!$B$11:$B$60,設定!$A$5:$A$7,設定!$B$5:$B$7)*XLOOKUP(設定!$C$11:$C$60,設定!$D$5:$D$7,設定!$E$5:$E$7))=0,"",SUMPRODUCT(--(設定!$B$11:$B$60="OS（Linux/Windows）")*--(整形回答!F193:BC193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3" s="10">
        <f>IF(D193="","",IF(SUMPRODUCT(--(設定!$B$11:$B$60="AWS")*XLOOKUP(設定!$B$11:$B$60,設定!$A$5:$A$7,設定!$B$5:$B$7)*XLOOKUP(設定!$C$11:$C$60,設定!$D$5:$D$7,設定!$E$5:$E$7))=0,"",SUMPRODUCT(--(設定!$B$11:$B$60="AWS")*--(整形回答!F193:BC193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3" s="10">
        <f>IF(D193="","",IF(SUMPRODUCT(--(設定!$B$11:$B$60="NW/Security")*XLOOKUP(設定!$B$11:$B$60,設定!$A$5:$A$7,設定!$B$5:$B$7)*XLOOKUP(設定!$C$11:$C$60,設定!$D$5:$D$7,設定!$E$5:$E$7))=0,"",SUMPRODUCT(--(設定!$B$11:$B$60="NW/Security")*--(整形回答!F193:BC193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3" s="8">
        <f>IF(F193="","",IF(F193&gt;=85,"即戦力",IF(F193&gt;=70,"主担当",IF(F193&gt;=55,"サポート","育成"))))</f>
        <v/>
      </c>
      <c r="K193" s="8">
        <f>整形回答!E193</f>
        <v/>
      </c>
    </row>
    <row r="194">
      <c r="A194" s="8">
        <f>整形回答!A194</f>
        <v/>
      </c>
      <c r="B194" s="9">
        <f>整形回答!B194</f>
        <v/>
      </c>
      <c r="C194" s="9">
        <f>整形回答!C194</f>
        <v/>
      </c>
      <c r="D194" s="8">
        <f>IF(B194="","",SUMPRODUCT(--(整形回答!F194:BC194=正解キー!$B$2:$B$51)*XLOOKUP(設定!$B$11:$B$60,設定!$A$5:$A$7,設定!$B$5:$B$7)*XLOOKUP(設定!$C$11:$C$60,設定!$D$5:$D$7,設定!$E$5:$E$7)))</f>
        <v/>
      </c>
      <c r="E194" s="8">
        <f>SUMPRODUCT(XLOOKUP(設定!$B$11:$B$60,設定!$A$5:$A$7,設定!$B$5:$B$7)*XLOOKUP(設定!$C$11:$C$60,設定!$D$5:$D$7,設定!$E$5:$E$7))</f>
        <v/>
      </c>
      <c r="F194" s="10">
        <f>IF(D194="","",D194/E194*100)</f>
        <v/>
      </c>
      <c r="G194" s="10">
        <f>IF(D194="","",IF(SUMPRODUCT(--(設定!$B$11:$B$60="OS（Linux/Windows）")*XLOOKUP(設定!$B$11:$B$60,設定!$A$5:$A$7,設定!$B$5:$B$7)*XLOOKUP(設定!$C$11:$C$60,設定!$D$5:$D$7,設定!$E$5:$E$7))=0,"",SUMPRODUCT(--(設定!$B$11:$B$60="OS（Linux/Windows）")*--(整形回答!F194:BC194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4" s="10">
        <f>IF(D194="","",IF(SUMPRODUCT(--(設定!$B$11:$B$60="AWS")*XLOOKUP(設定!$B$11:$B$60,設定!$A$5:$A$7,設定!$B$5:$B$7)*XLOOKUP(設定!$C$11:$C$60,設定!$D$5:$D$7,設定!$E$5:$E$7))=0,"",SUMPRODUCT(--(設定!$B$11:$B$60="AWS")*--(整形回答!F194:BC194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4" s="10">
        <f>IF(D194="","",IF(SUMPRODUCT(--(設定!$B$11:$B$60="NW/Security")*XLOOKUP(設定!$B$11:$B$60,設定!$A$5:$A$7,設定!$B$5:$B$7)*XLOOKUP(設定!$C$11:$C$60,設定!$D$5:$D$7,設定!$E$5:$E$7))=0,"",SUMPRODUCT(--(設定!$B$11:$B$60="NW/Security")*--(整形回答!F194:BC194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4" s="8">
        <f>IF(F194="","",IF(F194&gt;=85,"即戦力",IF(F194&gt;=70,"主担当",IF(F194&gt;=55,"サポート","育成"))))</f>
        <v/>
      </c>
      <c r="K194" s="8">
        <f>整形回答!E194</f>
        <v/>
      </c>
    </row>
    <row r="195">
      <c r="A195" s="8">
        <f>整形回答!A195</f>
        <v/>
      </c>
      <c r="B195" s="9">
        <f>整形回答!B195</f>
        <v/>
      </c>
      <c r="C195" s="9">
        <f>整形回答!C195</f>
        <v/>
      </c>
      <c r="D195" s="8">
        <f>IF(B195="","",SUMPRODUCT(--(整形回答!F195:BC195=正解キー!$B$2:$B$51)*XLOOKUP(設定!$B$11:$B$60,設定!$A$5:$A$7,設定!$B$5:$B$7)*XLOOKUP(設定!$C$11:$C$60,設定!$D$5:$D$7,設定!$E$5:$E$7)))</f>
        <v/>
      </c>
      <c r="E195" s="8">
        <f>SUMPRODUCT(XLOOKUP(設定!$B$11:$B$60,設定!$A$5:$A$7,設定!$B$5:$B$7)*XLOOKUP(設定!$C$11:$C$60,設定!$D$5:$D$7,設定!$E$5:$E$7))</f>
        <v/>
      </c>
      <c r="F195" s="10">
        <f>IF(D195="","",D195/E195*100)</f>
        <v/>
      </c>
      <c r="G195" s="10">
        <f>IF(D195="","",IF(SUMPRODUCT(--(設定!$B$11:$B$60="OS（Linux/Windows）")*XLOOKUP(設定!$B$11:$B$60,設定!$A$5:$A$7,設定!$B$5:$B$7)*XLOOKUP(設定!$C$11:$C$60,設定!$D$5:$D$7,設定!$E$5:$E$7))=0,"",SUMPRODUCT(--(設定!$B$11:$B$60="OS（Linux/Windows）")*--(整形回答!F195:BC195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5" s="10">
        <f>IF(D195="","",IF(SUMPRODUCT(--(設定!$B$11:$B$60="AWS")*XLOOKUP(設定!$B$11:$B$60,設定!$A$5:$A$7,設定!$B$5:$B$7)*XLOOKUP(設定!$C$11:$C$60,設定!$D$5:$D$7,設定!$E$5:$E$7))=0,"",SUMPRODUCT(--(設定!$B$11:$B$60="AWS")*--(整形回答!F195:BC195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5" s="10">
        <f>IF(D195="","",IF(SUMPRODUCT(--(設定!$B$11:$B$60="NW/Security")*XLOOKUP(設定!$B$11:$B$60,設定!$A$5:$A$7,設定!$B$5:$B$7)*XLOOKUP(設定!$C$11:$C$60,設定!$D$5:$D$7,設定!$E$5:$E$7))=0,"",SUMPRODUCT(--(設定!$B$11:$B$60="NW/Security")*--(整形回答!F195:BC195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5" s="8">
        <f>IF(F195="","",IF(F195&gt;=85,"即戦力",IF(F195&gt;=70,"主担当",IF(F195&gt;=55,"サポート","育成"))))</f>
        <v/>
      </c>
      <c r="K195" s="8">
        <f>整形回答!E195</f>
        <v/>
      </c>
    </row>
    <row r="196">
      <c r="A196" s="8">
        <f>整形回答!A196</f>
        <v/>
      </c>
      <c r="B196" s="9">
        <f>整形回答!B196</f>
        <v/>
      </c>
      <c r="C196" s="9">
        <f>整形回答!C196</f>
        <v/>
      </c>
      <c r="D196" s="8">
        <f>IF(B196="","",SUMPRODUCT(--(整形回答!F196:BC196=正解キー!$B$2:$B$51)*XLOOKUP(設定!$B$11:$B$60,設定!$A$5:$A$7,設定!$B$5:$B$7)*XLOOKUP(設定!$C$11:$C$60,設定!$D$5:$D$7,設定!$E$5:$E$7)))</f>
        <v/>
      </c>
      <c r="E196" s="8">
        <f>SUMPRODUCT(XLOOKUP(設定!$B$11:$B$60,設定!$A$5:$A$7,設定!$B$5:$B$7)*XLOOKUP(設定!$C$11:$C$60,設定!$D$5:$D$7,設定!$E$5:$E$7))</f>
        <v/>
      </c>
      <c r="F196" s="10">
        <f>IF(D196="","",D196/E196*100)</f>
        <v/>
      </c>
      <c r="G196" s="10">
        <f>IF(D196="","",IF(SUMPRODUCT(--(設定!$B$11:$B$60="OS（Linux/Windows）")*XLOOKUP(設定!$B$11:$B$60,設定!$A$5:$A$7,設定!$B$5:$B$7)*XLOOKUP(設定!$C$11:$C$60,設定!$D$5:$D$7,設定!$E$5:$E$7))=0,"",SUMPRODUCT(--(設定!$B$11:$B$60="OS（Linux/Windows）")*--(整形回答!F196:BC196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6" s="10">
        <f>IF(D196="","",IF(SUMPRODUCT(--(設定!$B$11:$B$60="AWS")*XLOOKUP(設定!$B$11:$B$60,設定!$A$5:$A$7,設定!$B$5:$B$7)*XLOOKUP(設定!$C$11:$C$60,設定!$D$5:$D$7,設定!$E$5:$E$7))=0,"",SUMPRODUCT(--(設定!$B$11:$B$60="AWS")*--(整形回答!F196:BC196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6" s="10">
        <f>IF(D196="","",IF(SUMPRODUCT(--(設定!$B$11:$B$60="NW/Security")*XLOOKUP(設定!$B$11:$B$60,設定!$A$5:$A$7,設定!$B$5:$B$7)*XLOOKUP(設定!$C$11:$C$60,設定!$D$5:$D$7,設定!$E$5:$E$7))=0,"",SUMPRODUCT(--(設定!$B$11:$B$60="NW/Security")*--(整形回答!F196:BC196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6" s="8">
        <f>IF(F196="","",IF(F196&gt;=85,"即戦力",IF(F196&gt;=70,"主担当",IF(F196&gt;=55,"サポート","育成"))))</f>
        <v/>
      </c>
      <c r="K196" s="8">
        <f>整形回答!E196</f>
        <v/>
      </c>
    </row>
    <row r="197">
      <c r="A197" s="8">
        <f>整形回答!A197</f>
        <v/>
      </c>
      <c r="B197" s="9">
        <f>整形回答!B197</f>
        <v/>
      </c>
      <c r="C197" s="9">
        <f>整形回答!C197</f>
        <v/>
      </c>
      <c r="D197" s="8">
        <f>IF(B197="","",SUMPRODUCT(--(整形回答!F197:BC197=正解キー!$B$2:$B$51)*XLOOKUP(設定!$B$11:$B$60,設定!$A$5:$A$7,設定!$B$5:$B$7)*XLOOKUP(設定!$C$11:$C$60,設定!$D$5:$D$7,設定!$E$5:$E$7)))</f>
        <v/>
      </c>
      <c r="E197" s="8">
        <f>SUMPRODUCT(XLOOKUP(設定!$B$11:$B$60,設定!$A$5:$A$7,設定!$B$5:$B$7)*XLOOKUP(設定!$C$11:$C$60,設定!$D$5:$D$7,設定!$E$5:$E$7))</f>
        <v/>
      </c>
      <c r="F197" s="10">
        <f>IF(D197="","",D197/E197*100)</f>
        <v/>
      </c>
      <c r="G197" s="10">
        <f>IF(D197="","",IF(SUMPRODUCT(--(設定!$B$11:$B$60="OS（Linux/Windows）")*XLOOKUP(設定!$B$11:$B$60,設定!$A$5:$A$7,設定!$B$5:$B$7)*XLOOKUP(設定!$C$11:$C$60,設定!$D$5:$D$7,設定!$E$5:$E$7))=0,"",SUMPRODUCT(--(設定!$B$11:$B$60="OS（Linux/Windows）")*--(整形回答!F197:BC197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7" s="10">
        <f>IF(D197="","",IF(SUMPRODUCT(--(設定!$B$11:$B$60="AWS")*XLOOKUP(設定!$B$11:$B$60,設定!$A$5:$A$7,設定!$B$5:$B$7)*XLOOKUP(設定!$C$11:$C$60,設定!$D$5:$D$7,設定!$E$5:$E$7))=0,"",SUMPRODUCT(--(設定!$B$11:$B$60="AWS")*--(整形回答!F197:BC197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7" s="10">
        <f>IF(D197="","",IF(SUMPRODUCT(--(設定!$B$11:$B$60="NW/Security")*XLOOKUP(設定!$B$11:$B$60,設定!$A$5:$A$7,設定!$B$5:$B$7)*XLOOKUP(設定!$C$11:$C$60,設定!$D$5:$D$7,設定!$E$5:$E$7))=0,"",SUMPRODUCT(--(設定!$B$11:$B$60="NW/Security")*--(整形回答!F197:BC197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7" s="8">
        <f>IF(F197="","",IF(F197&gt;=85,"即戦力",IF(F197&gt;=70,"主担当",IF(F197&gt;=55,"サポート","育成"))))</f>
        <v/>
      </c>
      <c r="K197" s="8">
        <f>整形回答!E197</f>
        <v/>
      </c>
    </row>
    <row r="198">
      <c r="A198" s="8">
        <f>整形回答!A198</f>
        <v/>
      </c>
      <c r="B198" s="9">
        <f>整形回答!B198</f>
        <v/>
      </c>
      <c r="C198" s="9">
        <f>整形回答!C198</f>
        <v/>
      </c>
      <c r="D198" s="8">
        <f>IF(B198="","",SUMPRODUCT(--(整形回答!F198:BC198=正解キー!$B$2:$B$51)*XLOOKUP(設定!$B$11:$B$60,設定!$A$5:$A$7,設定!$B$5:$B$7)*XLOOKUP(設定!$C$11:$C$60,設定!$D$5:$D$7,設定!$E$5:$E$7)))</f>
        <v/>
      </c>
      <c r="E198" s="8">
        <f>SUMPRODUCT(XLOOKUP(設定!$B$11:$B$60,設定!$A$5:$A$7,設定!$B$5:$B$7)*XLOOKUP(設定!$C$11:$C$60,設定!$D$5:$D$7,設定!$E$5:$E$7))</f>
        <v/>
      </c>
      <c r="F198" s="10">
        <f>IF(D198="","",D198/E198*100)</f>
        <v/>
      </c>
      <c r="G198" s="10">
        <f>IF(D198="","",IF(SUMPRODUCT(--(設定!$B$11:$B$60="OS（Linux/Windows）")*XLOOKUP(設定!$B$11:$B$60,設定!$A$5:$A$7,設定!$B$5:$B$7)*XLOOKUP(設定!$C$11:$C$60,設定!$D$5:$D$7,設定!$E$5:$E$7))=0,"",SUMPRODUCT(--(設定!$B$11:$B$60="OS（Linux/Windows）")*--(整形回答!F198:BC198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8" s="10">
        <f>IF(D198="","",IF(SUMPRODUCT(--(設定!$B$11:$B$60="AWS")*XLOOKUP(設定!$B$11:$B$60,設定!$A$5:$A$7,設定!$B$5:$B$7)*XLOOKUP(設定!$C$11:$C$60,設定!$D$5:$D$7,設定!$E$5:$E$7))=0,"",SUMPRODUCT(--(設定!$B$11:$B$60="AWS")*--(整形回答!F198:BC198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8" s="10">
        <f>IF(D198="","",IF(SUMPRODUCT(--(設定!$B$11:$B$60="NW/Security")*XLOOKUP(設定!$B$11:$B$60,設定!$A$5:$A$7,設定!$B$5:$B$7)*XLOOKUP(設定!$C$11:$C$60,設定!$D$5:$D$7,設定!$E$5:$E$7))=0,"",SUMPRODUCT(--(設定!$B$11:$B$60="NW/Security")*--(整形回答!F198:BC198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8" s="8">
        <f>IF(F198="","",IF(F198&gt;=85,"即戦力",IF(F198&gt;=70,"主担当",IF(F198&gt;=55,"サポート","育成"))))</f>
        <v/>
      </c>
      <c r="K198" s="8">
        <f>整形回答!E198</f>
        <v/>
      </c>
    </row>
    <row r="199">
      <c r="A199" s="8">
        <f>整形回答!A199</f>
        <v/>
      </c>
      <c r="B199" s="9">
        <f>整形回答!B199</f>
        <v/>
      </c>
      <c r="C199" s="9">
        <f>整形回答!C199</f>
        <v/>
      </c>
      <c r="D199" s="8">
        <f>IF(B199="","",SUMPRODUCT(--(整形回答!F199:BC199=正解キー!$B$2:$B$51)*XLOOKUP(設定!$B$11:$B$60,設定!$A$5:$A$7,設定!$B$5:$B$7)*XLOOKUP(設定!$C$11:$C$60,設定!$D$5:$D$7,設定!$E$5:$E$7)))</f>
        <v/>
      </c>
      <c r="E199" s="8">
        <f>SUMPRODUCT(XLOOKUP(設定!$B$11:$B$60,設定!$A$5:$A$7,設定!$B$5:$B$7)*XLOOKUP(設定!$C$11:$C$60,設定!$D$5:$D$7,設定!$E$5:$E$7))</f>
        <v/>
      </c>
      <c r="F199" s="10">
        <f>IF(D199="","",D199/E199*100)</f>
        <v/>
      </c>
      <c r="G199" s="10">
        <f>IF(D199="","",IF(SUMPRODUCT(--(設定!$B$11:$B$60="OS（Linux/Windows）")*XLOOKUP(設定!$B$11:$B$60,設定!$A$5:$A$7,設定!$B$5:$B$7)*XLOOKUP(設定!$C$11:$C$60,設定!$D$5:$D$7,設定!$E$5:$E$7))=0,"",SUMPRODUCT(--(設定!$B$11:$B$60="OS（Linux/Windows）")*--(整形回答!F199:BC199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199" s="10">
        <f>IF(D199="","",IF(SUMPRODUCT(--(設定!$B$11:$B$60="AWS")*XLOOKUP(設定!$B$11:$B$60,設定!$A$5:$A$7,設定!$B$5:$B$7)*XLOOKUP(設定!$C$11:$C$60,設定!$D$5:$D$7,設定!$E$5:$E$7))=0,"",SUMPRODUCT(--(設定!$B$11:$B$60="AWS")*--(整形回答!F199:BC199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199" s="10">
        <f>IF(D199="","",IF(SUMPRODUCT(--(設定!$B$11:$B$60="NW/Security")*XLOOKUP(設定!$B$11:$B$60,設定!$A$5:$A$7,設定!$B$5:$B$7)*XLOOKUP(設定!$C$11:$C$60,設定!$D$5:$D$7,設定!$E$5:$E$7))=0,"",SUMPRODUCT(--(設定!$B$11:$B$60="NW/Security")*--(整形回答!F199:BC199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199" s="8">
        <f>IF(F199="","",IF(F199&gt;=85,"即戦力",IF(F199&gt;=70,"主担当",IF(F199&gt;=55,"サポート","育成"))))</f>
        <v/>
      </c>
      <c r="K199" s="8">
        <f>整形回答!E199</f>
        <v/>
      </c>
    </row>
    <row r="200">
      <c r="A200" s="8">
        <f>整形回答!A200</f>
        <v/>
      </c>
      <c r="B200" s="9">
        <f>整形回答!B200</f>
        <v/>
      </c>
      <c r="C200" s="9">
        <f>整形回答!C200</f>
        <v/>
      </c>
      <c r="D200" s="8">
        <f>IF(B200="","",SUMPRODUCT(--(整形回答!F200:BC200=正解キー!$B$2:$B$51)*XLOOKUP(設定!$B$11:$B$60,設定!$A$5:$A$7,設定!$B$5:$B$7)*XLOOKUP(設定!$C$11:$C$60,設定!$D$5:$D$7,設定!$E$5:$E$7)))</f>
        <v/>
      </c>
      <c r="E200" s="8">
        <f>SUMPRODUCT(XLOOKUP(設定!$B$11:$B$60,設定!$A$5:$A$7,設定!$B$5:$B$7)*XLOOKUP(設定!$C$11:$C$60,設定!$D$5:$D$7,設定!$E$5:$E$7))</f>
        <v/>
      </c>
      <c r="F200" s="10">
        <f>IF(D200="","",D200/E200*100)</f>
        <v/>
      </c>
      <c r="G200" s="10">
        <f>IF(D200="","",IF(SUMPRODUCT(--(設定!$B$11:$B$60="OS（Linux/Windows）")*XLOOKUP(設定!$B$11:$B$60,設定!$A$5:$A$7,設定!$B$5:$B$7)*XLOOKUP(設定!$C$11:$C$60,設定!$D$5:$D$7,設定!$E$5:$E$7))=0,"",SUMPRODUCT(--(設定!$B$11:$B$60="OS（Linux/Windows）")*--(整形回答!F200:BC200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00" s="10">
        <f>IF(D200="","",IF(SUMPRODUCT(--(設定!$B$11:$B$60="AWS")*XLOOKUP(設定!$B$11:$B$60,設定!$A$5:$A$7,設定!$B$5:$B$7)*XLOOKUP(設定!$C$11:$C$60,設定!$D$5:$D$7,設定!$E$5:$E$7))=0,"",SUMPRODUCT(--(設定!$B$11:$B$60="AWS")*--(整形回答!F200:BC200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00" s="10">
        <f>IF(D200="","",IF(SUMPRODUCT(--(設定!$B$11:$B$60="NW/Security")*XLOOKUP(設定!$B$11:$B$60,設定!$A$5:$A$7,設定!$B$5:$B$7)*XLOOKUP(設定!$C$11:$C$60,設定!$D$5:$D$7,設定!$E$5:$E$7))=0,"",SUMPRODUCT(--(設定!$B$11:$B$60="NW/Security")*--(整形回答!F200:BC200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00" s="8">
        <f>IF(F200="","",IF(F200&gt;=85,"即戦力",IF(F200&gt;=70,"主担当",IF(F200&gt;=55,"サポート","育成"))))</f>
        <v/>
      </c>
      <c r="K200" s="8">
        <f>整形回答!E200</f>
        <v/>
      </c>
    </row>
    <row r="201">
      <c r="A201" s="8">
        <f>整形回答!A201</f>
        <v/>
      </c>
      <c r="B201" s="9">
        <f>整形回答!B201</f>
        <v/>
      </c>
      <c r="C201" s="9">
        <f>整形回答!C201</f>
        <v/>
      </c>
      <c r="D201" s="8">
        <f>IF(B201="","",SUMPRODUCT(--(整形回答!F201:BC201=正解キー!$B$2:$B$51)*XLOOKUP(設定!$B$11:$B$60,設定!$A$5:$A$7,設定!$B$5:$B$7)*XLOOKUP(設定!$C$11:$C$60,設定!$D$5:$D$7,設定!$E$5:$E$7)))</f>
        <v/>
      </c>
      <c r="E201" s="8">
        <f>SUMPRODUCT(XLOOKUP(設定!$B$11:$B$60,設定!$A$5:$A$7,設定!$B$5:$B$7)*XLOOKUP(設定!$C$11:$C$60,設定!$D$5:$D$7,設定!$E$5:$E$7))</f>
        <v/>
      </c>
      <c r="F201" s="10">
        <f>IF(D201="","",D201/E201*100)</f>
        <v/>
      </c>
      <c r="G201" s="10">
        <f>IF(D201="","",IF(SUMPRODUCT(--(設定!$B$11:$B$60="OS（Linux/Windows）")*XLOOKUP(設定!$B$11:$B$60,設定!$A$5:$A$7,設定!$B$5:$B$7)*XLOOKUP(設定!$C$11:$C$60,設定!$D$5:$D$7,設定!$E$5:$E$7))=0,"",SUMPRODUCT(--(設定!$B$11:$B$60="OS（Linux/Windows）")*--(整形回答!F201:BC201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01" s="10">
        <f>IF(D201="","",IF(SUMPRODUCT(--(設定!$B$11:$B$60="AWS")*XLOOKUP(設定!$B$11:$B$60,設定!$A$5:$A$7,設定!$B$5:$B$7)*XLOOKUP(設定!$C$11:$C$60,設定!$D$5:$D$7,設定!$E$5:$E$7))=0,"",SUMPRODUCT(--(設定!$B$11:$B$60="AWS")*--(整形回答!F201:BC201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01" s="10">
        <f>IF(D201="","",IF(SUMPRODUCT(--(設定!$B$11:$B$60="NW/Security")*XLOOKUP(設定!$B$11:$B$60,設定!$A$5:$A$7,設定!$B$5:$B$7)*XLOOKUP(設定!$C$11:$C$60,設定!$D$5:$D$7,設定!$E$5:$E$7))=0,"",SUMPRODUCT(--(設定!$B$11:$B$60="NW/Security")*--(整形回答!F201:BC201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01" s="8">
        <f>IF(F201="","",IF(F201&gt;=85,"即戦力",IF(F201&gt;=70,"主担当",IF(F201&gt;=55,"サポート","育成"))))</f>
        <v/>
      </c>
      <c r="K201" s="8">
        <f>整形回答!E201</f>
        <v/>
      </c>
    </row>
    <row r="202">
      <c r="A202" s="8">
        <f>整形回答!A202</f>
        <v/>
      </c>
      <c r="B202" s="9">
        <f>整形回答!B202</f>
        <v/>
      </c>
      <c r="C202" s="9">
        <f>整形回答!C202</f>
        <v/>
      </c>
      <c r="D202" s="8">
        <f>IF(B202="","",SUMPRODUCT(--(整形回答!F202:BC202=正解キー!$B$2:$B$51)*XLOOKUP(設定!$B$11:$B$60,設定!$A$5:$A$7,設定!$B$5:$B$7)*XLOOKUP(設定!$C$11:$C$60,設定!$D$5:$D$7,設定!$E$5:$E$7)))</f>
        <v/>
      </c>
      <c r="E202" s="8">
        <f>SUMPRODUCT(XLOOKUP(設定!$B$11:$B$60,設定!$A$5:$A$7,設定!$B$5:$B$7)*XLOOKUP(設定!$C$11:$C$60,設定!$D$5:$D$7,設定!$E$5:$E$7))</f>
        <v/>
      </c>
      <c r="F202" s="10">
        <f>IF(D202="","",D202/E202*100)</f>
        <v/>
      </c>
      <c r="G202" s="10">
        <f>IF(D202="","",IF(SUMPRODUCT(--(設定!$B$11:$B$60="OS（Linux/Windows）")*XLOOKUP(設定!$B$11:$B$60,設定!$A$5:$A$7,設定!$B$5:$B$7)*XLOOKUP(設定!$C$11:$C$60,設定!$D$5:$D$7,設定!$E$5:$E$7))=0,"",SUMPRODUCT(--(設定!$B$11:$B$60="OS（Linux/Windows）")*--(整形回答!F202:BC202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02" s="10">
        <f>IF(D202="","",IF(SUMPRODUCT(--(設定!$B$11:$B$60="AWS")*XLOOKUP(設定!$B$11:$B$60,設定!$A$5:$A$7,設定!$B$5:$B$7)*XLOOKUP(設定!$C$11:$C$60,設定!$D$5:$D$7,設定!$E$5:$E$7))=0,"",SUMPRODUCT(--(設定!$B$11:$B$60="AWS")*--(整形回答!F202:BC202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02" s="10">
        <f>IF(D202="","",IF(SUMPRODUCT(--(設定!$B$11:$B$60="NW/Security")*XLOOKUP(設定!$B$11:$B$60,設定!$A$5:$A$7,設定!$B$5:$B$7)*XLOOKUP(設定!$C$11:$C$60,設定!$D$5:$D$7,設定!$E$5:$E$7))=0,"",SUMPRODUCT(--(設定!$B$11:$B$60="NW/Security")*--(整形回答!F202:BC202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02" s="8">
        <f>IF(F202="","",IF(F202&gt;=85,"即戦力",IF(F202&gt;=70,"主担当",IF(F202&gt;=55,"サポート","育成"))))</f>
        <v/>
      </c>
      <c r="K202" s="8">
        <f>整形回答!E202</f>
        <v/>
      </c>
    </row>
    <row r="203">
      <c r="A203" s="8">
        <f>整形回答!A203</f>
        <v/>
      </c>
      <c r="B203" s="9">
        <f>整形回答!B203</f>
        <v/>
      </c>
      <c r="C203" s="9">
        <f>整形回答!C203</f>
        <v/>
      </c>
      <c r="D203" s="8">
        <f>IF(B203="","",SUMPRODUCT(--(整形回答!F203:BC203=正解キー!$B$2:$B$51)*XLOOKUP(設定!$B$11:$B$60,設定!$A$5:$A$7,設定!$B$5:$B$7)*XLOOKUP(設定!$C$11:$C$60,設定!$D$5:$D$7,設定!$E$5:$E$7)))</f>
        <v/>
      </c>
      <c r="E203" s="8">
        <f>SUMPRODUCT(XLOOKUP(設定!$B$11:$B$60,設定!$A$5:$A$7,設定!$B$5:$B$7)*XLOOKUP(設定!$C$11:$C$60,設定!$D$5:$D$7,設定!$E$5:$E$7))</f>
        <v/>
      </c>
      <c r="F203" s="10">
        <f>IF(D203="","",D203/E203*100)</f>
        <v/>
      </c>
      <c r="G203" s="10">
        <f>IF(D203="","",IF(SUMPRODUCT(--(設定!$B$11:$B$60="OS（Linux/Windows）")*XLOOKUP(設定!$B$11:$B$60,設定!$A$5:$A$7,設定!$B$5:$B$7)*XLOOKUP(設定!$C$11:$C$60,設定!$D$5:$D$7,設定!$E$5:$E$7))=0,"",SUMPRODUCT(--(設定!$B$11:$B$60="OS（Linux/Windows）")*--(整形回答!F203:BC203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03" s="10">
        <f>IF(D203="","",IF(SUMPRODUCT(--(設定!$B$11:$B$60="AWS")*XLOOKUP(設定!$B$11:$B$60,設定!$A$5:$A$7,設定!$B$5:$B$7)*XLOOKUP(設定!$C$11:$C$60,設定!$D$5:$D$7,設定!$E$5:$E$7))=0,"",SUMPRODUCT(--(設定!$B$11:$B$60="AWS")*--(整形回答!F203:BC203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03" s="10">
        <f>IF(D203="","",IF(SUMPRODUCT(--(設定!$B$11:$B$60="NW/Security")*XLOOKUP(設定!$B$11:$B$60,設定!$A$5:$A$7,設定!$B$5:$B$7)*XLOOKUP(設定!$C$11:$C$60,設定!$D$5:$D$7,設定!$E$5:$E$7))=0,"",SUMPRODUCT(--(設定!$B$11:$B$60="NW/Security")*--(整形回答!F203:BC203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03" s="8">
        <f>IF(F203="","",IF(F203&gt;=85,"即戦力",IF(F203&gt;=70,"主担当",IF(F203&gt;=55,"サポート","育成"))))</f>
        <v/>
      </c>
      <c r="K203" s="8">
        <f>整形回答!E203</f>
        <v/>
      </c>
    </row>
    <row r="204">
      <c r="A204" s="8">
        <f>整形回答!A204</f>
        <v/>
      </c>
      <c r="B204" s="9">
        <f>整形回答!B204</f>
        <v/>
      </c>
      <c r="C204" s="9">
        <f>整形回答!C204</f>
        <v/>
      </c>
      <c r="D204" s="8">
        <f>IF(B204="","",SUMPRODUCT(--(整形回答!F204:BC204=正解キー!$B$2:$B$51)*XLOOKUP(設定!$B$11:$B$60,設定!$A$5:$A$7,設定!$B$5:$B$7)*XLOOKUP(設定!$C$11:$C$60,設定!$D$5:$D$7,設定!$E$5:$E$7)))</f>
        <v/>
      </c>
      <c r="E204" s="8">
        <f>SUMPRODUCT(XLOOKUP(設定!$B$11:$B$60,設定!$A$5:$A$7,設定!$B$5:$B$7)*XLOOKUP(設定!$C$11:$C$60,設定!$D$5:$D$7,設定!$E$5:$E$7))</f>
        <v/>
      </c>
      <c r="F204" s="10">
        <f>IF(D204="","",D204/E204*100)</f>
        <v/>
      </c>
      <c r="G204" s="10">
        <f>IF(D204="","",IF(SUMPRODUCT(--(設定!$B$11:$B$60="OS（Linux/Windows）")*XLOOKUP(設定!$B$11:$B$60,設定!$A$5:$A$7,設定!$B$5:$B$7)*XLOOKUP(設定!$C$11:$C$60,設定!$D$5:$D$7,設定!$E$5:$E$7))=0,"",SUMPRODUCT(--(設定!$B$11:$B$60="OS（Linux/Windows）")*--(整形回答!F204:BC204=正解キー!$B$2:$B$51)*XLOOKUP(設定!$B$11:$B$60,設定!$A$5:$A$7,設定!$B$5:$B$7)*XLOOKUP(設定!$C$11:$C$60,設定!$D$5:$D$7,設定!$E$5:$E$7))/SUMPRODUCT(--(設定!$B$11:$B$60="OS（Linux/Windows）")*XLOOKUP(設定!$B$11:$B$60,設定!$A$5:$A$7,設定!$B$5:$B$7)*XLOOKUP(設定!$C$11:$C$60,設定!$D$5:$D$7,設定!$E$5:$E$7))*100))</f>
        <v/>
      </c>
      <c r="H204" s="10">
        <f>IF(D204="","",IF(SUMPRODUCT(--(設定!$B$11:$B$60="AWS")*XLOOKUP(設定!$B$11:$B$60,設定!$A$5:$A$7,設定!$B$5:$B$7)*XLOOKUP(設定!$C$11:$C$60,設定!$D$5:$D$7,設定!$E$5:$E$7))=0,"",SUMPRODUCT(--(設定!$B$11:$B$60="AWS")*--(整形回答!F204:BC204=正解キー!$B$2:$B$51)*XLOOKUP(設定!$B$11:$B$60,設定!$A$5:$A$7,設定!$B$5:$B$7)*XLOOKUP(設定!$C$11:$C$60,設定!$D$5:$D$7,設定!$E$5:$E$7))/SUMPRODUCT(--(設定!$B$11:$B$60="AWS")*XLOOKUP(設定!$B$11:$B$60,設定!$A$5:$A$7,設定!$B$5:$B$7)*XLOOKUP(設定!$C$11:$C$60,設定!$D$5:$D$7,設定!$E$5:$E$7))*100))</f>
        <v/>
      </c>
      <c r="I204" s="10">
        <f>IF(D204="","",IF(SUMPRODUCT(--(設定!$B$11:$B$60="NW/Security")*XLOOKUP(設定!$B$11:$B$60,設定!$A$5:$A$7,設定!$B$5:$B$7)*XLOOKUP(設定!$C$11:$C$60,設定!$D$5:$D$7,設定!$E$5:$E$7))=0,"",SUMPRODUCT(--(設定!$B$11:$B$60="NW/Security")*--(整形回答!F204:BC204=正解キー!$B$2:$B$51)*XLOOKUP(設定!$B$11:$B$60,設定!$A$5:$A$7,設定!$B$5:$B$7)*XLOOKUP(設定!$C$11:$C$60,設定!$D$5:$D$7,設定!$E$5:$E$7))/SUMPRODUCT(--(設定!$B$11:$B$60="NW/Security")*XLOOKUP(設定!$B$11:$B$60,設定!$A$5:$A$7,設定!$B$5:$B$7)*XLOOKUP(設定!$C$11:$C$60,設定!$D$5:$D$7,設定!$E$5:$E$7))*100))</f>
        <v/>
      </c>
      <c r="J204" s="8">
        <f>IF(F204="","",IF(F204&gt;=85,"即戦力",IF(F204&gt;=70,"主担当",IF(F204&gt;=55,"サポート","育成"))))</f>
        <v/>
      </c>
      <c r="K204" s="8">
        <f>整形回答!E204</f>
        <v/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18" customWidth="1" min="4" max="4"/>
    <col width="8" customWidth="1" min="5" max="5"/>
  </cols>
  <sheetData>
    <row r="1">
      <c r="A1" s="3" t="inlineStr">
        <is>
          <t>採点設定（Forms貼り付け対応）</t>
        </is>
      </c>
    </row>
    <row r="3">
      <c r="A3" s="11" t="inlineStr">
        <is>
          <t>カテゴリ重み</t>
        </is>
      </c>
      <c r="D3" s="11" t="inlineStr">
        <is>
          <t>タイプ重み</t>
        </is>
      </c>
    </row>
    <row r="4">
      <c r="A4" s="5" t="inlineStr">
        <is>
          <t>カテゴリ</t>
        </is>
      </c>
      <c r="B4" s="5" t="inlineStr">
        <is>
          <t>重み</t>
        </is>
      </c>
      <c r="D4" s="5" t="inlineStr">
        <is>
          <t>タイプ</t>
        </is>
      </c>
      <c r="E4" s="5" t="inlineStr">
        <is>
          <t>重み</t>
        </is>
      </c>
    </row>
    <row r="5">
      <c r="A5" s="9" t="inlineStr">
        <is>
          <t>OS（Linux/Windows）</t>
        </is>
      </c>
      <c r="B5" s="8" t="n">
        <v>1</v>
      </c>
      <c r="D5" s="9" t="inlineStr">
        <is>
          <t>Knowledge（知識）</t>
        </is>
      </c>
      <c r="E5" s="8" t="n">
        <v>1</v>
      </c>
    </row>
    <row r="6">
      <c r="A6" s="9" t="inlineStr">
        <is>
          <t>AWS</t>
        </is>
      </c>
      <c r="B6" s="8" t="n">
        <v>1.2</v>
      </c>
      <c r="D6" s="9" t="inlineStr">
        <is>
          <t>Ops（運用判断）</t>
        </is>
      </c>
      <c r="E6" s="8" t="n">
        <v>1.2</v>
      </c>
    </row>
    <row r="7">
      <c r="A7" s="9" t="inlineStr">
        <is>
          <t>NW/Security</t>
        </is>
      </c>
      <c r="B7" s="8" t="n">
        <v>1.3</v>
      </c>
      <c r="D7" s="9" t="inlineStr">
        <is>
          <t>Risk（リスク判断）</t>
        </is>
      </c>
      <c r="E7" s="8" t="n">
        <v>1.4</v>
      </c>
    </row>
    <row r="8">
      <c r="A8" s="11" t="inlineStr">
        <is>
          <t>設問ごとの分類（必要なら編集）</t>
        </is>
      </c>
    </row>
    <row r="10">
      <c r="A10" s="5" t="inlineStr">
        <is>
          <t>Q#</t>
        </is>
      </c>
      <c r="B10" s="5" t="inlineStr">
        <is>
          <t>カテゴリ</t>
        </is>
      </c>
      <c r="C10" s="5" t="inlineStr">
        <is>
          <t>タイプ</t>
        </is>
      </c>
    </row>
    <row r="11">
      <c r="A11" s="8" t="n">
        <v>1</v>
      </c>
      <c r="B11" s="9" t="inlineStr">
        <is>
          <t>OS（Linux/Windows）</t>
        </is>
      </c>
      <c r="C11" s="9" t="inlineStr">
        <is>
          <t>Ops（運用判断）</t>
        </is>
      </c>
    </row>
    <row r="12">
      <c r="A12" s="8" t="n">
        <v>2</v>
      </c>
      <c r="B12" s="9" t="inlineStr">
        <is>
          <t>OS（Linux/Windows）</t>
        </is>
      </c>
      <c r="C12" s="9" t="inlineStr">
        <is>
          <t>Ops（運用判断）</t>
        </is>
      </c>
    </row>
    <row r="13">
      <c r="A13" s="8" t="n">
        <v>3</v>
      </c>
      <c r="B13" s="9" t="inlineStr">
        <is>
          <t>OS（Linux/Windows）</t>
        </is>
      </c>
      <c r="C13" s="9" t="inlineStr">
        <is>
          <t>Ops（運用判断）</t>
        </is>
      </c>
    </row>
    <row r="14">
      <c r="A14" s="8" t="n">
        <v>4</v>
      </c>
      <c r="B14" s="9" t="inlineStr">
        <is>
          <t>OS（Linux/Windows）</t>
        </is>
      </c>
      <c r="C14" s="9" t="inlineStr">
        <is>
          <t>Ops（運用判断）</t>
        </is>
      </c>
    </row>
    <row r="15">
      <c r="A15" s="8" t="n">
        <v>5</v>
      </c>
      <c r="B15" s="9" t="inlineStr">
        <is>
          <t>OS（Linux/Windows）</t>
        </is>
      </c>
      <c r="C15" s="9" t="inlineStr">
        <is>
          <t>Ops（運用判断）</t>
        </is>
      </c>
    </row>
    <row r="16">
      <c r="A16" s="8" t="n">
        <v>6</v>
      </c>
      <c r="B16" s="9" t="inlineStr">
        <is>
          <t>OS（Linux/Windows）</t>
        </is>
      </c>
      <c r="C16" s="9" t="inlineStr">
        <is>
          <t>Ops（運用判断）</t>
        </is>
      </c>
    </row>
    <row r="17">
      <c r="A17" s="8" t="n">
        <v>7</v>
      </c>
      <c r="B17" s="9" t="inlineStr">
        <is>
          <t>OS（Linux/Windows）</t>
        </is>
      </c>
      <c r="C17" s="9" t="inlineStr">
        <is>
          <t>Ops（運用判断）</t>
        </is>
      </c>
    </row>
    <row r="18">
      <c r="A18" s="8" t="n">
        <v>8</v>
      </c>
      <c r="B18" s="9" t="inlineStr">
        <is>
          <t>OS（Linux/Windows）</t>
        </is>
      </c>
      <c r="C18" s="9" t="inlineStr">
        <is>
          <t>Ops（運用判断）</t>
        </is>
      </c>
    </row>
    <row r="19">
      <c r="A19" s="8" t="n">
        <v>9</v>
      </c>
      <c r="B19" s="9" t="inlineStr">
        <is>
          <t>OS（Linux/Windows）</t>
        </is>
      </c>
      <c r="C19" s="9" t="inlineStr">
        <is>
          <t>Ops（運用判断）</t>
        </is>
      </c>
    </row>
    <row r="20">
      <c r="A20" s="8" t="n">
        <v>10</v>
      </c>
      <c r="B20" s="9" t="inlineStr">
        <is>
          <t>OS（Linux/Windows）</t>
        </is>
      </c>
      <c r="C20" s="9" t="inlineStr">
        <is>
          <t>Ops（運用判断）</t>
        </is>
      </c>
    </row>
    <row r="21">
      <c r="A21" s="8" t="n">
        <v>11</v>
      </c>
      <c r="B21" s="9" t="inlineStr">
        <is>
          <t>OS（Linux/Windows）</t>
        </is>
      </c>
      <c r="C21" s="9" t="inlineStr">
        <is>
          <t>Knowledge（知識）</t>
        </is>
      </c>
    </row>
    <row r="22">
      <c r="A22" s="8" t="n">
        <v>12</v>
      </c>
      <c r="B22" s="9" t="inlineStr">
        <is>
          <t>OS（Linux/Windows）</t>
        </is>
      </c>
      <c r="C22" s="9" t="inlineStr">
        <is>
          <t>Knowledge（知識）</t>
        </is>
      </c>
    </row>
    <row r="23">
      <c r="A23" s="8" t="n">
        <v>13</v>
      </c>
      <c r="B23" s="9" t="inlineStr">
        <is>
          <t>OS（Linux/Windows）</t>
        </is>
      </c>
      <c r="C23" s="9" t="inlineStr">
        <is>
          <t>Knowledge（知識）</t>
        </is>
      </c>
    </row>
    <row r="24">
      <c r="A24" s="8" t="n">
        <v>14</v>
      </c>
      <c r="B24" s="9" t="inlineStr">
        <is>
          <t>OS（Linux/Windows）</t>
        </is>
      </c>
      <c r="C24" s="9" t="inlineStr">
        <is>
          <t>Knowledge（知識）</t>
        </is>
      </c>
    </row>
    <row r="25">
      <c r="A25" s="8" t="n">
        <v>15</v>
      </c>
      <c r="B25" s="9" t="inlineStr">
        <is>
          <t>OS（Linux/Windows）</t>
        </is>
      </c>
      <c r="C25" s="9" t="inlineStr">
        <is>
          <t>Knowledge（知識）</t>
        </is>
      </c>
    </row>
    <row r="26">
      <c r="A26" s="8" t="n">
        <v>16</v>
      </c>
      <c r="B26" s="9" t="inlineStr">
        <is>
          <t>OS（Linux/Windows）</t>
        </is>
      </c>
      <c r="C26" s="9" t="inlineStr">
        <is>
          <t>Knowledge（知識）</t>
        </is>
      </c>
    </row>
    <row r="27">
      <c r="A27" s="8" t="n">
        <v>17</v>
      </c>
      <c r="B27" s="9" t="inlineStr">
        <is>
          <t>OS（Linux/Windows）</t>
        </is>
      </c>
      <c r="C27" s="9" t="inlineStr">
        <is>
          <t>Knowledge（知識）</t>
        </is>
      </c>
    </row>
    <row r="28">
      <c r="A28" s="8" t="n">
        <v>18</v>
      </c>
      <c r="B28" s="9" t="inlineStr">
        <is>
          <t>OS（Linux/Windows）</t>
        </is>
      </c>
      <c r="C28" s="9" t="inlineStr">
        <is>
          <t>Knowledge（知識）</t>
        </is>
      </c>
    </row>
    <row r="29">
      <c r="A29" s="8" t="n">
        <v>19</v>
      </c>
      <c r="B29" s="9" t="inlineStr">
        <is>
          <t>OS（Linux/Windows）</t>
        </is>
      </c>
      <c r="C29" s="9" t="inlineStr">
        <is>
          <t>Knowledge（知識）</t>
        </is>
      </c>
    </row>
    <row r="30">
      <c r="A30" s="8" t="n">
        <v>20</v>
      </c>
      <c r="B30" s="9" t="inlineStr">
        <is>
          <t>OS（Linux/Windows）</t>
        </is>
      </c>
      <c r="C30" s="9" t="inlineStr">
        <is>
          <t>Knowledge（知識）</t>
        </is>
      </c>
    </row>
    <row r="31">
      <c r="A31" s="8" t="n">
        <v>21</v>
      </c>
      <c r="B31" s="9" t="inlineStr">
        <is>
          <t>AWS</t>
        </is>
      </c>
      <c r="C31" s="9" t="inlineStr">
        <is>
          <t>Ops（運用判断）</t>
        </is>
      </c>
    </row>
    <row r="32">
      <c r="A32" s="8" t="n">
        <v>22</v>
      </c>
      <c r="B32" s="9" t="inlineStr">
        <is>
          <t>AWS</t>
        </is>
      </c>
      <c r="C32" s="9" t="inlineStr">
        <is>
          <t>Ops（運用判断）</t>
        </is>
      </c>
    </row>
    <row r="33">
      <c r="A33" s="8" t="n">
        <v>23</v>
      </c>
      <c r="B33" s="9" t="inlineStr">
        <is>
          <t>AWS</t>
        </is>
      </c>
      <c r="C33" s="9" t="inlineStr">
        <is>
          <t>Ops（運用判断）</t>
        </is>
      </c>
    </row>
    <row r="34">
      <c r="A34" s="8" t="n">
        <v>24</v>
      </c>
      <c r="B34" s="9" t="inlineStr">
        <is>
          <t>AWS</t>
        </is>
      </c>
      <c r="C34" s="9" t="inlineStr">
        <is>
          <t>Ops（運用判断）</t>
        </is>
      </c>
    </row>
    <row r="35">
      <c r="A35" s="8" t="n">
        <v>25</v>
      </c>
      <c r="B35" s="9" t="inlineStr">
        <is>
          <t>AWS</t>
        </is>
      </c>
      <c r="C35" s="9" t="inlineStr">
        <is>
          <t>Ops（運用判断）</t>
        </is>
      </c>
    </row>
    <row r="36">
      <c r="A36" s="8" t="n">
        <v>26</v>
      </c>
      <c r="B36" s="9" t="inlineStr">
        <is>
          <t>AWS</t>
        </is>
      </c>
      <c r="C36" s="9" t="inlineStr">
        <is>
          <t>Ops（運用判断）</t>
        </is>
      </c>
    </row>
    <row r="37">
      <c r="A37" s="8" t="n">
        <v>27</v>
      </c>
      <c r="B37" s="9" t="inlineStr">
        <is>
          <t>AWS</t>
        </is>
      </c>
      <c r="C37" s="9" t="inlineStr">
        <is>
          <t>Ops（運用判断）</t>
        </is>
      </c>
    </row>
    <row r="38">
      <c r="A38" s="8" t="n">
        <v>28</v>
      </c>
      <c r="B38" s="9" t="inlineStr">
        <is>
          <t>AWS</t>
        </is>
      </c>
      <c r="C38" s="9" t="inlineStr">
        <is>
          <t>Ops（運用判断）</t>
        </is>
      </c>
    </row>
    <row r="39">
      <c r="A39" s="8" t="n">
        <v>29</v>
      </c>
      <c r="B39" s="9" t="inlineStr">
        <is>
          <t>AWS</t>
        </is>
      </c>
      <c r="C39" s="9" t="inlineStr">
        <is>
          <t>Ops（運用判断）</t>
        </is>
      </c>
    </row>
    <row r="40">
      <c r="A40" s="8" t="n">
        <v>30</v>
      </c>
      <c r="B40" s="9" t="inlineStr">
        <is>
          <t>AWS</t>
        </is>
      </c>
      <c r="C40" s="9" t="inlineStr">
        <is>
          <t>Ops（運用判断）</t>
        </is>
      </c>
    </row>
    <row r="41">
      <c r="A41" s="8" t="n">
        <v>31</v>
      </c>
      <c r="B41" s="9" t="inlineStr">
        <is>
          <t>AWS</t>
        </is>
      </c>
      <c r="C41" s="9" t="inlineStr">
        <is>
          <t>Ops（運用判断）</t>
        </is>
      </c>
    </row>
    <row r="42">
      <c r="A42" s="8" t="n">
        <v>32</v>
      </c>
      <c r="B42" s="9" t="inlineStr">
        <is>
          <t>AWS</t>
        </is>
      </c>
      <c r="C42" s="9" t="inlineStr">
        <is>
          <t>Ops（運用判断）</t>
        </is>
      </c>
    </row>
    <row r="43">
      <c r="A43" s="8" t="n">
        <v>33</v>
      </c>
      <c r="B43" s="9" t="inlineStr">
        <is>
          <t>AWS</t>
        </is>
      </c>
      <c r="C43" s="9" t="inlineStr">
        <is>
          <t>Ops（運用判断）</t>
        </is>
      </c>
    </row>
    <row r="44">
      <c r="A44" s="8" t="n">
        <v>34</v>
      </c>
      <c r="B44" s="9" t="inlineStr">
        <is>
          <t>AWS</t>
        </is>
      </c>
      <c r="C44" s="9" t="inlineStr">
        <is>
          <t>Ops（運用判断）</t>
        </is>
      </c>
    </row>
    <row r="45">
      <c r="A45" s="8" t="n">
        <v>35</v>
      </c>
      <c r="B45" s="9" t="inlineStr">
        <is>
          <t>AWS</t>
        </is>
      </c>
      <c r="C45" s="9" t="inlineStr">
        <is>
          <t>Ops（運用判断）</t>
        </is>
      </c>
    </row>
    <row r="46">
      <c r="A46" s="8" t="n">
        <v>36</v>
      </c>
      <c r="B46" s="9" t="inlineStr">
        <is>
          <t>NW/Security</t>
        </is>
      </c>
      <c r="C46" s="9" t="inlineStr">
        <is>
          <t>Ops（運用判断）</t>
        </is>
      </c>
    </row>
    <row r="47">
      <c r="A47" s="8" t="n">
        <v>37</v>
      </c>
      <c r="B47" s="9" t="inlineStr">
        <is>
          <t>NW/Security</t>
        </is>
      </c>
      <c r="C47" s="9" t="inlineStr">
        <is>
          <t>Ops（運用判断）</t>
        </is>
      </c>
    </row>
    <row r="48">
      <c r="A48" s="8" t="n">
        <v>38</v>
      </c>
      <c r="B48" s="9" t="inlineStr">
        <is>
          <t>NW/Security</t>
        </is>
      </c>
      <c r="C48" s="9" t="inlineStr">
        <is>
          <t>Ops（運用判断）</t>
        </is>
      </c>
    </row>
    <row r="49">
      <c r="A49" s="8" t="n">
        <v>39</v>
      </c>
      <c r="B49" s="9" t="inlineStr">
        <is>
          <t>NW/Security</t>
        </is>
      </c>
      <c r="C49" s="9" t="inlineStr">
        <is>
          <t>Ops（運用判断）</t>
        </is>
      </c>
    </row>
    <row r="50">
      <c r="A50" s="8" t="n">
        <v>40</v>
      </c>
      <c r="B50" s="9" t="inlineStr">
        <is>
          <t>NW/Security</t>
        </is>
      </c>
      <c r="C50" s="9" t="inlineStr">
        <is>
          <t>Ops（運用判断）</t>
        </is>
      </c>
    </row>
    <row r="51">
      <c r="A51" s="8" t="n">
        <v>41</v>
      </c>
      <c r="B51" s="9" t="inlineStr">
        <is>
          <t>NW/Security</t>
        </is>
      </c>
      <c r="C51" s="9" t="inlineStr">
        <is>
          <t>Ops（運用判断）</t>
        </is>
      </c>
    </row>
    <row r="52">
      <c r="A52" s="8" t="n">
        <v>42</v>
      </c>
      <c r="B52" s="9" t="inlineStr">
        <is>
          <t>NW/Security</t>
        </is>
      </c>
      <c r="C52" s="9" t="inlineStr">
        <is>
          <t>Ops（運用判断）</t>
        </is>
      </c>
    </row>
    <row r="53">
      <c r="A53" s="8" t="n">
        <v>43</v>
      </c>
      <c r="B53" s="9" t="inlineStr">
        <is>
          <t>NW/Security</t>
        </is>
      </c>
      <c r="C53" s="9" t="inlineStr">
        <is>
          <t>Ops（運用判断）</t>
        </is>
      </c>
    </row>
    <row r="54">
      <c r="A54" s="8" t="n">
        <v>44</v>
      </c>
      <c r="B54" s="9" t="inlineStr">
        <is>
          <t>NW/Security</t>
        </is>
      </c>
      <c r="C54" s="9" t="inlineStr">
        <is>
          <t>Ops（運用判断）</t>
        </is>
      </c>
    </row>
    <row r="55">
      <c r="A55" s="8" t="n">
        <v>45</v>
      </c>
      <c r="B55" s="9" t="inlineStr">
        <is>
          <t>NW/Security</t>
        </is>
      </c>
      <c r="C55" s="9" t="inlineStr">
        <is>
          <t>Ops（運用判断）</t>
        </is>
      </c>
    </row>
    <row r="56">
      <c r="A56" s="8" t="n">
        <v>46</v>
      </c>
      <c r="B56" s="9" t="inlineStr">
        <is>
          <t>NW/Security</t>
        </is>
      </c>
      <c r="C56" s="9" t="inlineStr">
        <is>
          <t>Risk（リスク判断）</t>
        </is>
      </c>
    </row>
    <row r="57">
      <c r="A57" s="8" t="n">
        <v>47</v>
      </c>
      <c r="B57" s="9" t="inlineStr">
        <is>
          <t>NW/Security</t>
        </is>
      </c>
      <c r="C57" s="9" t="inlineStr">
        <is>
          <t>Risk（リスク判断）</t>
        </is>
      </c>
    </row>
    <row r="58">
      <c r="A58" s="8" t="n">
        <v>48</v>
      </c>
      <c r="B58" s="9" t="inlineStr">
        <is>
          <t>NW/Security</t>
        </is>
      </c>
      <c r="C58" s="9" t="inlineStr">
        <is>
          <t>Risk（リスク判断）</t>
        </is>
      </c>
    </row>
    <row r="59">
      <c r="A59" s="8" t="n">
        <v>49</v>
      </c>
      <c r="B59" s="9" t="inlineStr">
        <is>
          <t>NW/Security</t>
        </is>
      </c>
      <c r="C59" s="9" t="inlineStr">
        <is>
          <t>Risk（リスク判断）</t>
        </is>
      </c>
    </row>
    <row r="60">
      <c r="A60" s="8" t="n">
        <v>50</v>
      </c>
      <c r="B60" s="9" t="inlineStr">
        <is>
          <t>NW/Security</t>
        </is>
      </c>
      <c r="C60" s="9" t="inlineStr">
        <is>
          <t>Risk（リスク判断）</t>
        </is>
      </c>
    </row>
    <row r="62">
      <c r="A62" s="4" t="inlineStr">
        <is>
          <t>メモ：Forms貼り付けのヘッダ（A3行）に Q1〜Q50 を含めてください。</t>
        </is>
      </c>
    </row>
    <row r="63"/>
  </sheetData>
  <mergeCells count="2">
    <mergeCell ref="A62:H6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55" customWidth="1" min="3" max="3"/>
  </cols>
  <sheetData>
    <row r="1">
      <c r="A1" s="5" t="inlineStr">
        <is>
          <t>問題番号</t>
        </is>
      </c>
      <c r="B1" s="5" t="inlineStr">
        <is>
          <t>正解（記号）</t>
        </is>
      </c>
      <c r="C1" s="5" t="inlineStr">
        <is>
          <t>正解（文字列）</t>
        </is>
      </c>
    </row>
    <row r="2">
      <c r="A2" s="8" t="inlineStr">
        <is>
          <t>Q1</t>
        </is>
      </c>
      <c r="B2" s="8" t="inlineStr">
        <is>
          <t>A</t>
        </is>
      </c>
      <c r="C2" s="9" t="inlineStr">
        <is>
          <t>A) inode が枯渇している</t>
        </is>
      </c>
    </row>
    <row r="3">
      <c r="A3" s="8" t="inlineStr">
        <is>
          <t>Q2</t>
        </is>
      </c>
      <c r="B3" s="8" t="inlineStr">
        <is>
          <t>B</t>
        </is>
      </c>
      <c r="C3" s="9" t="inlineStr">
        <is>
          <t>B) ExecStart で指定した実行ファイルのパス誤り</t>
        </is>
      </c>
    </row>
    <row r="4">
      <c r="A4" s="8" t="inlineStr">
        <is>
          <t>Q3</t>
        </is>
      </c>
      <c r="B4" s="8" t="inlineStr">
        <is>
          <t>C</t>
        </is>
      </c>
      <c r="C4" s="9" t="inlineStr">
        <is>
          <t>C) 接続元 IP アドレスの DNS 逆引き遅延</t>
        </is>
      </c>
    </row>
    <row r="5">
      <c r="A5" s="8" t="inlineStr">
        <is>
          <t>Q4</t>
        </is>
      </c>
      <c r="B5" s="8" t="inlineStr">
        <is>
          <t>D</t>
        </is>
      </c>
      <c r="C5" s="9" t="inlineStr">
        <is>
          <t>D) /var/log/messages や journal の OS ログ</t>
        </is>
      </c>
    </row>
    <row r="6">
      <c r="A6" s="8" t="inlineStr">
        <is>
          <t>Q5</t>
        </is>
      </c>
      <c r="B6" s="8" t="inlineStr">
        <is>
          <t>A</t>
        </is>
      </c>
      <c r="C6" s="9" t="inlineStr">
        <is>
          <t>A) ディスク I/O wait の増加</t>
        </is>
      </c>
    </row>
    <row r="7">
      <c r="A7" s="8" t="inlineStr">
        <is>
          <t>Q6</t>
        </is>
      </c>
      <c r="B7" s="8" t="inlineStr">
        <is>
          <t>B</t>
        </is>
      </c>
      <c r="C7" s="9" t="inlineStr">
        <is>
          <t>B) ファイアウォールおよび TCP/3389 の通信可否</t>
        </is>
      </c>
    </row>
    <row r="8">
      <c r="A8" s="8" t="inlineStr">
        <is>
          <t>Q7</t>
        </is>
      </c>
      <c r="B8" s="8" t="inlineStr">
        <is>
          <t>C</t>
        </is>
      </c>
      <c r="C8" s="9" t="inlineStr">
        <is>
          <t>C) DNS レコードまたは名前解決設定の不備</t>
        </is>
      </c>
    </row>
    <row r="9">
      <c r="A9" s="8" t="inlineStr">
        <is>
          <t>Q8</t>
        </is>
      </c>
      <c r="B9" s="8" t="inlineStr">
        <is>
          <t>D</t>
        </is>
      </c>
      <c r="C9" s="9" t="inlineStr">
        <is>
          <t>D) サーバ間の時刻ずれ（NTP 不整合）</t>
        </is>
      </c>
    </row>
    <row r="10">
      <c r="A10" s="8" t="inlineStr">
        <is>
          <t>Q9</t>
        </is>
      </c>
      <c r="B10" s="8" t="inlineStr">
        <is>
          <t>A</t>
        </is>
      </c>
      <c r="C10" s="9" t="inlineStr">
        <is>
          <t>A) コマンドの絶対パス未指定による PATH 問題</t>
        </is>
      </c>
    </row>
    <row r="11">
      <c r="A11" s="8" t="inlineStr">
        <is>
          <t>Q10</t>
        </is>
      </c>
      <c r="B11" s="8" t="inlineStr">
        <is>
          <t>B</t>
        </is>
      </c>
      <c r="C11" s="9" t="inlineStr">
        <is>
          <t>B) CPU・メモリ・I/O 状況を可視化して把握する</t>
        </is>
      </c>
    </row>
    <row r="12">
      <c r="A12" s="8" t="inlineStr">
        <is>
          <t>Q11</t>
        </is>
      </c>
      <c r="B12" s="8" t="inlineStr">
        <is>
          <t>C</t>
        </is>
      </c>
      <c r="C12" s="9" t="inlineStr">
        <is>
          <t>C) 依存サービスが起動していない</t>
        </is>
      </c>
    </row>
    <row r="13">
      <c r="A13" s="8" t="inlineStr">
        <is>
          <t>Q12</t>
        </is>
      </c>
      <c r="B13" s="8" t="inlineStr">
        <is>
          <t>D</t>
        </is>
      </c>
      <c r="C13" s="9" t="inlineStr">
        <is>
          <t>D) ipconfig /flushdns</t>
        </is>
      </c>
    </row>
    <row r="14">
      <c r="A14" s="8" t="inlineStr">
        <is>
          <t>Q13</t>
        </is>
      </c>
      <c r="B14" s="8" t="inlineStr">
        <is>
          <t>A</t>
        </is>
      </c>
      <c r="C14" s="9" t="inlineStr">
        <is>
          <t>A) アプリケーションログ（Event Viewer 含む）を確認する</t>
        </is>
      </c>
    </row>
    <row r="15">
      <c r="A15" s="8" t="inlineStr">
        <is>
          <t>Q14</t>
        </is>
      </c>
      <c r="B15" s="8" t="inlineStr">
        <is>
          <t>B</t>
        </is>
      </c>
      <c r="C15" s="9" t="inlineStr">
        <is>
          <t>B) 更新履歴・エラーコード</t>
        </is>
      </c>
    </row>
    <row r="16">
      <c r="A16" s="8" t="inlineStr">
        <is>
          <t>Q15</t>
        </is>
      </c>
      <c r="B16" s="8" t="inlineStr">
        <is>
          <t>C</t>
        </is>
      </c>
      <c r="C16" s="9" t="inlineStr">
        <is>
          <t>C) タスクマネージャ／Resource Monitor を確認する</t>
        </is>
      </c>
    </row>
    <row r="17">
      <c r="A17" s="8" t="inlineStr">
        <is>
          <t>Q16</t>
        </is>
      </c>
      <c r="B17" s="8" t="inlineStr">
        <is>
          <t>D</t>
        </is>
      </c>
      <c r="C17" s="9" t="inlineStr">
        <is>
          <t>D) gpresult /r で適用結果を確認する</t>
        </is>
      </c>
    </row>
    <row r="18">
      <c r="A18" s="8" t="inlineStr">
        <is>
          <t>Q17</t>
        </is>
      </c>
      <c r="B18" s="8" t="inlineStr">
        <is>
          <t>A</t>
        </is>
      </c>
      <c r="C18" s="9" t="inlineStr">
        <is>
          <t>A) クライアントと DC の時刻ずれ</t>
        </is>
      </c>
    </row>
    <row r="19">
      <c r="A19" s="8" t="inlineStr">
        <is>
          <t>Q18</t>
        </is>
      </c>
      <c r="B19" s="8" t="inlineStr">
        <is>
          <t>B</t>
        </is>
      </c>
      <c r="C19" s="9" t="inlineStr">
        <is>
          <t>B) 4625（ログオン失敗）</t>
        </is>
      </c>
    </row>
    <row r="20">
      <c r="A20" s="8" t="inlineStr">
        <is>
          <t>Q19</t>
        </is>
      </c>
      <c r="B20" s="8" t="inlineStr">
        <is>
          <t>C</t>
        </is>
      </c>
      <c r="C20" s="9" t="inlineStr">
        <is>
          <t>C) /etc/sudoers の設定不備（記述ミス／権限不足）</t>
        </is>
      </c>
    </row>
    <row r="21">
      <c r="A21" s="8" t="inlineStr">
        <is>
          <t>Q20</t>
        </is>
      </c>
      <c r="B21" s="8" t="inlineStr">
        <is>
          <t>D</t>
        </is>
      </c>
      <c r="C21" s="9" t="inlineStr">
        <is>
          <t>D) リポジトリ URL が不正／到達できない</t>
        </is>
      </c>
    </row>
    <row r="22">
      <c r="A22" s="8" t="inlineStr">
        <is>
          <t>Q21</t>
        </is>
      </c>
      <c r="B22" s="8" t="inlineStr">
        <is>
          <t>A</t>
        </is>
      </c>
      <c r="C22" s="9" t="inlineStr">
        <is>
          <t>A) ヘルスチェック設定（パス／ステータスコード）が満たされていない</t>
        </is>
      </c>
    </row>
    <row r="23">
      <c r="A23" s="8" t="inlineStr">
        <is>
          <t>Q22</t>
        </is>
      </c>
      <c r="B23" s="8" t="inlineStr">
        <is>
          <t>B</t>
        </is>
      </c>
      <c r="C23" s="9" t="inlineStr">
        <is>
          <t>B) バックエンドアプリケーションの異常</t>
        </is>
      </c>
    </row>
    <row r="24">
      <c r="A24" s="8" t="inlineStr">
        <is>
          <t>Q23</t>
        </is>
      </c>
      <c r="B24" s="8" t="inlineStr">
        <is>
          <t>C</t>
        </is>
      </c>
      <c r="C24" s="9" t="inlineStr">
        <is>
          <t>C) コネクションリークが発生している</t>
        </is>
      </c>
    </row>
    <row r="25">
      <c r="A25" s="8" t="inlineStr">
        <is>
          <t>Q24</t>
        </is>
      </c>
      <c r="B25" s="8" t="inlineStr">
        <is>
          <t>D</t>
        </is>
      </c>
      <c r="C25" s="9" t="inlineStr">
        <is>
          <t>D) Cost Explorer で増加要因を確認する</t>
        </is>
      </c>
    </row>
    <row r="26">
      <c r="A26" s="8" t="inlineStr">
        <is>
          <t>Q25</t>
        </is>
      </c>
      <c r="B26" s="8" t="inlineStr">
        <is>
          <t>A</t>
        </is>
      </c>
      <c r="C26" s="9" t="inlineStr">
        <is>
          <t>A) IAM ポリシー／バケットポリシーの権限不備</t>
        </is>
      </c>
    </row>
    <row r="27">
      <c r="A27" s="8" t="inlineStr">
        <is>
          <t>Q26</t>
        </is>
      </c>
      <c r="B27" s="8" t="inlineStr">
        <is>
          <t>B</t>
        </is>
      </c>
      <c r="C27" s="9" t="inlineStr">
        <is>
          <t>B) NS レコードによる委任状態</t>
        </is>
      </c>
    </row>
    <row r="28">
      <c r="A28" s="8" t="inlineStr">
        <is>
          <t>Q27</t>
        </is>
      </c>
      <c r="B28" s="8" t="inlineStr">
        <is>
          <t>C</t>
        </is>
      </c>
      <c r="C28" s="9" t="inlineStr">
        <is>
          <t>C) インスタンスタイプ変更やスケールを検討する</t>
        </is>
      </c>
    </row>
    <row r="29">
      <c r="A29" s="8" t="inlineStr">
        <is>
          <t>Q28</t>
        </is>
      </c>
      <c r="B29" s="8" t="inlineStr">
        <is>
          <t>D</t>
        </is>
      </c>
      <c r="C29" s="9" t="inlineStr">
        <is>
          <t>D) NAT Gateway 経由の外部通信遅延</t>
        </is>
      </c>
    </row>
    <row r="30">
      <c r="A30" s="8" t="inlineStr">
        <is>
          <t>Q29</t>
        </is>
      </c>
      <c r="B30" s="8" t="inlineStr">
        <is>
          <t>A</t>
        </is>
      </c>
      <c r="C30" s="9" t="inlineStr">
        <is>
          <t>A) 不要・過剰なログ出力</t>
        </is>
      </c>
    </row>
    <row r="31">
      <c r="A31" s="8" t="inlineStr">
        <is>
          <t>Q30</t>
        </is>
      </c>
      <c r="B31" s="8" t="inlineStr">
        <is>
          <t>B</t>
        </is>
      </c>
      <c r="C31" s="9" t="inlineStr">
        <is>
          <t>B) EBS ボリュームタイプと IOPS 設定</t>
        </is>
      </c>
    </row>
    <row r="32">
      <c r="A32" s="8" t="inlineStr">
        <is>
          <t>Q31</t>
        </is>
      </c>
      <c r="B32" s="8" t="inlineStr">
        <is>
          <t>C</t>
        </is>
      </c>
      <c r="C32" s="9" t="inlineStr">
        <is>
          <t>C) システムログおよびステータスチェック</t>
        </is>
      </c>
    </row>
    <row r="33">
      <c r="A33" s="8" t="inlineStr">
        <is>
          <t>Q32</t>
        </is>
      </c>
      <c r="B33" s="8" t="inlineStr">
        <is>
          <t>D</t>
        </is>
      </c>
      <c r="C33" s="9" t="inlineStr">
        <is>
          <t>D) スケーリング条件（しきい値・評価期間）の不適切さ</t>
        </is>
      </c>
    </row>
    <row r="34">
      <c r="A34" s="8" t="inlineStr">
        <is>
          <t>Q33</t>
        </is>
      </c>
      <c r="B34" s="8" t="inlineStr">
        <is>
          <t>A</t>
        </is>
      </c>
      <c r="C34" s="9" t="inlineStr">
        <is>
          <t>A) 管理者権限を恒常的に付与する</t>
        </is>
      </c>
    </row>
    <row r="35">
      <c r="A35" s="8" t="inlineStr">
        <is>
          <t>Q34</t>
        </is>
      </c>
      <c r="B35" s="8" t="inlineStr">
        <is>
          <t>B</t>
        </is>
      </c>
      <c r="C35" s="9" t="inlineStr">
        <is>
          <t>B) CloudTrail やサービスの操作ログ</t>
        </is>
      </c>
    </row>
    <row r="36">
      <c r="A36" s="8" t="inlineStr">
        <is>
          <t>Q35</t>
        </is>
      </c>
      <c r="B36" s="8" t="inlineStr">
        <is>
          <t>C</t>
        </is>
      </c>
      <c r="C36" s="9" t="inlineStr">
        <is>
          <t>C) KMS キーの有効状態と IAM 権限</t>
        </is>
      </c>
    </row>
    <row r="37">
      <c r="A37" s="8" t="inlineStr">
        <is>
          <t>Q36</t>
        </is>
      </c>
      <c r="B37" s="8" t="inlineStr">
        <is>
          <t>D</t>
        </is>
      </c>
      <c r="C37" s="9" t="inlineStr">
        <is>
          <t>D) ICMP が意図的に遮断されている</t>
        </is>
      </c>
    </row>
    <row r="38">
      <c r="A38" s="8" t="inlineStr">
        <is>
          <t>Q37</t>
        </is>
      </c>
      <c r="B38" s="8" t="inlineStr">
        <is>
          <t>A</t>
        </is>
      </c>
      <c r="C38" s="9" t="inlineStr">
        <is>
          <t>A) TLS ハンドシェイクや証明書処理</t>
        </is>
      </c>
    </row>
    <row r="39">
      <c r="A39" s="8" t="inlineStr">
        <is>
          <t>Q38</t>
        </is>
      </c>
      <c r="B39" s="8" t="inlineStr">
        <is>
          <t>B</t>
        </is>
      </c>
      <c r="C39" s="9" t="inlineStr">
        <is>
          <t>B) NAT やルーティング設定の不備</t>
        </is>
      </c>
    </row>
    <row r="40">
      <c r="A40" s="8" t="inlineStr">
        <is>
          <t>Q39</t>
        </is>
      </c>
      <c r="B40" s="8" t="inlineStr">
        <is>
          <t>C</t>
        </is>
      </c>
      <c r="C40" s="9" t="inlineStr">
        <is>
          <t>C) 負荷分散配下の一部ノード異常や偏り</t>
        </is>
      </c>
    </row>
    <row r="41">
      <c r="A41" s="8" t="inlineStr">
        <is>
          <t>Q40</t>
        </is>
      </c>
      <c r="B41" s="8" t="inlineStr">
        <is>
          <t>D</t>
        </is>
      </c>
      <c r="C41" s="9" t="inlineStr">
        <is>
          <t>D) ネットワークやファイアウォール</t>
        </is>
      </c>
    </row>
    <row r="42">
      <c r="A42" s="8" t="inlineStr">
        <is>
          <t>Q41</t>
        </is>
      </c>
      <c r="B42" s="8" t="inlineStr">
        <is>
          <t>A</t>
        </is>
      </c>
      <c r="C42" s="9" t="inlineStr">
        <is>
          <t>A) アプリケーション内部エラー</t>
        </is>
      </c>
    </row>
    <row r="43">
      <c r="A43" s="8" t="inlineStr">
        <is>
          <t>Q42</t>
        </is>
      </c>
      <c r="B43" s="8" t="inlineStr">
        <is>
          <t>B</t>
        </is>
      </c>
      <c r="C43" s="9" t="inlineStr">
        <is>
          <t>B) dig / nslookup で応答時間を確認する</t>
        </is>
      </c>
    </row>
    <row r="44">
      <c r="A44" s="8" t="inlineStr">
        <is>
          <t>Q43</t>
        </is>
      </c>
      <c r="B44" s="8" t="inlineStr">
        <is>
          <t>C</t>
        </is>
      </c>
      <c r="C44" s="9" t="inlineStr">
        <is>
          <t>C) オリジンサーバの負荷増加</t>
        </is>
      </c>
    </row>
    <row r="45">
      <c r="A45" s="8" t="inlineStr">
        <is>
          <t>Q44</t>
        </is>
      </c>
      <c r="B45" s="8" t="inlineStr">
        <is>
          <t>D</t>
        </is>
      </c>
      <c r="C45" s="9" t="inlineStr">
        <is>
          <t>D) HTTP レイヤのレスポンスを直接確認できる</t>
        </is>
      </c>
    </row>
    <row r="46">
      <c r="A46" s="8" t="inlineStr">
        <is>
          <t>Q45</t>
        </is>
      </c>
      <c r="B46" s="8" t="inlineStr">
        <is>
          <t>A</t>
        </is>
      </c>
      <c r="C46" s="9" t="inlineStr">
        <is>
          <t>A) 特定環境のみ接続できない</t>
        </is>
      </c>
    </row>
    <row r="47">
      <c r="A47" s="8" t="inlineStr">
        <is>
          <t>Q46</t>
        </is>
      </c>
      <c r="B47" s="8" t="inlineStr">
        <is>
          <t>B</t>
        </is>
      </c>
      <c r="C47" s="9" t="inlineStr">
        <is>
          <t>B) 公開鍵認証</t>
        </is>
      </c>
    </row>
    <row r="48">
      <c r="A48" s="8" t="inlineStr">
        <is>
          <t>Q47</t>
        </is>
      </c>
      <c r="B48" s="8" t="inlineStr">
        <is>
          <t>C</t>
        </is>
      </c>
      <c r="C48" s="9" t="inlineStr">
        <is>
          <t>C) 最小権限の原則</t>
        </is>
      </c>
    </row>
    <row r="49">
      <c r="A49" s="8" t="inlineStr">
        <is>
          <t>Q48</t>
        </is>
      </c>
      <c r="B49" s="8" t="inlineStr">
        <is>
          <t>D</t>
        </is>
      </c>
      <c r="C49" s="9" t="inlineStr">
        <is>
          <t>D) トラフィックを遮断しつつログを保全する</t>
        </is>
      </c>
    </row>
    <row r="50">
      <c r="A50" s="8" t="inlineStr">
        <is>
          <t>Q49</t>
        </is>
      </c>
      <c r="B50" s="8" t="inlineStr">
        <is>
          <t>A</t>
        </is>
      </c>
      <c r="C50" s="9" t="inlineStr">
        <is>
          <t>A) WAF の検知・ブロックログ</t>
        </is>
      </c>
    </row>
    <row r="51">
      <c r="A51" s="8" t="inlineStr">
        <is>
          <t>Q50</t>
        </is>
      </c>
      <c r="B51" s="8" t="inlineStr">
        <is>
          <t>B</t>
        </is>
      </c>
      <c r="C51" s="9" t="inlineStr">
        <is>
          <t>B) 影響範囲の把握と証跡の保全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2026-01-08T01:47:26Z</dcterms:created>
  <dcterms:modified xmlns:dcterms="http://purl.org/dc/terms/" xmlns:xsi="http://www.w3.org/2001/XMLSchema-instance" xsi:type="dcterms:W3CDTF">2026-01-08T01:47:27Z</dcterms:modified>
</cp:coreProperties>
</file>